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d.docs.live.net/23B96F572CE3FC80/Documents/"/>
    </mc:Choice>
  </mc:AlternateContent>
  <bookViews>
    <workbookView xWindow="-108" yWindow="-108" windowWidth="23256" windowHeight="12456"/>
  </bookViews>
  <sheets>
    <sheet name="README" sheetId="1" r:id="rId1"/>
    <sheet name="Sheet1" sheetId="12" r:id="rId2"/>
    <sheet name="Sheet3" sheetId="14" r:id="rId3"/>
    <sheet name="Sheet5" sheetId="16" r:id="rId4"/>
    <sheet name="Orders" sheetId="2" r:id="rId5"/>
    <sheet name="Customers" sheetId="3" r:id="rId6"/>
    <sheet name="Products" sheetId="4" r:id="rId7"/>
    <sheet name="Sales_Reps" sheetId="5" r:id="rId8"/>
    <sheet name="Targets" sheetId="6" r:id="rId9"/>
    <sheet name="Q1_Lookups" sheetId="7" r:id="rId10"/>
    <sheet name="Q2_Cleaning" sheetId="8" r:id="rId11"/>
    <sheet name="Q3_Aggregation" sheetId="9" r:id="rId12"/>
    <sheet name="Q4_Pivot" sheetId="10" r:id="rId13"/>
    <sheet name="Q5_Advanced" sheetId="11" r:id="rId14"/>
  </sheets>
  <definedNames>
    <definedName name="_xlnm.Print_Area" localSheetId="5">Customers!$A$1:$F$301</definedName>
    <definedName name="_xlnm.Print_Area" localSheetId="4">Orders!$A$1:$K$2001</definedName>
    <definedName name="_xlnm.Print_Area" localSheetId="6">Products!$A$1:$F$61</definedName>
    <definedName name="_xlnm.Print_Area" localSheetId="7">Sales_Reps!$A$1:$E$31</definedName>
    <definedName name="_xlnm.Print_Area" localSheetId="8">Targets!$A$1:$M$31</definedName>
    <definedName name="_xlnm.Print_Titles" localSheetId="5">Customers!$1:$1</definedName>
    <definedName name="_xlnm.Print_Titles" localSheetId="4">Orders!$1:$1</definedName>
    <definedName name="_xlnm.Print_Titles" localSheetId="6">Products!$1:$1</definedName>
    <definedName name="_xlnm.Print_Titles" localSheetId="7">Sales_Reps!$1:$1</definedName>
    <definedName name="_xlnm.Print_Titles" localSheetId="8">Targets!$1:$1</definedName>
  </definedNames>
  <calcPr calcId="152511"/>
  <pivotCaches>
    <pivotCache cacheId="0" r:id="rId15"/>
    <pivotCache cacheId="1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9" i="11" l="1"/>
  <c r="E8" i="11"/>
  <c r="E7" i="11"/>
  <c r="E6" i="11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2" i="5"/>
  <c r="N2004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Q1802" i="2"/>
  <c r="Q1803" i="2"/>
  <c r="Q1804" i="2"/>
  <c r="Q1805" i="2"/>
  <c r="Q1806" i="2"/>
  <c r="Q1807" i="2"/>
  <c r="Q1808" i="2"/>
  <c r="Q1809" i="2"/>
  <c r="Q1810" i="2"/>
  <c r="Q1811" i="2"/>
  <c r="Q1812" i="2"/>
  <c r="Q1813" i="2"/>
  <c r="Q1814" i="2"/>
  <c r="Q1815" i="2"/>
  <c r="Q1816" i="2"/>
  <c r="Q1817" i="2"/>
  <c r="Q1818" i="2"/>
  <c r="Q1819" i="2"/>
  <c r="Q1820" i="2"/>
  <c r="Q1821" i="2"/>
  <c r="Q1822" i="2"/>
  <c r="Q1823" i="2"/>
  <c r="Q1824" i="2"/>
  <c r="Q1825" i="2"/>
  <c r="Q1826" i="2"/>
  <c r="Q1827" i="2"/>
  <c r="Q1828" i="2"/>
  <c r="Q1829" i="2"/>
  <c r="Q1830" i="2"/>
  <c r="Q1831" i="2"/>
  <c r="Q1832" i="2"/>
  <c r="Q1833" i="2"/>
  <c r="Q1834" i="2"/>
  <c r="Q1835" i="2"/>
  <c r="Q1836" i="2"/>
  <c r="Q1837" i="2"/>
  <c r="Q1838" i="2"/>
  <c r="Q1839" i="2"/>
  <c r="Q1840" i="2"/>
  <c r="Q1841" i="2"/>
  <c r="Q1842" i="2"/>
  <c r="Q1843" i="2"/>
  <c r="Q1844" i="2"/>
  <c r="Q1845" i="2"/>
  <c r="Q1846" i="2"/>
  <c r="Q1847" i="2"/>
  <c r="Q1848" i="2"/>
  <c r="Q1849" i="2"/>
  <c r="Q1850" i="2"/>
  <c r="Q1851" i="2"/>
  <c r="Q1852" i="2"/>
  <c r="Q1853" i="2"/>
  <c r="Q1854" i="2"/>
  <c r="Q1855" i="2"/>
  <c r="Q1856" i="2"/>
  <c r="Q1857" i="2"/>
  <c r="Q1858" i="2"/>
  <c r="Q1859" i="2"/>
  <c r="Q1860" i="2"/>
  <c r="Q1861" i="2"/>
  <c r="Q1862" i="2"/>
  <c r="Q1863" i="2"/>
  <c r="Q1864" i="2"/>
  <c r="Q1865" i="2"/>
  <c r="Q1866" i="2"/>
  <c r="Q1867" i="2"/>
  <c r="Q1868" i="2"/>
  <c r="Q1869" i="2"/>
  <c r="Q1870" i="2"/>
  <c r="Q1871" i="2"/>
  <c r="Q1872" i="2"/>
  <c r="Q1873" i="2"/>
  <c r="Q1874" i="2"/>
  <c r="Q1875" i="2"/>
  <c r="Q1876" i="2"/>
  <c r="Q1877" i="2"/>
  <c r="Q1878" i="2"/>
  <c r="Q1879" i="2"/>
  <c r="Q1880" i="2"/>
  <c r="Q1881" i="2"/>
  <c r="Q1882" i="2"/>
  <c r="Q1883" i="2"/>
  <c r="Q1884" i="2"/>
  <c r="Q1885" i="2"/>
  <c r="Q1886" i="2"/>
  <c r="Q1887" i="2"/>
  <c r="Q1888" i="2"/>
  <c r="Q1889" i="2"/>
  <c r="Q1890" i="2"/>
  <c r="Q1891" i="2"/>
  <c r="Q1892" i="2"/>
  <c r="Q1893" i="2"/>
  <c r="Q1894" i="2"/>
  <c r="Q1895" i="2"/>
  <c r="Q1896" i="2"/>
  <c r="Q1897" i="2"/>
  <c r="Q1898" i="2"/>
  <c r="Q1899" i="2"/>
  <c r="Q1900" i="2"/>
  <c r="Q1901" i="2"/>
  <c r="Q1902" i="2"/>
  <c r="Q1903" i="2"/>
  <c r="Q1904" i="2"/>
  <c r="Q1905" i="2"/>
  <c r="Q1906" i="2"/>
  <c r="Q1907" i="2"/>
  <c r="Q1908" i="2"/>
  <c r="Q1909" i="2"/>
  <c r="Q1910" i="2"/>
  <c r="Q1911" i="2"/>
  <c r="Q1912" i="2"/>
  <c r="Q1913" i="2"/>
  <c r="Q1914" i="2"/>
  <c r="Q1915" i="2"/>
  <c r="Q1916" i="2"/>
  <c r="Q1917" i="2"/>
  <c r="Q1918" i="2"/>
  <c r="Q1919" i="2"/>
  <c r="Q1920" i="2"/>
  <c r="Q1921" i="2"/>
  <c r="Q1922" i="2"/>
  <c r="Q1923" i="2"/>
  <c r="Q1924" i="2"/>
  <c r="Q1925" i="2"/>
  <c r="Q1926" i="2"/>
  <c r="Q1927" i="2"/>
  <c r="Q1928" i="2"/>
  <c r="Q1929" i="2"/>
  <c r="Q1930" i="2"/>
  <c r="Q1931" i="2"/>
  <c r="Q1932" i="2"/>
  <c r="Q1933" i="2"/>
  <c r="Q1934" i="2"/>
  <c r="Q1935" i="2"/>
  <c r="Q1936" i="2"/>
  <c r="Q1937" i="2"/>
  <c r="Q1938" i="2"/>
  <c r="Q1939" i="2"/>
  <c r="Q1940" i="2"/>
  <c r="Q1941" i="2"/>
  <c r="Q1942" i="2"/>
  <c r="Q1943" i="2"/>
  <c r="Q1944" i="2"/>
  <c r="Q1945" i="2"/>
  <c r="Q1946" i="2"/>
  <c r="Q1947" i="2"/>
  <c r="Q1948" i="2"/>
  <c r="Q1949" i="2"/>
  <c r="Q1950" i="2"/>
  <c r="Q1951" i="2"/>
  <c r="Q1952" i="2"/>
  <c r="Q1953" i="2"/>
  <c r="Q1954" i="2"/>
  <c r="Q1955" i="2"/>
  <c r="Q1956" i="2"/>
  <c r="Q1957" i="2"/>
  <c r="Q1958" i="2"/>
  <c r="Q1959" i="2"/>
  <c r="Q1960" i="2"/>
  <c r="Q1961" i="2"/>
  <c r="Q1962" i="2"/>
  <c r="Q1963" i="2"/>
  <c r="Q1964" i="2"/>
  <c r="Q1965" i="2"/>
  <c r="Q1966" i="2"/>
  <c r="Q1967" i="2"/>
  <c r="Q1968" i="2"/>
  <c r="Q1969" i="2"/>
  <c r="Q1970" i="2"/>
  <c r="Q1971" i="2"/>
  <c r="Q1972" i="2"/>
  <c r="Q1973" i="2"/>
  <c r="Q1974" i="2"/>
  <c r="Q1975" i="2"/>
  <c r="Q1976" i="2"/>
  <c r="Q1977" i="2"/>
  <c r="Q1978" i="2"/>
  <c r="Q1979" i="2"/>
  <c r="Q1980" i="2"/>
  <c r="Q1981" i="2"/>
  <c r="Q1982" i="2"/>
  <c r="Q1983" i="2"/>
  <c r="Q1984" i="2"/>
  <c r="Q1985" i="2"/>
  <c r="Q1986" i="2"/>
  <c r="Q1987" i="2"/>
  <c r="Q1988" i="2"/>
  <c r="Q1989" i="2"/>
  <c r="Q1990" i="2"/>
  <c r="Q1991" i="2"/>
  <c r="Q1992" i="2"/>
  <c r="Q1993" i="2"/>
  <c r="Q1994" i="2"/>
  <c r="Q1995" i="2"/>
  <c r="Q1996" i="2"/>
  <c r="Q1997" i="2"/>
  <c r="Q1998" i="2"/>
  <c r="Q1999" i="2"/>
  <c r="Q2000" i="2"/>
  <c r="Q20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" i="2"/>
  <c r="E8" i="10"/>
  <c r="C21" i="14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" i="2"/>
  <c r="E10" i="9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1002" i="2"/>
  <c r="N1003" i="2"/>
  <c r="N1004" i="2"/>
  <c r="N1005" i="2"/>
  <c r="N1006" i="2"/>
  <c r="N1007" i="2"/>
  <c r="N1008" i="2"/>
  <c r="N1009" i="2"/>
  <c r="N1010" i="2"/>
  <c r="N1011" i="2"/>
  <c r="N1012" i="2"/>
  <c r="N1013" i="2"/>
  <c r="N1014" i="2"/>
  <c r="N1015" i="2"/>
  <c r="N1016" i="2"/>
  <c r="N1017" i="2"/>
  <c r="N1018" i="2"/>
  <c r="N1019" i="2"/>
  <c r="N1020" i="2"/>
  <c r="N1021" i="2"/>
  <c r="N1022" i="2"/>
  <c r="N1023" i="2"/>
  <c r="N1024" i="2"/>
  <c r="N1025" i="2"/>
  <c r="N1026" i="2"/>
  <c r="N1027" i="2"/>
  <c r="N1028" i="2"/>
  <c r="N1029" i="2"/>
  <c r="N1030" i="2"/>
  <c r="N1031" i="2"/>
  <c r="N1032" i="2"/>
  <c r="N1033" i="2"/>
  <c r="N1034" i="2"/>
  <c r="N1035" i="2"/>
  <c r="N1036" i="2"/>
  <c r="N1037" i="2"/>
  <c r="N1038" i="2"/>
  <c r="N1039" i="2"/>
  <c r="N1040" i="2"/>
  <c r="N1041" i="2"/>
  <c r="N1042" i="2"/>
  <c r="N1043" i="2"/>
  <c r="N1044" i="2"/>
  <c r="N1045" i="2"/>
  <c r="N1046" i="2"/>
  <c r="N1047" i="2"/>
  <c r="N1048" i="2"/>
  <c r="N1049" i="2"/>
  <c r="N1050" i="2"/>
  <c r="N1051" i="2"/>
  <c r="N1052" i="2"/>
  <c r="N1053" i="2"/>
  <c r="N1054" i="2"/>
  <c r="N1055" i="2"/>
  <c r="N1056" i="2"/>
  <c r="N1057" i="2"/>
  <c r="N1058" i="2"/>
  <c r="N1059" i="2"/>
  <c r="N1060" i="2"/>
  <c r="N1061" i="2"/>
  <c r="N1062" i="2"/>
  <c r="N1063" i="2"/>
  <c r="N1064" i="2"/>
  <c r="N1065" i="2"/>
  <c r="N1066" i="2"/>
  <c r="N1067" i="2"/>
  <c r="N1068" i="2"/>
  <c r="N1069" i="2"/>
  <c r="N1070" i="2"/>
  <c r="N1071" i="2"/>
  <c r="N1072" i="2"/>
  <c r="N1073" i="2"/>
  <c r="N1074" i="2"/>
  <c r="N1075" i="2"/>
  <c r="N1076" i="2"/>
  <c r="N1077" i="2"/>
  <c r="N1078" i="2"/>
  <c r="N1079" i="2"/>
  <c r="N1080" i="2"/>
  <c r="N1081" i="2"/>
  <c r="N1082" i="2"/>
  <c r="N1083" i="2"/>
  <c r="N1084" i="2"/>
  <c r="N1085" i="2"/>
  <c r="N1086" i="2"/>
  <c r="N1087" i="2"/>
  <c r="N1088" i="2"/>
  <c r="N1089" i="2"/>
  <c r="N1090" i="2"/>
  <c r="N1091" i="2"/>
  <c r="N1092" i="2"/>
  <c r="N1093" i="2"/>
  <c r="N1094" i="2"/>
  <c r="N1095" i="2"/>
  <c r="N1096" i="2"/>
  <c r="N1097" i="2"/>
  <c r="N1098" i="2"/>
  <c r="N1099" i="2"/>
  <c r="N1100" i="2"/>
  <c r="N1101" i="2"/>
  <c r="N1102" i="2"/>
  <c r="N1103" i="2"/>
  <c r="N1104" i="2"/>
  <c r="N1105" i="2"/>
  <c r="N1106" i="2"/>
  <c r="N1107" i="2"/>
  <c r="N1108" i="2"/>
  <c r="N1109" i="2"/>
  <c r="N1110" i="2"/>
  <c r="N1111" i="2"/>
  <c r="N1112" i="2"/>
  <c r="N1113" i="2"/>
  <c r="N1114" i="2"/>
  <c r="N1115" i="2"/>
  <c r="N1116" i="2"/>
  <c r="N1117" i="2"/>
  <c r="N1118" i="2"/>
  <c r="N1119" i="2"/>
  <c r="N1120" i="2"/>
  <c r="N1121" i="2"/>
  <c r="N1122" i="2"/>
  <c r="N1123" i="2"/>
  <c r="N1124" i="2"/>
  <c r="N1125" i="2"/>
  <c r="N1126" i="2"/>
  <c r="N1127" i="2"/>
  <c r="N1128" i="2"/>
  <c r="N1129" i="2"/>
  <c r="N1130" i="2"/>
  <c r="N1131" i="2"/>
  <c r="N1132" i="2"/>
  <c r="N1133" i="2"/>
  <c r="N1134" i="2"/>
  <c r="N1135" i="2"/>
  <c r="N1136" i="2"/>
  <c r="N1137" i="2"/>
  <c r="N1138" i="2"/>
  <c r="N1139" i="2"/>
  <c r="N1140" i="2"/>
  <c r="N1141" i="2"/>
  <c r="N1142" i="2"/>
  <c r="N1143" i="2"/>
  <c r="N1144" i="2"/>
  <c r="N1145" i="2"/>
  <c r="N1146" i="2"/>
  <c r="N1147" i="2"/>
  <c r="N1148" i="2"/>
  <c r="N1149" i="2"/>
  <c r="N1150" i="2"/>
  <c r="N1151" i="2"/>
  <c r="N1152" i="2"/>
  <c r="N1153" i="2"/>
  <c r="N1154" i="2"/>
  <c r="N1155" i="2"/>
  <c r="N1156" i="2"/>
  <c r="N1157" i="2"/>
  <c r="N1158" i="2"/>
  <c r="N1159" i="2"/>
  <c r="N1160" i="2"/>
  <c r="N1161" i="2"/>
  <c r="N1162" i="2"/>
  <c r="N1163" i="2"/>
  <c r="N1164" i="2"/>
  <c r="N1165" i="2"/>
  <c r="N1166" i="2"/>
  <c r="N1167" i="2"/>
  <c r="N1168" i="2"/>
  <c r="N1169" i="2"/>
  <c r="N1170" i="2"/>
  <c r="N1171" i="2"/>
  <c r="N1172" i="2"/>
  <c r="N1173" i="2"/>
  <c r="N1174" i="2"/>
  <c r="N1175" i="2"/>
  <c r="N1176" i="2"/>
  <c r="N1177" i="2"/>
  <c r="N1178" i="2"/>
  <c r="N1179" i="2"/>
  <c r="N1180" i="2"/>
  <c r="N1181" i="2"/>
  <c r="N1182" i="2"/>
  <c r="N1183" i="2"/>
  <c r="N1184" i="2"/>
  <c r="N1185" i="2"/>
  <c r="N1186" i="2"/>
  <c r="N1187" i="2"/>
  <c r="N1188" i="2"/>
  <c r="N1189" i="2"/>
  <c r="N1190" i="2"/>
  <c r="N1191" i="2"/>
  <c r="N1192" i="2"/>
  <c r="N1193" i="2"/>
  <c r="N1194" i="2"/>
  <c r="N1195" i="2"/>
  <c r="N1196" i="2"/>
  <c r="N1197" i="2"/>
  <c r="N1198" i="2"/>
  <c r="N1199" i="2"/>
  <c r="N1200" i="2"/>
  <c r="N1201" i="2"/>
  <c r="N1202" i="2"/>
  <c r="N1203" i="2"/>
  <c r="N1204" i="2"/>
  <c r="N1205" i="2"/>
  <c r="N1206" i="2"/>
  <c r="N1207" i="2"/>
  <c r="N1208" i="2"/>
  <c r="N1209" i="2"/>
  <c r="N1210" i="2"/>
  <c r="N1211" i="2"/>
  <c r="N1212" i="2"/>
  <c r="N1213" i="2"/>
  <c r="N1214" i="2"/>
  <c r="N1215" i="2"/>
  <c r="N1216" i="2"/>
  <c r="N1217" i="2"/>
  <c r="N1218" i="2"/>
  <c r="N1219" i="2"/>
  <c r="N1220" i="2"/>
  <c r="N1221" i="2"/>
  <c r="N1222" i="2"/>
  <c r="N1223" i="2"/>
  <c r="N1224" i="2"/>
  <c r="N1225" i="2"/>
  <c r="N1226" i="2"/>
  <c r="N1227" i="2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N1252" i="2"/>
  <c r="N1253" i="2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N1278" i="2"/>
  <c r="N1279" i="2"/>
  <c r="N1280" i="2"/>
  <c r="N1281" i="2"/>
  <c r="N1282" i="2"/>
  <c r="N1283" i="2"/>
  <c r="N1284" i="2"/>
  <c r="N1285" i="2"/>
  <c r="N1286" i="2"/>
  <c r="N1287" i="2"/>
  <c r="N1288" i="2"/>
  <c r="N1289" i="2"/>
  <c r="N1290" i="2"/>
  <c r="N1291" i="2"/>
  <c r="N1292" i="2"/>
  <c r="N1293" i="2"/>
  <c r="N1294" i="2"/>
  <c r="N1295" i="2"/>
  <c r="N1296" i="2"/>
  <c r="N1297" i="2"/>
  <c r="N1298" i="2"/>
  <c r="N1299" i="2"/>
  <c r="N1300" i="2"/>
  <c r="N1301" i="2"/>
  <c r="N1302" i="2"/>
  <c r="N1303" i="2"/>
  <c r="N1304" i="2"/>
  <c r="N1305" i="2"/>
  <c r="N1306" i="2"/>
  <c r="N1307" i="2"/>
  <c r="N1308" i="2"/>
  <c r="N1309" i="2"/>
  <c r="N1310" i="2"/>
  <c r="N1311" i="2"/>
  <c r="N1312" i="2"/>
  <c r="N1313" i="2"/>
  <c r="N1314" i="2"/>
  <c r="N1315" i="2"/>
  <c r="N1316" i="2"/>
  <c r="N1317" i="2"/>
  <c r="N1318" i="2"/>
  <c r="N1319" i="2"/>
  <c r="N1320" i="2"/>
  <c r="N1321" i="2"/>
  <c r="N1322" i="2"/>
  <c r="N1323" i="2"/>
  <c r="N1324" i="2"/>
  <c r="N1325" i="2"/>
  <c r="N1326" i="2"/>
  <c r="N1327" i="2"/>
  <c r="N1328" i="2"/>
  <c r="N1329" i="2"/>
  <c r="N1330" i="2"/>
  <c r="N1331" i="2"/>
  <c r="N1332" i="2"/>
  <c r="N1333" i="2"/>
  <c r="N1334" i="2"/>
  <c r="N1335" i="2"/>
  <c r="N1336" i="2"/>
  <c r="N1337" i="2"/>
  <c r="N1338" i="2"/>
  <c r="N1339" i="2"/>
  <c r="N1340" i="2"/>
  <c r="N1341" i="2"/>
  <c r="N1342" i="2"/>
  <c r="N1343" i="2"/>
  <c r="N1344" i="2"/>
  <c r="N1345" i="2"/>
  <c r="N1346" i="2"/>
  <c r="N1347" i="2"/>
  <c r="N1348" i="2"/>
  <c r="N1349" i="2"/>
  <c r="N1350" i="2"/>
  <c r="N1351" i="2"/>
  <c r="N1352" i="2"/>
  <c r="N1353" i="2"/>
  <c r="N1354" i="2"/>
  <c r="N1355" i="2"/>
  <c r="N1356" i="2"/>
  <c r="N1357" i="2"/>
  <c r="N1358" i="2"/>
  <c r="N1359" i="2"/>
  <c r="N1360" i="2"/>
  <c r="N1361" i="2"/>
  <c r="N1362" i="2"/>
  <c r="N1363" i="2"/>
  <c r="N1364" i="2"/>
  <c r="N1365" i="2"/>
  <c r="N1366" i="2"/>
  <c r="N1367" i="2"/>
  <c r="N1368" i="2"/>
  <c r="N1369" i="2"/>
  <c r="N1370" i="2"/>
  <c r="N1371" i="2"/>
  <c r="N1372" i="2"/>
  <c r="N1373" i="2"/>
  <c r="N1374" i="2"/>
  <c r="N1375" i="2"/>
  <c r="N1376" i="2"/>
  <c r="N1377" i="2"/>
  <c r="N1378" i="2"/>
  <c r="N1379" i="2"/>
  <c r="N1380" i="2"/>
  <c r="N1381" i="2"/>
  <c r="N1382" i="2"/>
  <c r="N1383" i="2"/>
  <c r="N1384" i="2"/>
  <c r="N1385" i="2"/>
  <c r="N1386" i="2"/>
  <c r="N1387" i="2"/>
  <c r="N1388" i="2"/>
  <c r="N1389" i="2"/>
  <c r="N1390" i="2"/>
  <c r="N1391" i="2"/>
  <c r="N1392" i="2"/>
  <c r="N1393" i="2"/>
  <c r="N1394" i="2"/>
  <c r="N1395" i="2"/>
  <c r="N1396" i="2"/>
  <c r="N1397" i="2"/>
  <c r="N1398" i="2"/>
  <c r="N1399" i="2"/>
  <c r="N1400" i="2"/>
  <c r="N1401" i="2"/>
  <c r="N1402" i="2"/>
  <c r="N1403" i="2"/>
  <c r="N1404" i="2"/>
  <c r="N1405" i="2"/>
  <c r="N1406" i="2"/>
  <c r="N1407" i="2"/>
  <c r="N1408" i="2"/>
  <c r="N1409" i="2"/>
  <c r="N1410" i="2"/>
  <c r="N1411" i="2"/>
  <c r="N1412" i="2"/>
  <c r="N1413" i="2"/>
  <c r="N1414" i="2"/>
  <c r="N1415" i="2"/>
  <c r="N1416" i="2"/>
  <c r="N1417" i="2"/>
  <c r="N1418" i="2"/>
  <c r="N1419" i="2"/>
  <c r="N1420" i="2"/>
  <c r="N1421" i="2"/>
  <c r="N1422" i="2"/>
  <c r="N1423" i="2"/>
  <c r="N1424" i="2"/>
  <c r="N1425" i="2"/>
  <c r="N1426" i="2"/>
  <c r="N1427" i="2"/>
  <c r="N1428" i="2"/>
  <c r="N1429" i="2"/>
  <c r="N1430" i="2"/>
  <c r="N1431" i="2"/>
  <c r="N1432" i="2"/>
  <c r="N1433" i="2"/>
  <c r="N1434" i="2"/>
  <c r="N1435" i="2"/>
  <c r="N1436" i="2"/>
  <c r="N1437" i="2"/>
  <c r="N1438" i="2"/>
  <c r="N1439" i="2"/>
  <c r="N1440" i="2"/>
  <c r="N1441" i="2"/>
  <c r="N1442" i="2"/>
  <c r="N1443" i="2"/>
  <c r="N1444" i="2"/>
  <c r="N1445" i="2"/>
  <c r="N1446" i="2"/>
  <c r="N1447" i="2"/>
  <c r="N1448" i="2"/>
  <c r="N1449" i="2"/>
  <c r="N1450" i="2"/>
  <c r="N1451" i="2"/>
  <c r="N1452" i="2"/>
  <c r="N1453" i="2"/>
  <c r="N1454" i="2"/>
  <c r="N1455" i="2"/>
  <c r="N1456" i="2"/>
  <c r="N1457" i="2"/>
  <c r="N1458" i="2"/>
  <c r="N1459" i="2"/>
  <c r="N1460" i="2"/>
  <c r="N1461" i="2"/>
  <c r="N1462" i="2"/>
  <c r="N1463" i="2"/>
  <c r="N1464" i="2"/>
  <c r="N1465" i="2"/>
  <c r="N1466" i="2"/>
  <c r="N1467" i="2"/>
  <c r="N1468" i="2"/>
  <c r="N1469" i="2"/>
  <c r="N1470" i="2"/>
  <c r="N1471" i="2"/>
  <c r="N1472" i="2"/>
  <c r="N1473" i="2"/>
  <c r="N1474" i="2"/>
  <c r="N1475" i="2"/>
  <c r="N1476" i="2"/>
  <c r="N1477" i="2"/>
  <c r="N1478" i="2"/>
  <c r="N1479" i="2"/>
  <c r="N1480" i="2"/>
  <c r="N1481" i="2"/>
  <c r="N1482" i="2"/>
  <c r="N1483" i="2"/>
  <c r="N1484" i="2"/>
  <c r="N1485" i="2"/>
  <c r="N1486" i="2"/>
  <c r="N1487" i="2"/>
  <c r="N1488" i="2"/>
  <c r="N1489" i="2"/>
  <c r="N1490" i="2"/>
  <c r="N1491" i="2"/>
  <c r="N1492" i="2"/>
  <c r="N1493" i="2"/>
  <c r="N1494" i="2"/>
  <c r="N1495" i="2"/>
  <c r="N1496" i="2"/>
  <c r="N1497" i="2"/>
  <c r="N1498" i="2"/>
  <c r="N1499" i="2"/>
  <c r="N1500" i="2"/>
  <c r="N1501" i="2"/>
  <c r="N1502" i="2"/>
  <c r="N1503" i="2"/>
  <c r="N1504" i="2"/>
  <c r="N1505" i="2"/>
  <c r="N1506" i="2"/>
  <c r="N1507" i="2"/>
  <c r="N1508" i="2"/>
  <c r="N1509" i="2"/>
  <c r="N1510" i="2"/>
  <c r="N1511" i="2"/>
  <c r="N1512" i="2"/>
  <c r="N1513" i="2"/>
  <c r="N1514" i="2"/>
  <c r="N1515" i="2"/>
  <c r="N1516" i="2"/>
  <c r="N1517" i="2"/>
  <c r="N1518" i="2"/>
  <c r="N1519" i="2"/>
  <c r="N1520" i="2"/>
  <c r="N1521" i="2"/>
  <c r="N1522" i="2"/>
  <c r="N1523" i="2"/>
  <c r="N1524" i="2"/>
  <c r="N1525" i="2"/>
  <c r="N1526" i="2"/>
  <c r="N1527" i="2"/>
  <c r="N1528" i="2"/>
  <c r="N1529" i="2"/>
  <c r="N1530" i="2"/>
  <c r="N1531" i="2"/>
  <c r="N1532" i="2"/>
  <c r="N1533" i="2"/>
  <c r="N1534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N1548" i="2"/>
  <c r="N1549" i="2"/>
  <c r="N1550" i="2"/>
  <c r="N1551" i="2"/>
  <c r="N1552" i="2"/>
  <c r="N1553" i="2"/>
  <c r="N1554" i="2"/>
  <c r="N1555" i="2"/>
  <c r="N1556" i="2"/>
  <c r="N1557" i="2"/>
  <c r="N1558" i="2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N1576" i="2"/>
  <c r="N1577" i="2"/>
  <c r="N1578" i="2"/>
  <c r="N1579" i="2"/>
  <c r="N1580" i="2"/>
  <c r="N1581" i="2"/>
  <c r="N1582" i="2"/>
  <c r="N1583" i="2"/>
  <c r="N1584" i="2"/>
  <c r="N1585" i="2"/>
  <c r="N1586" i="2"/>
  <c r="N1587" i="2"/>
  <c r="N1588" i="2"/>
  <c r="N1589" i="2"/>
  <c r="N1590" i="2"/>
  <c r="N1591" i="2"/>
  <c r="N1592" i="2"/>
  <c r="N1593" i="2"/>
  <c r="N1594" i="2"/>
  <c r="N1595" i="2"/>
  <c r="N1596" i="2"/>
  <c r="N1597" i="2"/>
  <c r="N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N1619" i="2"/>
  <c r="N1620" i="2"/>
  <c r="N1621" i="2"/>
  <c r="N1622" i="2"/>
  <c r="N1623" i="2"/>
  <c r="N1624" i="2"/>
  <c r="N1625" i="2"/>
  <c r="N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N1640" i="2"/>
  <c r="N1641" i="2"/>
  <c r="N1642" i="2"/>
  <c r="N1643" i="2"/>
  <c r="N1644" i="2"/>
  <c r="N1645" i="2"/>
  <c r="N1646" i="2"/>
  <c r="N1647" i="2"/>
  <c r="N1648" i="2"/>
  <c r="N1649" i="2"/>
  <c r="N1650" i="2"/>
  <c r="N1651" i="2"/>
  <c r="N1652" i="2"/>
  <c r="N1653" i="2"/>
  <c r="N1654" i="2"/>
  <c r="N1655" i="2"/>
  <c r="N1656" i="2"/>
  <c r="N1657" i="2"/>
  <c r="N1658" i="2"/>
  <c r="N1659" i="2"/>
  <c r="N1660" i="2"/>
  <c r="N1661" i="2"/>
  <c r="N1662" i="2"/>
  <c r="N1663" i="2"/>
  <c r="N1664" i="2"/>
  <c r="N1665" i="2"/>
  <c r="N1666" i="2"/>
  <c r="N1667" i="2"/>
  <c r="N1668" i="2"/>
  <c r="N1669" i="2"/>
  <c r="N1670" i="2"/>
  <c r="N1671" i="2"/>
  <c r="N1672" i="2"/>
  <c r="N1673" i="2"/>
  <c r="N1674" i="2"/>
  <c r="N1675" i="2"/>
  <c r="N1676" i="2"/>
  <c r="N1677" i="2"/>
  <c r="N1678" i="2"/>
  <c r="N1679" i="2"/>
  <c r="N1680" i="2"/>
  <c r="N1681" i="2"/>
  <c r="N1682" i="2"/>
  <c r="N1683" i="2"/>
  <c r="N1684" i="2"/>
  <c r="N1685" i="2"/>
  <c r="N1686" i="2"/>
  <c r="N1687" i="2"/>
  <c r="N1688" i="2"/>
  <c r="N1689" i="2"/>
  <c r="N1690" i="2"/>
  <c r="N1691" i="2"/>
  <c r="N1692" i="2"/>
  <c r="N1693" i="2"/>
  <c r="N1694" i="2"/>
  <c r="N1695" i="2"/>
  <c r="N1696" i="2"/>
  <c r="N1697" i="2"/>
  <c r="N1698" i="2"/>
  <c r="N1699" i="2"/>
  <c r="N1700" i="2"/>
  <c r="N1701" i="2"/>
  <c r="N1702" i="2"/>
  <c r="N1703" i="2"/>
  <c r="N1704" i="2"/>
  <c r="N1705" i="2"/>
  <c r="N1706" i="2"/>
  <c r="N1707" i="2"/>
  <c r="N1708" i="2"/>
  <c r="N1709" i="2"/>
  <c r="N1710" i="2"/>
  <c r="N1711" i="2"/>
  <c r="N1712" i="2"/>
  <c r="N1713" i="2"/>
  <c r="N1714" i="2"/>
  <c r="N1715" i="2"/>
  <c r="N1716" i="2"/>
  <c r="N1717" i="2"/>
  <c r="N1718" i="2"/>
  <c r="N1719" i="2"/>
  <c r="N1720" i="2"/>
  <c r="N1721" i="2"/>
  <c r="N1722" i="2"/>
  <c r="N1723" i="2"/>
  <c r="N1724" i="2"/>
  <c r="N1725" i="2"/>
  <c r="N1726" i="2"/>
  <c r="N1727" i="2"/>
  <c r="N1728" i="2"/>
  <c r="N1729" i="2"/>
  <c r="N1730" i="2"/>
  <c r="N1731" i="2"/>
  <c r="N1732" i="2"/>
  <c r="N1733" i="2"/>
  <c r="N1734" i="2"/>
  <c r="N1735" i="2"/>
  <c r="N1736" i="2"/>
  <c r="N1737" i="2"/>
  <c r="N1738" i="2"/>
  <c r="N1739" i="2"/>
  <c r="N1740" i="2"/>
  <c r="N1741" i="2"/>
  <c r="N1742" i="2"/>
  <c r="N1743" i="2"/>
  <c r="N1744" i="2"/>
  <c r="N1745" i="2"/>
  <c r="N1746" i="2"/>
  <c r="N1747" i="2"/>
  <c r="N1748" i="2"/>
  <c r="N1749" i="2"/>
  <c r="N1750" i="2"/>
  <c r="N1751" i="2"/>
  <c r="N1752" i="2"/>
  <c r="N1753" i="2"/>
  <c r="N1754" i="2"/>
  <c r="N1755" i="2"/>
  <c r="N1756" i="2"/>
  <c r="N1757" i="2"/>
  <c r="N1758" i="2"/>
  <c r="N1759" i="2"/>
  <c r="N1760" i="2"/>
  <c r="N1761" i="2"/>
  <c r="N1762" i="2"/>
  <c r="N1763" i="2"/>
  <c r="N1764" i="2"/>
  <c r="N1765" i="2"/>
  <c r="N1766" i="2"/>
  <c r="N1767" i="2"/>
  <c r="N1768" i="2"/>
  <c r="N1769" i="2"/>
  <c r="N1770" i="2"/>
  <c r="N1771" i="2"/>
  <c r="N1772" i="2"/>
  <c r="N1773" i="2"/>
  <c r="N1774" i="2"/>
  <c r="N1775" i="2"/>
  <c r="N1776" i="2"/>
  <c r="N1777" i="2"/>
  <c r="N1778" i="2"/>
  <c r="N1779" i="2"/>
  <c r="N1780" i="2"/>
  <c r="N1781" i="2"/>
  <c r="N1782" i="2"/>
  <c r="N1783" i="2"/>
  <c r="N1784" i="2"/>
  <c r="N1785" i="2"/>
  <c r="N1786" i="2"/>
  <c r="N1787" i="2"/>
  <c r="N1788" i="2"/>
  <c r="N1789" i="2"/>
  <c r="N1790" i="2"/>
  <c r="N1791" i="2"/>
  <c r="N1792" i="2"/>
  <c r="N1793" i="2"/>
  <c r="N1794" i="2"/>
  <c r="N1795" i="2"/>
  <c r="N1796" i="2"/>
  <c r="N1797" i="2"/>
  <c r="N1798" i="2"/>
  <c r="N1799" i="2"/>
  <c r="N1800" i="2"/>
  <c r="N1801" i="2"/>
  <c r="N1802" i="2"/>
  <c r="N1803" i="2"/>
  <c r="N1804" i="2"/>
  <c r="N1805" i="2"/>
  <c r="N1806" i="2"/>
  <c r="N1807" i="2"/>
  <c r="N1808" i="2"/>
  <c r="N1809" i="2"/>
  <c r="N1810" i="2"/>
  <c r="N1811" i="2"/>
  <c r="N1812" i="2"/>
  <c r="N1813" i="2"/>
  <c r="N1814" i="2"/>
  <c r="N1815" i="2"/>
  <c r="N1816" i="2"/>
  <c r="N1817" i="2"/>
  <c r="N1818" i="2"/>
  <c r="N1819" i="2"/>
  <c r="N1820" i="2"/>
  <c r="N1821" i="2"/>
  <c r="N1822" i="2"/>
  <c r="N1823" i="2"/>
  <c r="N1824" i="2"/>
  <c r="N1825" i="2"/>
  <c r="N1826" i="2"/>
  <c r="N1827" i="2"/>
  <c r="N1828" i="2"/>
  <c r="N1829" i="2"/>
  <c r="N1830" i="2"/>
  <c r="N1831" i="2"/>
  <c r="N1832" i="2"/>
  <c r="N1833" i="2"/>
  <c r="N1834" i="2"/>
  <c r="N1835" i="2"/>
  <c r="N1836" i="2"/>
  <c r="N1837" i="2"/>
  <c r="N1838" i="2"/>
  <c r="N1839" i="2"/>
  <c r="N1840" i="2"/>
  <c r="N1841" i="2"/>
  <c r="N1842" i="2"/>
  <c r="N1843" i="2"/>
  <c r="N1844" i="2"/>
  <c r="N1845" i="2"/>
  <c r="N1846" i="2"/>
  <c r="N1847" i="2"/>
  <c r="N1848" i="2"/>
  <c r="N1849" i="2"/>
  <c r="N1850" i="2"/>
  <c r="N1851" i="2"/>
  <c r="N1852" i="2"/>
  <c r="N1853" i="2"/>
  <c r="N1854" i="2"/>
  <c r="N1855" i="2"/>
  <c r="N1856" i="2"/>
  <c r="N1857" i="2"/>
  <c r="N1858" i="2"/>
  <c r="N1859" i="2"/>
  <c r="N1860" i="2"/>
  <c r="N1861" i="2"/>
  <c r="N1862" i="2"/>
  <c r="N1863" i="2"/>
  <c r="N1864" i="2"/>
  <c r="N1865" i="2"/>
  <c r="N1866" i="2"/>
  <c r="N1867" i="2"/>
  <c r="N1868" i="2"/>
  <c r="N1869" i="2"/>
  <c r="N1870" i="2"/>
  <c r="N1871" i="2"/>
  <c r="N1872" i="2"/>
  <c r="N1873" i="2"/>
  <c r="N1874" i="2"/>
  <c r="N1875" i="2"/>
  <c r="N1876" i="2"/>
  <c r="N1877" i="2"/>
  <c r="N1878" i="2"/>
  <c r="N1879" i="2"/>
  <c r="N1880" i="2"/>
  <c r="N1881" i="2"/>
  <c r="N1882" i="2"/>
  <c r="N1883" i="2"/>
  <c r="N1884" i="2"/>
  <c r="N1885" i="2"/>
  <c r="N1886" i="2"/>
  <c r="N1887" i="2"/>
  <c r="N1888" i="2"/>
  <c r="N1889" i="2"/>
  <c r="N1890" i="2"/>
  <c r="N1891" i="2"/>
  <c r="N1892" i="2"/>
  <c r="N1893" i="2"/>
  <c r="N1894" i="2"/>
  <c r="N1895" i="2"/>
  <c r="N1896" i="2"/>
  <c r="N1897" i="2"/>
  <c r="N1898" i="2"/>
  <c r="N1899" i="2"/>
  <c r="N1900" i="2"/>
  <c r="N1901" i="2"/>
  <c r="N1902" i="2"/>
  <c r="N1903" i="2"/>
  <c r="N1904" i="2"/>
  <c r="N1905" i="2"/>
  <c r="N1906" i="2"/>
  <c r="N1907" i="2"/>
  <c r="N1908" i="2"/>
  <c r="N1909" i="2"/>
  <c r="N1910" i="2"/>
  <c r="N1911" i="2"/>
  <c r="N1912" i="2"/>
  <c r="N1913" i="2"/>
  <c r="N1914" i="2"/>
  <c r="N1915" i="2"/>
  <c r="N1916" i="2"/>
  <c r="N1917" i="2"/>
  <c r="N1918" i="2"/>
  <c r="N1919" i="2"/>
  <c r="N1920" i="2"/>
  <c r="N1921" i="2"/>
  <c r="N1922" i="2"/>
  <c r="N1923" i="2"/>
  <c r="N1924" i="2"/>
  <c r="N1925" i="2"/>
  <c r="N1926" i="2"/>
  <c r="N1927" i="2"/>
  <c r="N1928" i="2"/>
  <c r="N1929" i="2"/>
  <c r="N1930" i="2"/>
  <c r="N1931" i="2"/>
  <c r="N1932" i="2"/>
  <c r="N1933" i="2"/>
  <c r="N1934" i="2"/>
  <c r="N1935" i="2"/>
  <c r="N1936" i="2"/>
  <c r="N1937" i="2"/>
  <c r="N1938" i="2"/>
  <c r="N1939" i="2"/>
  <c r="N1940" i="2"/>
  <c r="N1941" i="2"/>
  <c r="N1942" i="2"/>
  <c r="N1943" i="2"/>
  <c r="N1944" i="2"/>
  <c r="N1945" i="2"/>
  <c r="N1946" i="2"/>
  <c r="N1947" i="2"/>
  <c r="N1948" i="2"/>
  <c r="N1949" i="2"/>
  <c r="N1950" i="2"/>
  <c r="N1951" i="2"/>
  <c r="N1952" i="2"/>
  <c r="N1953" i="2"/>
  <c r="N1954" i="2"/>
  <c r="N1955" i="2"/>
  <c r="N1956" i="2"/>
  <c r="N1957" i="2"/>
  <c r="N1958" i="2"/>
  <c r="N1959" i="2"/>
  <c r="N1960" i="2"/>
  <c r="N1961" i="2"/>
  <c r="N1962" i="2"/>
  <c r="N1963" i="2"/>
  <c r="N1964" i="2"/>
  <c r="N1965" i="2"/>
  <c r="N1966" i="2"/>
  <c r="N1967" i="2"/>
  <c r="N1968" i="2"/>
  <c r="N1969" i="2"/>
  <c r="N1970" i="2"/>
  <c r="N1971" i="2"/>
  <c r="N1972" i="2"/>
  <c r="N1973" i="2"/>
  <c r="N1974" i="2"/>
  <c r="N1975" i="2"/>
  <c r="N1976" i="2"/>
  <c r="N1977" i="2"/>
  <c r="N1978" i="2"/>
  <c r="N1979" i="2"/>
  <c r="N1980" i="2"/>
  <c r="N1981" i="2"/>
  <c r="N1982" i="2"/>
  <c r="N1983" i="2"/>
  <c r="N1984" i="2"/>
  <c r="N1985" i="2"/>
  <c r="N1986" i="2"/>
  <c r="N1987" i="2"/>
  <c r="N1988" i="2"/>
  <c r="N1989" i="2"/>
  <c r="N1990" i="2"/>
  <c r="N1991" i="2"/>
  <c r="N1992" i="2"/>
  <c r="N1993" i="2"/>
  <c r="N1994" i="2"/>
  <c r="N1995" i="2"/>
  <c r="N1996" i="2"/>
  <c r="N1997" i="2"/>
  <c r="N1998" i="2"/>
  <c r="N1999" i="2"/>
  <c r="N2000" i="2"/>
  <c r="N2001" i="2"/>
  <c r="N2002" i="2"/>
  <c r="N2003" i="2"/>
  <c r="N2005" i="2"/>
  <c r="N2" i="2"/>
  <c r="E9" i="9"/>
  <c r="E8" i="9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2" i="5"/>
  <c r="E7" i="9"/>
  <c r="M1556" i="2"/>
  <c r="M1557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M2001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M1449" i="2"/>
  <c r="M1450" i="2"/>
  <c r="M1451" i="2"/>
  <c r="M1452" i="2"/>
  <c r="M1453" i="2"/>
  <c r="M1454" i="2"/>
  <c r="M1455" i="2"/>
  <c r="M1456" i="2"/>
  <c r="M1457" i="2"/>
  <c r="M1458" i="2"/>
  <c r="M1459" i="2"/>
  <c r="M1460" i="2"/>
  <c r="M1461" i="2"/>
  <c r="M1462" i="2"/>
  <c r="M1463" i="2"/>
  <c r="M1464" i="2"/>
  <c r="M1465" i="2"/>
  <c r="M1466" i="2"/>
  <c r="M1467" i="2"/>
  <c r="M1468" i="2"/>
  <c r="M1469" i="2"/>
  <c r="M1470" i="2"/>
  <c r="M1471" i="2"/>
  <c r="M1472" i="2"/>
  <c r="M1473" i="2"/>
  <c r="M1474" i="2"/>
  <c r="M1475" i="2"/>
  <c r="M1476" i="2"/>
  <c r="M1477" i="2"/>
  <c r="M1478" i="2"/>
  <c r="M1479" i="2"/>
  <c r="M1480" i="2"/>
  <c r="M1481" i="2"/>
  <c r="M1482" i="2"/>
  <c r="M1483" i="2"/>
  <c r="M1484" i="2"/>
  <c r="M1485" i="2"/>
  <c r="M1486" i="2"/>
  <c r="M1487" i="2"/>
  <c r="M1488" i="2"/>
  <c r="M1489" i="2"/>
  <c r="M1490" i="2"/>
  <c r="M1491" i="2"/>
  <c r="M1492" i="2"/>
  <c r="M1493" i="2"/>
  <c r="M1494" i="2"/>
  <c r="M1495" i="2"/>
  <c r="M1496" i="2"/>
  <c r="M1497" i="2"/>
  <c r="M1498" i="2"/>
  <c r="M1499" i="2"/>
  <c r="M1500" i="2"/>
  <c r="M1501" i="2"/>
  <c r="M1502" i="2"/>
  <c r="M1503" i="2"/>
  <c r="M1504" i="2"/>
  <c r="M1505" i="2"/>
  <c r="M1506" i="2"/>
  <c r="M1507" i="2"/>
  <c r="M1508" i="2"/>
  <c r="M1509" i="2"/>
  <c r="M1510" i="2"/>
  <c r="M1511" i="2"/>
  <c r="M1512" i="2"/>
  <c r="M1513" i="2"/>
  <c r="M1514" i="2"/>
  <c r="M1515" i="2"/>
  <c r="M1516" i="2"/>
  <c r="M1517" i="2"/>
  <c r="M1518" i="2"/>
  <c r="M1519" i="2"/>
  <c r="M1520" i="2"/>
  <c r="M1521" i="2"/>
  <c r="M1522" i="2"/>
  <c r="M1523" i="2"/>
  <c r="M1524" i="2"/>
  <c r="M1525" i="2"/>
  <c r="M1526" i="2"/>
  <c r="M1527" i="2"/>
  <c r="M1528" i="2"/>
  <c r="M1529" i="2"/>
  <c r="M1530" i="2"/>
  <c r="M1531" i="2"/>
  <c r="M1532" i="2"/>
  <c r="M1533" i="2"/>
  <c r="M1534" i="2"/>
  <c r="M1535" i="2"/>
  <c r="M1536" i="2"/>
  <c r="M1537" i="2"/>
  <c r="M1538" i="2"/>
  <c r="M1539" i="2"/>
  <c r="M1540" i="2"/>
  <c r="M1541" i="2"/>
  <c r="M1542" i="2"/>
  <c r="M1543" i="2"/>
  <c r="M1544" i="2"/>
  <c r="M1545" i="2"/>
  <c r="M1546" i="2"/>
  <c r="M1547" i="2"/>
  <c r="M1548" i="2"/>
  <c r="M1549" i="2"/>
  <c r="M1550" i="2"/>
  <c r="M1551" i="2"/>
  <c r="M1552" i="2"/>
  <c r="M1553" i="2"/>
  <c r="M1554" i="2"/>
  <c r="M1555" i="2"/>
  <c r="M1558" i="2"/>
  <c r="M1559" i="2"/>
  <c r="M1560" i="2"/>
  <c r="M1561" i="2"/>
  <c r="M1562" i="2"/>
  <c r="M1563" i="2"/>
  <c r="M1564" i="2"/>
  <c r="M1565" i="2"/>
  <c r="M1566" i="2"/>
  <c r="M1567" i="2"/>
  <c r="M1568" i="2"/>
  <c r="M1569" i="2"/>
  <c r="M1570" i="2"/>
  <c r="M1571" i="2"/>
  <c r="M1572" i="2"/>
  <c r="M1573" i="2"/>
  <c r="M1574" i="2"/>
  <c r="M1575" i="2"/>
  <c r="M1576" i="2"/>
  <c r="M1577" i="2"/>
  <c r="M1578" i="2"/>
  <c r="M1579" i="2"/>
  <c r="M1580" i="2"/>
  <c r="M1581" i="2"/>
  <c r="M1582" i="2"/>
  <c r="M1583" i="2"/>
  <c r="M1584" i="2"/>
  <c r="M1585" i="2"/>
  <c r="M1586" i="2"/>
  <c r="M1587" i="2"/>
  <c r="M1588" i="2"/>
  <c r="M1589" i="2"/>
  <c r="M1590" i="2"/>
  <c r="M1591" i="2"/>
  <c r="M1592" i="2"/>
  <c r="M1593" i="2"/>
  <c r="M1594" i="2"/>
  <c r="M1595" i="2"/>
  <c r="M1596" i="2"/>
  <c r="M1597" i="2"/>
  <c r="M1598" i="2"/>
  <c r="M1599" i="2"/>
  <c r="M1600" i="2"/>
  <c r="M1601" i="2"/>
  <c r="M1602" i="2"/>
  <c r="M1603" i="2"/>
  <c r="M1604" i="2"/>
  <c r="M1605" i="2"/>
  <c r="M1606" i="2"/>
  <c r="M1607" i="2"/>
  <c r="M1608" i="2"/>
  <c r="M1609" i="2"/>
  <c r="M1610" i="2"/>
  <c r="M1611" i="2"/>
  <c r="M1612" i="2"/>
  <c r="M1613" i="2"/>
  <c r="M1614" i="2"/>
  <c r="M1615" i="2"/>
  <c r="M1616" i="2"/>
  <c r="M1617" i="2"/>
  <c r="M1618" i="2"/>
  <c r="M1619" i="2"/>
  <c r="M1620" i="2"/>
  <c r="M1621" i="2"/>
  <c r="M1622" i="2"/>
  <c r="M1623" i="2"/>
  <c r="M1624" i="2"/>
  <c r="M1625" i="2"/>
  <c r="M1626" i="2"/>
  <c r="M1627" i="2"/>
  <c r="M1628" i="2"/>
  <c r="M1629" i="2"/>
  <c r="M1630" i="2"/>
  <c r="M1631" i="2"/>
  <c r="M1632" i="2"/>
  <c r="M1633" i="2"/>
  <c r="M1634" i="2"/>
  <c r="M1635" i="2"/>
  <c r="M1636" i="2"/>
  <c r="M1637" i="2"/>
  <c r="M1638" i="2"/>
  <c r="M1639" i="2"/>
  <c r="M1640" i="2"/>
  <c r="M1641" i="2"/>
  <c r="M1642" i="2"/>
  <c r="M1643" i="2"/>
  <c r="M1644" i="2"/>
  <c r="M1645" i="2"/>
  <c r="M1646" i="2"/>
  <c r="M1647" i="2"/>
  <c r="M1648" i="2"/>
  <c r="M1649" i="2"/>
  <c r="M1650" i="2"/>
  <c r="M1651" i="2"/>
  <c r="M1652" i="2"/>
  <c r="M1653" i="2"/>
  <c r="M1654" i="2"/>
  <c r="M1655" i="2"/>
  <c r="M1656" i="2"/>
  <c r="M1657" i="2"/>
  <c r="M1658" i="2"/>
  <c r="M1659" i="2"/>
  <c r="M1660" i="2"/>
  <c r="M1661" i="2"/>
  <c r="M1662" i="2"/>
  <c r="M1663" i="2"/>
  <c r="M1664" i="2"/>
  <c r="M1665" i="2"/>
  <c r="M1666" i="2"/>
  <c r="M1667" i="2"/>
  <c r="M1668" i="2"/>
  <c r="M1669" i="2"/>
  <c r="M1670" i="2"/>
  <c r="M1671" i="2"/>
  <c r="M1672" i="2"/>
  <c r="M1673" i="2"/>
  <c r="M1674" i="2"/>
  <c r="M1675" i="2"/>
  <c r="M1676" i="2"/>
  <c r="M1677" i="2"/>
  <c r="M1678" i="2"/>
  <c r="M1679" i="2"/>
  <c r="M1680" i="2"/>
  <c r="M1681" i="2"/>
  <c r="M1682" i="2"/>
  <c r="M1683" i="2"/>
  <c r="M1684" i="2"/>
  <c r="M1685" i="2"/>
  <c r="M1686" i="2"/>
  <c r="M1687" i="2"/>
  <c r="M1688" i="2"/>
  <c r="M1689" i="2"/>
  <c r="M1690" i="2"/>
  <c r="M1691" i="2"/>
  <c r="M1692" i="2"/>
  <c r="M1693" i="2"/>
  <c r="M1694" i="2"/>
  <c r="M1695" i="2"/>
  <c r="M1696" i="2"/>
  <c r="M1697" i="2"/>
  <c r="M1698" i="2"/>
  <c r="M1699" i="2"/>
  <c r="M1700" i="2"/>
  <c r="M1701" i="2"/>
  <c r="M1702" i="2"/>
  <c r="M1703" i="2"/>
  <c r="M1704" i="2"/>
  <c r="M1705" i="2"/>
  <c r="M1706" i="2"/>
  <c r="M1707" i="2"/>
  <c r="M1708" i="2"/>
  <c r="M1709" i="2"/>
  <c r="M1710" i="2"/>
  <c r="M1711" i="2"/>
  <c r="M1712" i="2"/>
  <c r="M1713" i="2"/>
  <c r="M1714" i="2"/>
  <c r="M1715" i="2"/>
  <c r="M1716" i="2"/>
  <c r="M1717" i="2"/>
  <c r="M1718" i="2"/>
  <c r="M1719" i="2"/>
  <c r="M1720" i="2"/>
  <c r="M1721" i="2"/>
  <c r="M1722" i="2"/>
  <c r="M1723" i="2"/>
  <c r="M1724" i="2"/>
  <c r="M1725" i="2"/>
  <c r="M1726" i="2"/>
  <c r="M1727" i="2"/>
  <c r="M1728" i="2"/>
  <c r="M1729" i="2"/>
  <c r="M1730" i="2"/>
  <c r="M1731" i="2"/>
  <c r="M1732" i="2"/>
  <c r="M1733" i="2"/>
  <c r="M1734" i="2"/>
  <c r="M1735" i="2"/>
  <c r="M1736" i="2"/>
  <c r="M1737" i="2"/>
  <c r="M1738" i="2"/>
  <c r="M1739" i="2"/>
  <c r="M1740" i="2"/>
  <c r="M1741" i="2"/>
  <c r="M1742" i="2"/>
  <c r="M1743" i="2"/>
  <c r="M1744" i="2"/>
  <c r="M1745" i="2"/>
  <c r="M1746" i="2"/>
  <c r="M1747" i="2"/>
  <c r="M1748" i="2"/>
  <c r="M1749" i="2"/>
  <c r="M1750" i="2"/>
  <c r="M1751" i="2"/>
  <c r="M1752" i="2"/>
  <c r="M1753" i="2"/>
  <c r="M1754" i="2"/>
  <c r="M1755" i="2"/>
  <c r="M1756" i="2"/>
  <c r="M1757" i="2"/>
  <c r="M1758" i="2"/>
  <c r="M1759" i="2"/>
  <c r="M1760" i="2"/>
  <c r="M1761" i="2"/>
  <c r="M1762" i="2"/>
  <c r="M1763" i="2"/>
  <c r="M1764" i="2"/>
  <c r="M1765" i="2"/>
  <c r="M1766" i="2"/>
  <c r="M1767" i="2"/>
  <c r="M1768" i="2"/>
  <c r="M1769" i="2"/>
  <c r="M1770" i="2"/>
  <c r="M1771" i="2"/>
  <c r="M1772" i="2"/>
  <c r="M1773" i="2"/>
  <c r="M1774" i="2"/>
  <c r="M1775" i="2"/>
  <c r="M1776" i="2"/>
  <c r="M1777" i="2"/>
  <c r="M1778" i="2"/>
  <c r="M1779" i="2"/>
  <c r="M1780" i="2"/>
  <c r="M1781" i="2"/>
  <c r="M1782" i="2"/>
  <c r="M1783" i="2"/>
  <c r="M1784" i="2"/>
  <c r="M1785" i="2"/>
  <c r="M1786" i="2"/>
  <c r="M1787" i="2"/>
  <c r="M1788" i="2"/>
  <c r="M1789" i="2"/>
  <c r="M1790" i="2"/>
  <c r="M1791" i="2"/>
  <c r="M1792" i="2"/>
  <c r="M1793" i="2"/>
  <c r="M1794" i="2"/>
  <c r="M1795" i="2"/>
  <c r="M1796" i="2"/>
  <c r="M1797" i="2"/>
  <c r="M1798" i="2"/>
  <c r="M1799" i="2"/>
  <c r="M1800" i="2"/>
  <c r="M1801" i="2"/>
  <c r="M1802" i="2"/>
  <c r="M1803" i="2"/>
  <c r="M1804" i="2"/>
  <c r="M1805" i="2"/>
  <c r="M1806" i="2"/>
  <c r="M1807" i="2"/>
  <c r="M1808" i="2"/>
  <c r="M1809" i="2"/>
  <c r="M1810" i="2"/>
  <c r="M1811" i="2"/>
  <c r="M1812" i="2"/>
  <c r="M1813" i="2"/>
  <c r="M1814" i="2"/>
  <c r="M1815" i="2"/>
  <c r="M1816" i="2"/>
  <c r="M1817" i="2"/>
  <c r="M1818" i="2"/>
  <c r="M1819" i="2"/>
  <c r="M1820" i="2"/>
  <c r="M1821" i="2"/>
  <c r="M1822" i="2"/>
  <c r="M1823" i="2"/>
  <c r="M1824" i="2"/>
  <c r="M1825" i="2"/>
  <c r="M1826" i="2"/>
  <c r="M1827" i="2"/>
  <c r="M1828" i="2"/>
  <c r="M1829" i="2"/>
  <c r="M1830" i="2"/>
  <c r="M1831" i="2"/>
  <c r="M1832" i="2"/>
  <c r="M1833" i="2"/>
  <c r="M1834" i="2"/>
  <c r="M1835" i="2"/>
  <c r="M1836" i="2"/>
  <c r="M1837" i="2"/>
  <c r="M1838" i="2"/>
  <c r="M1839" i="2"/>
  <c r="M1840" i="2"/>
  <c r="M1841" i="2"/>
  <c r="M1842" i="2"/>
  <c r="M1843" i="2"/>
  <c r="M1844" i="2"/>
  <c r="M1845" i="2"/>
  <c r="M1846" i="2"/>
  <c r="M1847" i="2"/>
  <c r="M1848" i="2"/>
  <c r="M1849" i="2"/>
  <c r="M1850" i="2"/>
  <c r="M1851" i="2"/>
  <c r="M1852" i="2"/>
  <c r="M1853" i="2"/>
  <c r="M1854" i="2"/>
  <c r="M1855" i="2"/>
  <c r="M1856" i="2"/>
  <c r="M1857" i="2"/>
  <c r="M1858" i="2"/>
  <c r="M1859" i="2"/>
  <c r="M1860" i="2"/>
  <c r="M1861" i="2"/>
  <c r="M1862" i="2"/>
  <c r="M1863" i="2"/>
  <c r="M1864" i="2"/>
  <c r="M1865" i="2"/>
  <c r="M1866" i="2"/>
  <c r="M1867" i="2"/>
  <c r="M1868" i="2"/>
  <c r="M1869" i="2"/>
  <c r="M1870" i="2"/>
  <c r="M1871" i="2"/>
  <c r="M1872" i="2"/>
  <c r="M1873" i="2"/>
  <c r="M1874" i="2"/>
  <c r="M1875" i="2"/>
  <c r="M1876" i="2"/>
  <c r="M1877" i="2"/>
  <c r="M1878" i="2"/>
  <c r="M1879" i="2"/>
  <c r="M1880" i="2"/>
  <c r="M1881" i="2"/>
  <c r="M1882" i="2"/>
  <c r="M1883" i="2"/>
  <c r="M1884" i="2"/>
  <c r="M1885" i="2"/>
  <c r="M1886" i="2"/>
  <c r="M1887" i="2"/>
  <c r="M1888" i="2"/>
  <c r="M1889" i="2"/>
  <c r="M1890" i="2"/>
  <c r="M1891" i="2"/>
  <c r="M1892" i="2"/>
  <c r="M1893" i="2"/>
  <c r="M1894" i="2"/>
  <c r="M1895" i="2"/>
  <c r="M1896" i="2"/>
  <c r="M1897" i="2"/>
  <c r="M1898" i="2"/>
  <c r="M1899" i="2"/>
  <c r="M1900" i="2"/>
  <c r="M1901" i="2"/>
  <c r="M1902" i="2"/>
  <c r="M1903" i="2"/>
  <c r="M1904" i="2"/>
  <c r="M1905" i="2"/>
  <c r="M1906" i="2"/>
  <c r="M1907" i="2"/>
  <c r="M1908" i="2"/>
  <c r="M1909" i="2"/>
  <c r="M1910" i="2"/>
  <c r="M1911" i="2"/>
  <c r="M1912" i="2"/>
  <c r="M1913" i="2"/>
  <c r="M1914" i="2"/>
  <c r="M1915" i="2"/>
  <c r="M1916" i="2"/>
  <c r="M1917" i="2"/>
  <c r="M1918" i="2"/>
  <c r="M1919" i="2"/>
  <c r="M1920" i="2"/>
  <c r="M1921" i="2"/>
  <c r="M1922" i="2"/>
  <c r="M1923" i="2"/>
  <c r="M1924" i="2"/>
  <c r="M1925" i="2"/>
  <c r="M1926" i="2"/>
  <c r="M1927" i="2"/>
  <c r="M1928" i="2"/>
  <c r="M1929" i="2"/>
  <c r="M1930" i="2"/>
  <c r="M1931" i="2"/>
  <c r="M1932" i="2"/>
  <c r="M1933" i="2"/>
  <c r="M1934" i="2"/>
  <c r="M1935" i="2"/>
  <c r="M1936" i="2"/>
  <c r="M1937" i="2"/>
  <c r="M1938" i="2"/>
  <c r="M1939" i="2"/>
  <c r="M1940" i="2"/>
  <c r="M1941" i="2"/>
  <c r="M1942" i="2"/>
  <c r="M1943" i="2"/>
  <c r="M1944" i="2"/>
  <c r="M1945" i="2"/>
  <c r="M1946" i="2"/>
  <c r="M1947" i="2"/>
  <c r="M1948" i="2"/>
  <c r="M1949" i="2"/>
  <c r="M1950" i="2"/>
  <c r="M1951" i="2"/>
  <c r="M1952" i="2"/>
  <c r="M1953" i="2"/>
  <c r="M1954" i="2"/>
  <c r="M1955" i="2"/>
  <c r="M1956" i="2"/>
  <c r="M1957" i="2"/>
  <c r="M1958" i="2"/>
  <c r="M1959" i="2"/>
  <c r="M1960" i="2"/>
  <c r="M1961" i="2"/>
  <c r="M1962" i="2"/>
  <c r="M1963" i="2"/>
  <c r="M1964" i="2"/>
  <c r="M1965" i="2"/>
  <c r="M1966" i="2"/>
  <c r="M1967" i="2"/>
  <c r="M1968" i="2"/>
  <c r="M1969" i="2"/>
  <c r="M1970" i="2"/>
  <c r="M1971" i="2"/>
  <c r="M1972" i="2"/>
  <c r="M1973" i="2"/>
  <c r="M1974" i="2"/>
  <c r="M1975" i="2"/>
  <c r="M1976" i="2"/>
  <c r="M1977" i="2"/>
  <c r="M1978" i="2"/>
  <c r="M1979" i="2"/>
  <c r="M1980" i="2"/>
  <c r="M1981" i="2"/>
  <c r="M1982" i="2"/>
  <c r="M1983" i="2"/>
  <c r="M1984" i="2"/>
  <c r="M1985" i="2"/>
  <c r="M1986" i="2"/>
  <c r="M1987" i="2"/>
  <c r="M1988" i="2"/>
  <c r="M1989" i="2"/>
  <c r="M1990" i="2"/>
  <c r="M1991" i="2"/>
  <c r="M1992" i="2"/>
  <c r="M1993" i="2"/>
  <c r="M1994" i="2"/>
  <c r="M1995" i="2"/>
  <c r="M1996" i="2"/>
  <c r="M1997" i="2"/>
  <c r="M1998" i="2"/>
  <c r="M1999" i="2"/>
  <c r="M2000" i="2"/>
  <c r="M2" i="2"/>
  <c r="L2" i="2"/>
  <c r="E6" i="9"/>
  <c r="E5" i="9"/>
  <c r="E10" i="8"/>
  <c r="E9" i="8" a="1"/>
  <c r="E9" i="8" s="1"/>
  <c r="E8" i="8" a="1"/>
  <c r="E8" i="8" s="1"/>
  <c r="E7" i="8" a="1"/>
  <c r="E7" i="8" s="1"/>
  <c r="E6" i="8" a="1"/>
  <c r="E6" i="8" s="1"/>
  <c r="E5" i="8" a="1"/>
  <c r="E5" i="8" s="1"/>
  <c r="E12" i="7"/>
  <c r="E11" i="7"/>
  <c r="E10" i="7"/>
  <c r="E9" i="7"/>
  <c r="E8" i="7"/>
  <c r="E7" i="7"/>
  <c r="E6" i="7"/>
  <c r="E5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<sst xmlns="http://schemas.openxmlformats.org/spreadsheetml/2006/main" count="13986" uniqueCount="3045">
  <si>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</si>
  <si>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</si>
  <si>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</si>
  <si>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</si>
  <si>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</si>
  <si>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</si>
  <si>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</si>
  <si>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</si>
  <si>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</si>
  <si>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</si>
  <si>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</si>
  <si>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</si>
  <si>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</si>
  <si>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</si>
  <si>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</si>
  <si>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</si>
  <si>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</si>
  <si>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</si>
  <si>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</si>
  <si>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</si>
  <si>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</si>
  <si>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</si>
  <si>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</si>
  <si>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</si>
  <si>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</si>
  <si>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</si>
  <si>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</si>
  <si>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</si>
  <si>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</si>
  <si>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</si>
  <si>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</si>
  <si>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</si>
  <si>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</si>
  <si>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</si>
  <si>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</si>
  <si>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</si>
  <si>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</si>
  <si>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</si>
  <si>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</si>
  <si>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</si>
  <si>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</si>
  <si>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</si>
  <si>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</si>
  <si>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</si>
  <si>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</si>
  <si>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</si>
  <si>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</si>
  <si>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</si>
  <si>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</si>
  <si>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</si>
  <si>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</si>
  <si>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</si>
  <si>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</si>
  <si>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</si>
  <si>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</si>
  <si>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</si>
  <si>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</si>
  <si>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</si>
  <si>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</si>
  <si>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</si>
  <si>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</si>
  <si>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</si>
  <si>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</si>
  <si>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</si>
  <si>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</si>
  <si>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</si>
  <si>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</si>
  <si>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</si>
  <si>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</si>
  <si>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</si>
  <si>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</si>
  <si>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</si>
  <si>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</si>
  <si>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</si>
  <si>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</si>
  <si>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</si>
  <si>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</si>
  <si>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</si>
  <si>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</si>
  <si>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</si>
  <si>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</si>
  <si>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</si>
  <si>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</si>
  <si>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</si>
  <si>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</si>
  <si>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</si>
  <si>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</si>
  <si>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</si>
  <si>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</si>
  <si>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</si>
  <si>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</si>
  <si>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</si>
  <si>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</si>
  <si>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</si>
  <si>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</si>
  <si>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</si>
  <si>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</si>
  <si>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</si>
  <si>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</si>
  <si>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</si>
  <si>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</si>
  <si>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</si>
  <si>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</si>
  <si>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</si>
  <si>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</si>
  <si>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</si>
  <si>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</si>
  <si>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</si>
  <si>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</si>
  <si>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</si>
  <si>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</si>
  <si>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</si>
  <si>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</si>
  <si>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</si>
  <si>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</si>
  <si>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</si>
  <si>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</si>
  <si>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</si>
  <si>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</si>
  <si>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</si>
  <si>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</si>
  <si>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</si>
  <si>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</si>
  <si>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</si>
  <si>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</si>
  <si>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</si>
  <si>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</si>
  <si>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</si>
  <si>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</si>
  <si>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</si>
  <si>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</si>
  <si>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</si>
  <si>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</si>
  <si>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</si>
  <si>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</si>
  <si>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</si>
  <si>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</si>
  <si>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</si>
  <si>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</si>
  <si>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</si>
  <si>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</si>
  <si>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</si>
  <si>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</si>
  <si>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</si>
  <si>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</si>
  <si>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</si>
  <si>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</si>
  <si>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</si>
  <si>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</si>
  <si>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</si>
  <si>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</si>
  <si>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</si>
  <si>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</si>
  <si>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</si>
  <si>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</si>
  <si>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</si>
  <si>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</si>
  <si>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</si>
  <si>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</si>
  <si>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</si>
  <si>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</si>
  <si>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</si>
  <si>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</si>
  <si>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</si>
  <si>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</si>
  <si>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</si>
  <si>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</si>
  <si>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</si>
  <si>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</si>
  <si>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</si>
  <si>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</si>
  <si>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</si>
  <si>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</si>
  <si>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</si>
  <si>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</si>
  <si>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</si>
  <si>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</si>
  <si>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</si>
  <si>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</si>
  <si>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</si>
  <si>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</si>
  <si>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</si>
  <si>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</si>
  <si>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</si>
  <si>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</si>
  <si>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</si>
  <si>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</si>
  <si>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</si>
  <si>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</si>
  <si>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</si>
  <si>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</si>
  <si>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</si>
  <si>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</si>
  <si>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</si>
  <si>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</si>
  <si>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</si>
  <si>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</si>
  <si>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</si>
  <si>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</si>
  <si>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</si>
  <si>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</si>
  <si>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</si>
  <si>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</si>
  <si>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</si>
  <si>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</si>
  <si>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</si>
  <si>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</si>
  <si>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</si>
  <si>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</si>
  <si>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</si>
  <si>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</si>
  <si>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</si>
  <si>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</si>
  <si>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</si>
  <si>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</si>
  <si>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</si>
  <si>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</si>
  <si>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</si>
  <si>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</si>
  <si>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</si>
  <si>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</si>
  <si>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</si>
  <si>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</si>
  <si>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</si>
  <si>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</si>
  <si>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</si>
  <si>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</si>
  <si>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</si>
  <si>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</si>
  <si>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</si>
  <si>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</si>
  <si>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</si>
  <si>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</si>
  <si>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</si>
  <si>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</si>
  <si>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</si>
  <si>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</si>
  <si>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</si>
  <si>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</si>
  <si>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</si>
  <si>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</si>
  <si>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</si>
  <si>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</si>
  <si>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</si>
  <si>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</si>
  <si>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</si>
  <si>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</si>
  <si>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</si>
  <si>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</si>
  <si>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</si>
  <si>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</si>
  <si>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</si>
  <si>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</si>
  <si>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</si>
  <si>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</si>
  <si>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</si>
  <si>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</si>
  <si>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</si>
  <si>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</si>
  <si>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</si>
  <si>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</si>
  <si>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</si>
  <si>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</si>
  <si>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</si>
  <si>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</si>
  <si>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</si>
  <si>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</si>
  <si>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</si>
  <si>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</si>
  <si>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</si>
  <si>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</si>
  <si>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</si>
  <si>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</si>
  <si>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</si>
  <si>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</si>
  <si>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</si>
  <si>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</si>
  <si>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</si>
  <si>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</si>
  <si>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</si>
  <si>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</si>
  <si>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</si>
  <si>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</si>
  <si>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</si>
  <si>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</si>
  <si>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</si>
  <si>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</si>
  <si>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</si>
  <si>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</si>
  <si>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</si>
  <si>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</si>
  <si>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</si>
  <si>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</si>
  <si>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</si>
  <si>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</si>
  <si>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</si>
  <si>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</si>
  <si>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</si>
  <si>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</si>
  <si>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</si>
  <si>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</si>
  <si>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</si>
  <si>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</si>
  <si>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</si>
  <si>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</si>
  <si>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</si>
  <si>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</si>
  <si>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</si>
  <si>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</si>
  <si>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</si>
  <si>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</si>
  <si>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</si>
  <si>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</si>
  <si>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</si>
  <si>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</si>
  <si>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</si>
  <si>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</si>
  <si>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</si>
  <si>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</si>
  <si>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</si>
  <si>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</si>
  <si>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</si>
  <si>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</si>
  <si>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</si>
  <si>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</si>
  <si>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</si>
  <si>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</si>
  <si>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</si>
  <si>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</si>
  <si>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</si>
  <si>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</si>
  <si>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</si>
  <si>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</si>
  <si>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</si>
  <si>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</si>
  <si>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</si>
  <si>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</si>
  <si>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</si>
  <si>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</si>
  <si>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</si>
  <si>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</si>
  <si>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</si>
  <si>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</si>
  <si>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</si>
  <si>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</si>
  <si>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</si>
  <si>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</si>
  <si>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</si>
  <si>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</si>
  <si>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</si>
  <si>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</si>
  <si>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</si>
  <si>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</si>
  <si>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</si>
  <si>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</si>
  <si>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</si>
  <si>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</si>
  <si>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</si>
  <si>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</si>
  <si>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</si>
  <si>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</si>
  <si>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</si>
  <si>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</si>
  <si>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</si>
  <si>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</si>
  <si>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</si>
  <si>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</si>
  <si>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</si>
  <si>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</si>
  <si>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</si>
  <si>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</si>
  <si>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</si>
  <si>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</si>
  <si>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</si>
  <si>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</si>
  <si>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</si>
  <si>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</si>
  <si>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</si>
  <si>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</si>
  <si>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</si>
  <si>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</si>
  <si>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</si>
  <si>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</si>
  <si>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</si>
  <si>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</si>
  <si>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</si>
  <si>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</si>
  <si>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</si>
  <si>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</si>
  <si>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</si>
  <si>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</si>
  <si>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</si>
  <si>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</si>
  <si>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</si>
  <si>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</si>
  <si>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</si>
  <si>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</si>
  <si>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</si>
  <si>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</si>
  <si>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</si>
  <si>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</si>
  <si>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</si>
  <si>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</si>
  <si>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</si>
  <si>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</si>
  <si>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</si>
  <si>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</si>
  <si>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</si>
  <si>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</si>
  <si>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</si>
  <si>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</si>
  <si>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</si>
  <si>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</si>
  <si>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</si>
  <si>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</si>
  <si>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</si>
  <si>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</si>
  <si>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</si>
  <si>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</si>
  <si>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</si>
  <si>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</si>
  <si>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</si>
  <si>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</si>
  <si>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</si>
  <si>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</si>
  <si>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</si>
  <si>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</si>
  <si>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</si>
  <si>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</si>
  <si>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</si>
  <si>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</si>
  <si>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</si>
  <si>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</si>
  <si>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</si>
  <si>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</si>
  <si>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</si>
  <si>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</si>
  <si>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</si>
  <si>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</si>
  <si>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</si>
  <si>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</si>
  <si>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</si>
  <si>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</si>
  <si>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</si>
  <si>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</si>
  <si>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</si>
  <si>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</si>
  <si>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</si>
  <si>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</si>
  <si>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</si>
  <si>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</si>
  <si>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</si>
  <si>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</si>
  <si>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</si>
  <si>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</si>
  <si>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</si>
  <si>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</si>
  <si>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</si>
  <si>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</si>
  <si>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</si>
  <si>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</si>
  <si>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</si>
  <si>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</si>
  <si>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</si>
  <si>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</si>
  <si>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</si>
  <si>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</si>
  <si>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</si>
  <si>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</si>
  <si>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</si>
  <si>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</si>
  <si>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</si>
  <si>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</si>
  <si>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</si>
  <si>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</si>
  <si>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</si>
  <si>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</si>
  <si>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</si>
  <si>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</si>
  <si>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</si>
  <si>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</si>
  <si>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</si>
  <si>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</si>
  <si>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</si>
  <si>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</si>
  <si>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</si>
  <si>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</si>
  <si>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</si>
  <si>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</si>
  <si>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</si>
  <si>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</si>
  <si>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</si>
  <si>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</si>
  <si>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</si>
  <si>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</si>
  <si>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</si>
  <si>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</si>
  <si>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</si>
  <si>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</si>
  <si>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</si>
  <si>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</si>
  <si>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</si>
  <si>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</si>
  <si>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</si>
  <si>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</si>
  <si>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</si>
  <si>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</si>
  <si>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</si>
  <si>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</si>
  <si>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</si>
  <si>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</si>
  <si>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</si>
  <si>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</si>
  <si>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</si>
  <si>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</si>
  <si>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</si>
  <si>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</si>
  <si>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</si>
  <si>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</si>
  <si>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</si>
  <si>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</si>
  <si>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</si>
  <si>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</si>
  <si>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</si>
  <si>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</si>
  <si>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</si>
  <si>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</si>
  <si>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</si>
  <si>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</si>
  <si>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</si>
  <si>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</si>
  <si>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</si>
  <si>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</si>
  <si>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</si>
  <si>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</si>
  <si>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</si>
  <si>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</si>
  <si>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</si>
  <si>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</si>
  <si>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</si>
  <si>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</si>
  <si>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</si>
  <si>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</si>
  <si>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</si>
  <si>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</si>
  <si>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</si>
  <si>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</si>
  <si>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</si>
  <si>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</si>
  <si>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</si>
  <si>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</si>
  <si>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</si>
  <si>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</si>
  <si>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</si>
  <si>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</si>
  <si>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</si>
  <si>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</si>
  <si>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</si>
  <si>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</si>
  <si>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</si>
  <si>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</si>
  <si>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</si>
  <si>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</si>
  <si>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</si>
  <si>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</si>
  <si>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</si>
  <si>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</si>
  <si>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</si>
  <si>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</si>
  <si>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</si>
  <si>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</si>
  <si>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</si>
  <si>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</si>
  <si>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</si>
  <si>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</si>
  <si>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</si>
  <si>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</si>
  <si>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</si>
  <si>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</si>
  <si>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</si>
  <si>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</si>
  <si>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</si>
  <si>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</si>
  <si>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</si>
  <si>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</si>
  <si>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</si>
  <si>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</si>
  <si>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</si>
  <si>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</si>
  <si>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</si>
  <si>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</si>
  <si>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</si>
  <si>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</si>
  <si>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</si>
  <si>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</si>
  <si>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</si>
  <si>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</si>
  <si>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</si>
  <si>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</si>
  <si>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</si>
  <si>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</si>
  <si>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</si>
  <si>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</si>
  <si>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</si>
  <si>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</si>
  <si>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</si>
  <si>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</si>
  <si>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</si>
  <si>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</si>
  <si>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</si>
  <si>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</si>
  <si>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</si>
  <si>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</si>
  <si>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</si>
  <si>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</si>
  <si>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</si>
  <si>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</si>
  <si>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</si>
  <si>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</si>
  <si>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</si>
  <si>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</si>
  <si>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</si>
  <si>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</si>
  <si>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</si>
  <si>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</si>
  <si>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</si>
  <si>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</si>
  <si>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</si>
  <si>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</si>
  <si>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</si>
  <si>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</si>
  <si>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</si>
  <si>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</si>
  <si>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</si>
  <si>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</si>
  <si>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</si>
  <si>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</si>
  <si>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</si>
  <si>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</si>
  <si>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</si>
  <si>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</si>
  <si>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</si>
  <si>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</si>
  <si>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</si>
  <si>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</si>
  <si>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</si>
  <si>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</si>
  <si>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</si>
  <si>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</si>
  <si>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</si>
  <si>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</si>
  <si>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</si>
  <si>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</si>
  <si>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</si>
  <si>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</si>
  <si>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</si>
  <si>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</si>
  <si>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</si>
  <si>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</si>
  <si>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</si>
  <si>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</si>
  <si>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</si>
  <si>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</si>
  <si>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</si>
  <si>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</si>
  <si>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</si>
  <si>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</si>
  <si>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</si>
  <si>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</si>
  <si>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</si>
  <si>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</si>
  <si>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</si>
  <si>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</si>
  <si>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</si>
  <si>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</si>
  <si>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</si>
  <si>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</si>
  <si>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</si>
  <si>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</si>
  <si>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</si>
  <si>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</si>
  <si>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</si>
  <si>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</si>
  <si>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</si>
  <si>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</si>
  <si>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</si>
  <si>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</si>
  <si>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</si>
  <si>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</si>
  <si>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</si>
  <si>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</si>
  <si>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</si>
  <si>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</si>
  <si>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</si>
  <si>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</si>
  <si>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</si>
  <si>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</si>
  <si>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</si>
  <si>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</si>
  <si>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</si>
  <si>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</si>
  <si>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</si>
  <si>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</si>
  <si>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</si>
  <si>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</si>
  <si>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</si>
  <si>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</si>
  <si>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</si>
  <si>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</si>
  <si>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</si>
  <si>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</si>
  <si>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</si>
  <si>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</si>
  <si>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</si>
  <si>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</si>
  <si>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</si>
  <si>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</si>
  <si>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</si>
  <si>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</si>
  <si>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</si>
  <si>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</si>
  <si>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</si>
  <si>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</si>
  <si>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</si>
  <si>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</si>
  <si>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</si>
  <si>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</si>
  <si>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</si>
  <si>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</si>
  <si>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</si>
  <si>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</si>
  <si>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</si>
  <si>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</si>
  <si>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</si>
  <si>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</si>
  <si>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</si>
  <si>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</si>
  <si>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</si>
  <si>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</si>
  <si>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</si>
  <si>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</si>
  <si>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</si>
  <si>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</si>
  <si>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</si>
  <si>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</si>
  <si>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</si>
  <si>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</si>
  <si>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</si>
  <si>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</si>
  <si>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</si>
  <si>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</si>
  <si>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</si>
  <si>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</si>
  <si>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</si>
  <si>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</si>
  <si>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</si>
  <si>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</si>
  <si>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</si>
  <si>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</si>
  <si>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</si>
  <si>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</si>
  <si>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</si>
  <si>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</si>
  <si>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</si>
  <si>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</si>
  <si>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</si>
  <si>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</si>
  <si>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</si>
  <si>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</si>
  <si>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</si>
  <si>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</si>
  <si>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</si>
  <si>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</si>
  <si>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</si>
  <si>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</si>
  <si>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</si>
  <si>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</si>
  <si>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</si>
  <si>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</si>
  <si>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</si>
  <si>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</si>
  <si>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</si>
  <si>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</si>
  <si>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</si>
  <si>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</si>
  <si>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</si>
  <si>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</si>
  <si>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</si>
  <si>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</si>
  <si>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</si>
  <si>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</si>
  <si>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</si>
  <si>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</si>
  <si>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</si>
  <si>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</si>
  <si>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</si>
  <si>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</si>
  <si>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</si>
  <si>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</si>
  <si>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</si>
  <si>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</si>
  <si>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</si>
  <si>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</si>
  <si>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</si>
  <si>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</si>
  <si>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</si>
  <si>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</si>
  <si>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</si>
  <si>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</si>
  <si>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</si>
  <si>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</si>
  <si>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</si>
  <si>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</si>
  <si>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</si>
  <si>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</si>
  <si>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</si>
  <si>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</si>
  <si>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</si>
  <si>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</si>
  <si>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</si>
  <si>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</si>
  <si>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</si>
  <si>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</si>
  <si>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</si>
  <si>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</si>
  <si>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</si>
  <si>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</si>
  <si>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</si>
  <si>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</si>
  <si>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</si>
  <si>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</si>
  <si>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</si>
  <si>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</si>
  <si>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</si>
  <si>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</si>
  <si>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</si>
  <si>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</si>
  <si>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</si>
  <si>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</si>
  <si>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</si>
  <si>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</si>
  <si>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</si>
  <si>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</si>
  <si>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</si>
  <si>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</si>
  <si>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</si>
  <si>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</si>
  <si>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</si>
  <si>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</si>
  <si>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</si>
  <si>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</si>
  <si>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</si>
  <si>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</si>
  <si>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</si>
  <si>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</si>
  <si>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</si>
  <si>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</si>
  <si>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</si>
  <si>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</si>
  <si>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</si>
  <si>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</si>
  <si>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</si>
  <si>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</si>
  <si>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</si>
  <si>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</si>
  <si>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</si>
  <si>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</si>
  <si>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</si>
  <si>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</si>
  <si>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</si>
  <si>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</si>
  <si>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</si>
  <si>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</si>
  <si>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</si>
  <si>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</si>
  <si>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</si>
  <si>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</si>
  <si>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</si>
  <si>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</si>
  <si>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</si>
  <si>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</si>
  <si>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</si>
  <si>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</si>
  <si>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</si>
  <si>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</si>
  <si>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</si>
  <si>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</si>
  <si>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</si>
  <si>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</si>
  <si>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</si>
  <si>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</si>
  <si>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</si>
  <si>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</si>
  <si>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</si>
  <si>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</si>
  <si>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</si>
  <si>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</si>
  <si>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</si>
  <si>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</si>
  <si>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</si>
  <si>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</si>
  <si>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</si>
  <si>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</si>
  <si>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</si>
  <si>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</si>
  <si>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</si>
  <si>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</si>
  <si>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</si>
  <si>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</si>
  <si>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</si>
  <si>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</si>
  <si>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</si>
  <si>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</si>
  <si>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</si>
  <si>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</si>
  <si>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</si>
  <si>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</si>
  <si>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</si>
  <si>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</si>
  <si>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</si>
  <si>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</si>
  <si>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</si>
  <si>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</si>
  <si>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</si>
  <si>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</si>
  <si>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</si>
  <si>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</si>
  <si>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</si>
  <si>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</si>
  <si>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</si>
  <si>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</si>
  <si>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</si>
  <si>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</si>
  <si>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</si>
  <si>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</si>
  <si>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</si>
  <si>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</si>
  <si>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</si>
  <si>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</si>
  <si>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</si>
  <si>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</si>
  <si>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</si>
  <si>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</si>
  <si>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</si>
  <si>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</si>
  <si>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</si>
  <si>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</si>
  <si>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</si>
  <si>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</si>
  <si>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</si>
  <si>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</si>
  <si>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</si>
  <si>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</si>
  <si>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</si>
  <si>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</si>
  <si>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</si>
  <si>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</si>
  <si>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</si>
  <si>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</si>
  <si>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</si>
  <si>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</si>
  <si>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</si>
  <si>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</si>
  <si>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</si>
  <si>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</si>
  <si>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</si>
  <si>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</si>
  <si>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</si>
  <si>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</si>
  <si>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</si>
  <si>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</si>
  <si>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</si>
  <si>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</si>
  <si>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</si>
  <si>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</si>
  <si>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</si>
  <si>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</si>
  <si>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</si>
  <si>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</si>
  <si>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</si>
  <si>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</si>
  <si>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</si>
  <si>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</si>
  <si>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</si>
  <si>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</si>
  <si>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</si>
  <si>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</si>
  <si>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</si>
  <si>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</si>
  <si>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</si>
  <si>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</si>
  <si>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</si>
  <si>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</si>
  <si>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</si>
  <si>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</si>
  <si>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</si>
  <si>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</si>
  <si>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</si>
  <si>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</si>
  <si>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</si>
  <si>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</si>
  <si>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</si>
  <si>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</si>
  <si>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</si>
  <si>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</si>
  <si>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</si>
  <si>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</si>
  <si>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</si>
  <si>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</si>
  <si>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</si>
  <si>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</si>
  <si>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</si>
  <si>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</si>
  <si>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</si>
  <si>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</si>
  <si>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</si>
  <si>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</si>
  <si>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</si>
  <si>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</si>
  <si>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</si>
  <si>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</si>
  <si>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</si>
  <si>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</si>
  <si>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</si>
  <si>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</si>
  <si>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</si>
  <si>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</si>
  <si>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</si>
  <si>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</si>
  <si>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</si>
  <si>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</si>
  <si>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</si>
  <si>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</si>
  <si>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</si>
  <si>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</si>
  <si>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</si>
  <si>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</si>
  <si>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</si>
  <si>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</si>
  <si>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</si>
  <si>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</si>
  <si>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</si>
  <si>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</si>
  <si>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</si>
  <si>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</si>
  <si>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</si>
  <si>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</si>
  <si>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</si>
  <si>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</si>
  <si>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</si>
  <si>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</si>
  <si>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</si>
  <si>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</si>
  <si>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</si>
  <si>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</si>
  <si>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</si>
  <si>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</si>
  <si>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</si>
  <si>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</si>
  <si>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</si>
  <si>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</si>
  <si>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</si>
  <si>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</si>
  <si>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</si>
  <si>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</si>
  <si>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</si>
  <si>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</si>
  <si>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</si>
  <si>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</si>
  <si>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</si>
  <si>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</si>
  <si>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</si>
  <si>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</si>
  <si>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</si>
  <si>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</si>
  <si>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</si>
  <si>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</si>
  <si>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</si>
  <si>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</si>
  <si>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</si>
  <si>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</si>
  <si>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</si>
  <si>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</si>
  <si>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</si>
  <si>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</si>
  <si>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</si>
  <si>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</si>
  <si>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</si>
  <si>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</si>
  <si>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</si>
  <si>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</si>
  <si>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</si>
  <si>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</si>
  <si>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</si>
  <si>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</si>
  <si>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</si>
  <si>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</si>
  <si>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</si>
  <si>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</si>
  <si>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</si>
  <si>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</si>
  <si>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</si>
  <si>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</si>
  <si>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</si>
  <si>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</si>
  <si>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</si>
  <si>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</si>
  <si>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</si>
  <si>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</si>
  <si>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</si>
  <si>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</si>
  <si>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</si>
  <si>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</si>
  <si>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</si>
  <si>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</si>
  <si>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</si>
  <si>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</si>
  <si>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</si>
  <si>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</si>
  <si>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</si>
  <si>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</si>
  <si>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</si>
  <si>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</si>
  <si>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</si>
  <si>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</si>
  <si>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</si>
  <si>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</si>
  <si>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</si>
  <si>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</si>
  <si>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</si>
  <si>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</si>
  <si>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</si>
  <si>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</si>
  <si>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</si>
  <si>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</si>
  <si>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</si>
  <si>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</si>
  <si>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</si>
  <si>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</si>
  <si>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</si>
  <si>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</si>
  <si>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</si>
  <si>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</si>
  <si>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</si>
  <si>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</si>
  <si>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</si>
  <si>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</si>
  <si>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</si>
  <si>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</si>
  <si>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</si>
  <si>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</si>
  <si>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</si>
  <si>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</si>
  <si>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</si>
  <si>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</si>
  <si>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</si>
  <si>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</si>
  <si>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</si>
  <si>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</si>
  <si>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</si>
  <si>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</si>
  <si>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</si>
  <si>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</si>
  <si>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</si>
  <si>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</si>
  <si>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</si>
  <si>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</si>
  <si>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</si>
  <si>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</si>
  <si>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</si>
  <si>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</si>
  <si>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</si>
  <si>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</si>
  <si>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</si>
  <si>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</si>
  <si>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</si>
  <si>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</si>
  <si>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</si>
  <si>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</si>
  <si>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</si>
  <si>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</si>
  <si>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</si>
  <si>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</si>
  <si>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</si>
  <si>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</si>
  <si>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</si>
  <si>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</si>
  <si>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</si>
  <si>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</si>
  <si>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</si>
  <si>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</si>
  <si>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</si>
  <si>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</si>
  <si>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</si>
  <si>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</si>
  <si>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</si>
  <si>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</si>
  <si>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</si>
  <si>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</si>
  <si>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</si>
  <si>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</si>
  <si>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</si>
  <si>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</si>
  <si>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</si>
  <si>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</si>
  <si>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</si>
  <si>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</si>
  <si>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</si>
  <si>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</si>
  <si>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</si>
  <si>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</si>
  <si>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</si>
  <si>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</si>
  <si>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</si>
  <si>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</si>
  <si>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</si>
  <si>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</si>
  <si>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</si>
  <si>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</si>
  <si>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</si>
  <si>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</si>
  <si>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</si>
  <si>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</si>
  <si>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</si>
  <si>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</si>
  <si>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</si>
  <si>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</si>
  <si>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</si>
  <si>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</si>
  <si>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</si>
  <si>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</si>
  <si>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</si>
  <si>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</si>
  <si>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</si>
  <si>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</si>
  <si>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</si>
  <si>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</si>
  <si>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</si>
  <si>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</si>
  <si>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</si>
  <si>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</si>
  <si>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</si>
  <si>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</si>
  <si>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</si>
  <si>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</si>
  <si>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</si>
  <si>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</si>
  <si>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</si>
  <si>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</si>
  <si>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</si>
  <si>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</si>
  <si>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</si>
  <si>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</si>
  <si>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</si>
  <si>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</si>
  <si>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</si>
  <si>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</si>
  <si>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</si>
  <si>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</si>
  <si>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</si>
  <si>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</si>
  <si>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</si>
  <si>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</si>
  <si>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</si>
  <si>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</si>
  <si>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</si>
  <si>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</si>
  <si>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</si>
  <si>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</si>
  <si>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</si>
  <si>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</si>
  <si>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</si>
  <si>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</si>
  <si>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</si>
  <si>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</si>
  <si>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</si>
  <si>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</si>
  <si>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</si>
  <si>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</si>
  <si>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</si>
  <si>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</si>
  <si>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</si>
  <si>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</si>
  <si>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</si>
  <si>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</si>
  <si>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</si>
  <si>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</si>
  <si>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</si>
  <si>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</si>
  <si>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</si>
  <si>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</si>
  <si>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</si>
  <si>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</si>
  <si>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</si>
  <si>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</si>
  <si>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</si>
  <si>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</si>
  <si>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</si>
  <si>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</si>
  <si>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</si>
  <si>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</si>
  <si>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</si>
  <si>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</si>
  <si>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</si>
  <si>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</si>
  <si>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</si>
  <si>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</si>
  <si>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</si>
  <si>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</si>
  <si>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</si>
  <si>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</si>
  <si>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</si>
  <si>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</si>
  <si>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</si>
  <si>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</si>
  <si>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</si>
  <si>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</si>
  <si>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</si>
  <si>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</si>
  <si>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</si>
  <si>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</si>
  <si>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</si>
  <si>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</si>
  <si>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</si>
  <si>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</si>
  <si>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</si>
  <si>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</si>
  <si>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</si>
  <si>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</si>
  <si>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</si>
  <si>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</si>
  <si>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</si>
  <si>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</si>
  <si>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</si>
  <si>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</si>
  <si>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</si>
  <si>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</si>
  <si>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</si>
  <si>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</si>
  <si>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</si>
  <si>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</si>
  <si>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</si>
  <si>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</si>
  <si>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</si>
  <si>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</si>
  <si>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</si>
  <si>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</si>
  <si>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</si>
  <si>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</si>
  <si>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</si>
  <si>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</si>
  <si>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</si>
  <si>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</si>
  <si>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</si>
  <si>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</si>
  <si>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</si>
  <si>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</si>
  <si>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</si>
  <si>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</si>
  <si>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</si>
  <si>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</si>
  <si>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</si>
  <si>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</si>
  <si>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</si>
  <si>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</si>
  <si>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</si>
  <si>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</si>
  <si>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</si>
  <si>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</si>
  <si>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</si>
  <si>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</si>
  <si>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</si>
  <si>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</si>
  <si>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</si>
  <si>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</si>
  <si>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</si>
  <si>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</si>
  <si>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</si>
  <si>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</si>
  <si>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</si>
  <si>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</si>
  <si>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</si>
  <si>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</si>
  <si>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</si>
  <si>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</si>
  <si>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</si>
  <si>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</si>
  <si>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</si>
  <si>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</si>
  <si>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</si>
  <si>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</si>
  <si>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</si>
  <si>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</si>
  <si>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</si>
  <si>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</si>
  <si>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</si>
  <si>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</si>
  <si>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</si>
  <si>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</si>
  <si>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</si>
  <si>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</si>
  <si>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</si>
  <si>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</si>
  <si>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</si>
  <si>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</si>
  <si>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</si>
  <si>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</si>
  <si>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</si>
  <si>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</si>
  <si>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</si>
  <si>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</si>
  <si>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</si>
  <si>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</si>
  <si>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</si>
  <si>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</si>
  <si>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</si>
  <si>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</si>
  <si>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</si>
  <si>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</si>
  <si>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</si>
  <si>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</si>
  <si>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</si>
  <si>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</si>
  <si>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</si>
  <si>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</si>
  <si>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</si>
  <si>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</si>
  <si>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</si>
  <si>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</si>
  <si>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</si>
  <si>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</si>
  <si>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</si>
  <si>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</si>
  <si>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</si>
  <si>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</si>
  <si>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</si>
  <si>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</si>
  <si>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</si>
  <si>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</si>
  <si>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</si>
  <si>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</si>
  <si>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</si>
  <si>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</si>
  <si>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</si>
  <si>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</si>
  <si>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</si>
  <si>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</si>
  <si>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</si>
  <si>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</si>
  <si>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</si>
  <si>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</si>
  <si>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</si>
  <si>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</si>
  <si>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</si>
  <si>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</si>
  <si>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</si>
  <si>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</si>
  <si>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</si>
  <si>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</si>
  <si>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</si>
  <si>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</si>
  <si>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</si>
  <si>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</si>
  <si>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</si>
  <si>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</si>
  <si>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</si>
  <si>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</si>
  <si>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</si>
  <si>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</si>
  <si>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</si>
  <si>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</si>
  <si>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</si>
  <si>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</si>
  <si>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</si>
  <si>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</si>
  <si>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</si>
  <si>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</si>
  <si>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</si>
  <si>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</si>
  <si>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</si>
  <si>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</si>
  <si>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</si>
  <si>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</si>
  <si>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</si>
  <si>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</si>
  <si>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</si>
  <si>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</si>
  <si>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</si>
  <si>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</si>
  <si>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</si>
  <si>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</si>
  <si>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</si>
  <si>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</si>
  <si>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</si>
  <si>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</si>
  <si>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</si>
  <si>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</si>
  <si>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</si>
  <si>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</si>
  <si>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</si>
  <si>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</si>
  <si>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</si>
  <si>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</si>
  <si>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</si>
  <si>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</si>
  <si>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</si>
  <si>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</si>
  <si>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</si>
  <si>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</si>
  <si>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</si>
  <si>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</si>
  <si>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</si>
  <si>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</si>
  <si>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</si>
  <si>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</si>
  <si>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</si>
  <si>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</si>
  <si>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</si>
  <si>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</si>
  <si>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</si>
  <si>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</si>
  <si>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</si>
  <si>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</si>
  <si>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</si>
  <si>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</si>
  <si>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</si>
  <si>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</si>
  <si>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</si>
  <si>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</si>
  <si>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</si>
  <si>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</si>
  <si>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</si>
  <si>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</si>
  <si>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</si>
  <si>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</si>
  <si>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</si>
  <si>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</si>
  <si>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</si>
  <si>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</si>
  <si>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</si>
  <si>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</si>
  <si>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</si>
  <si>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</si>
  <si>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</si>
  <si>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</si>
  <si>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</si>
  <si>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</si>
  <si>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</si>
  <si>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</si>
  <si>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</si>
  <si>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</si>
  <si>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</si>
  <si>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</si>
  <si>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</si>
  <si>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</si>
  <si>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</si>
  <si>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</si>
  <si>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</si>
  <si>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</si>
  <si>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</si>
  <si>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</si>
  <si>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</si>
  <si>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</si>
  <si>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</si>
  <si>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</si>
  <si>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</si>
  <si>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</si>
  <si>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</si>
  <si>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</si>
  <si>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</si>
  <si>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</si>
  <si>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</si>
  <si>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</si>
  <si>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</si>
  <si>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</si>
  <si>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</si>
  <si>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</si>
  <si>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</si>
  <si>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</si>
  <si>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</si>
  <si>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</si>
  <si>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</si>
  <si>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</si>
  <si>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</si>
  <si>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</si>
  <si>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</si>
  <si>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</si>
  <si>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</si>
  <si>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</si>
  <si>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</si>
  <si>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</si>
  <si>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</si>
  <si>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</si>
  <si>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</si>
  <si>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</si>
  <si>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</si>
  <si>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</si>
  <si>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</si>
  <si>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</si>
  <si>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</si>
  <si>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</si>
  <si>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</si>
  <si>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</si>
  <si>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</si>
  <si>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</si>
  <si>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</si>
  <si>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</si>
  <si>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</si>
  <si>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</si>
  <si>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</si>
  <si>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</si>
  <si>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</si>
  <si>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</si>
  <si>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</si>
  <si>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</si>
  <si>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</si>
  <si>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</si>
  <si>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</si>
  <si>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</si>
  <si>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</si>
  <si>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</si>
  <si>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</si>
  <si>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</si>
  <si>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</si>
  <si>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</si>
  <si>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</si>
  <si>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</si>
  <si>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</si>
  <si>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</si>
  <si>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</si>
  <si>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</si>
  <si>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</si>
  <si>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</si>
  <si>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</si>
  <si>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</si>
  <si>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</si>
  <si>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</si>
  <si>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</si>
  <si>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</si>
  <si>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</si>
  <si>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</si>
  <si>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</si>
  <si>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</si>
  <si>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</si>
  <si>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</si>
  <si>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</si>
  <si>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</si>
  <si>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</si>
  <si>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</si>
  <si>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</si>
  <si>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</si>
  <si>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</si>
  <si>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</si>
  <si>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</si>
  <si>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</si>
  <si>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</si>
  <si>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</si>
  <si>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</si>
  <si>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</si>
  <si>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</si>
  <si>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</si>
  <si>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</si>
  <si>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</si>
  <si>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</si>
  <si>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</si>
  <si>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</si>
  <si>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</si>
  <si>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</si>
  <si>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</si>
  <si>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</si>
  <si>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</si>
  <si>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</si>
  <si>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</si>
  <si>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</si>
  <si>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</si>
  <si>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</si>
  <si>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</si>
  <si>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</si>
  <si>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</si>
  <si>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</si>
  <si>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</si>
  <si>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</si>
  <si>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</si>
  <si>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</si>
  <si>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</si>
  <si>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</si>
  <si>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</si>
  <si>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</si>
  <si>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</si>
  <si>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</si>
  <si>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</si>
  <si>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</si>
  <si>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</si>
  <si>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</si>
  <si>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</si>
  <si>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</si>
  <si>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</si>
  <si>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</si>
  <si>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</si>
  <si>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</si>
  <si>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</si>
  <si>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</si>
  <si>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</si>
  <si>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</si>
  <si>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</si>
  <si>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</si>
  <si>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</si>
  <si>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</si>
  <si>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</si>
  <si>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</si>
  <si>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</si>
  <si>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</si>
  <si>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</si>
  <si>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</si>
  <si>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</si>
  <si>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</si>
  <si>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</si>
  <si>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</si>
  <si>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</si>
  <si>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</si>
  <si>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</si>
  <si>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</si>
  <si>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</si>
  <si>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</si>
  <si>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</si>
  <si>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</si>
  <si>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</si>
  <si>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</si>
  <si>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</si>
  <si>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</si>
  <si>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</si>
  <si>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</si>
  <si>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</si>
  <si>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</si>
  <si>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</si>
  <si>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</si>
  <si>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</si>
  <si>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</si>
  <si>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</si>
  <si>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</si>
  <si>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</si>
  <si>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</si>
  <si>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</si>
  <si>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</si>
  <si>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</si>
  <si>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</si>
  <si>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</si>
  <si>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</si>
  <si>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</si>
  <si>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</si>
  <si>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</si>
  <si>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</si>
  <si>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</si>
  <si>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</si>
  <si>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</si>
  <si>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</si>
  <si>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</si>
  <si>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</si>
  <si>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</si>
  <si>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</si>
  <si>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</si>
  <si>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</si>
  <si>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</si>
  <si>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</si>
  <si>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</si>
  <si>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</si>
  <si>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</si>
  <si>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</si>
  <si>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</si>
  <si>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</si>
  <si>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</si>
  <si>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</si>
  <si>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</si>
  <si>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</si>
  <si>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</si>
  <si>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</si>
  <si>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</si>
  <si>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</si>
  <si>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</si>
  <si>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</si>
  <si>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</si>
  <si>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</si>
  <si>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</si>
  <si>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</si>
  <si>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</si>
  <si>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</si>
  <si>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</si>
  <si>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</si>
  <si>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</si>
  <si>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</si>
  <si>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</si>
  <si>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</si>
  <si>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</si>
  <si>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</si>
  <si>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</si>
  <si>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</si>
  <si>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</si>
  <si>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</si>
  <si>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</si>
  <si>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</si>
  <si>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</si>
  <si>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</si>
  <si>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</si>
  <si>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</si>
  <si>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</si>
  <si>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</si>
  <si>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</si>
  <si>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</si>
  <si>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</si>
  <si>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</si>
  <si>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</si>
  <si>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</si>
  <si>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</si>
  <si>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</si>
  <si>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</si>
  <si>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</si>
  <si>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</si>
  <si>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</si>
  <si>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</si>
  <si>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</si>
  <si>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</si>
  <si>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</si>
  <si>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</si>
  <si>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</si>
  <si>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</si>
  <si>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</si>
  <si>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</si>
  <si>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</si>
  <si>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</si>
  <si>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</si>
  <si>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</si>
  <si>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</si>
  <si>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</si>
  <si>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</si>
  <si>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</si>
  <si>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</si>
  <si>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</si>
  <si>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</si>
  <si>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</si>
  <si>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</si>
  <si>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</si>
  <si>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</si>
  <si>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</si>
  <si>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</si>
  <si>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</si>
  <si>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</si>
  <si>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</si>
  <si>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</si>
  <si>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</si>
  <si>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</si>
  <si>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</si>
  <si>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</si>
  <si>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</si>
  <si>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</si>
  <si>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</si>
  <si>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</si>
  <si>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</si>
  <si>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</si>
  <si>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</si>
  <si>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</si>
  <si>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</si>
  <si>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</si>
  <si>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</si>
  <si>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</si>
  <si>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</si>
  <si>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</si>
  <si>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</si>
  <si>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</si>
  <si>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</si>
  <si>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</si>
  <si>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</si>
  <si>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</si>
  <si>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</si>
  <si>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</si>
  <si>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</si>
  <si>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</si>
  <si>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</si>
  <si>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</si>
  <si>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</si>
  <si>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</si>
  <si>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</si>
  <si>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</si>
  <si>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</si>
  <si>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</si>
  <si>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</si>
  <si>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</si>
  <si>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</si>
  <si>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</si>
  <si>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</si>
  <si>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</si>
  <si>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</si>
  <si>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</si>
  <si>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</si>
  <si>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</si>
  <si>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</si>
  <si>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</si>
  <si>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</si>
  <si>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</si>
  <si>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</si>
  <si>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</si>
  <si>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</si>
  <si>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</si>
  <si>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</si>
  <si>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</si>
  <si>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</si>
  <si>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</si>
  <si>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</si>
  <si>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</si>
  <si>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</si>
  <si>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</si>
  <si>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</si>
  <si>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</si>
  <si>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</si>
  <si>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</si>
  <si>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</si>
  <si>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</si>
  <si>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</si>
  <si>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</si>
  <si>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</si>
  <si>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</si>
  <si>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</si>
  <si>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</si>
  <si>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</si>
  <si>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</si>
  <si>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</si>
  <si>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</si>
  <si>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</si>
  <si>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</si>
  <si>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</si>
  <si>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</si>
  <si>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</si>
  <si>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</si>
  <si>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</si>
  <si>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</si>
  <si>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</si>
  <si>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</si>
  <si>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</si>
  <si>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</si>
  <si>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</si>
  <si>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</si>
  <si>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</si>
  <si>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</si>
  <si>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</si>
  <si>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</si>
  <si>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</si>
  <si>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</si>
  <si>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</si>
  <si>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</si>
  <si>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</si>
  <si>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</si>
  <si>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</si>
  <si>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</si>
  <si>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</si>
  <si>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</si>
  <si>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</si>
  <si>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</si>
  <si>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</si>
  <si>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</si>
  <si>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</si>
  <si>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</si>
  <si>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</si>
  <si>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</si>
  <si>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</si>
  <si>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</si>
  <si>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</si>
  <si>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</si>
  <si>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</si>
  <si>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</si>
  <si>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</si>
  <si>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</si>
  <si>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</si>
  <si>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</si>
  <si>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</si>
  <si>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</si>
  <si>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</si>
  <si>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</si>
  <si>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</si>
  <si>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</si>
  <si>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</si>
  <si>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</si>
  <si>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</si>
  <si>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</si>
  <si>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</si>
  <si>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</si>
  <si>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</si>
  <si>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</si>
  <si>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</si>
  <si>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</si>
  <si>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</si>
  <si>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</si>
  <si>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</si>
  <si>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</si>
  <si>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</si>
  <si>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</si>
  <si>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</si>
  <si>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</si>
  <si>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</si>
  <si>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</si>
  <si>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</si>
  <si>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</si>
  <si>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</si>
  <si>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</si>
  <si>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</si>
  <si>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</si>
  <si>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</si>
  <si>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</si>
  <si>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</si>
  <si>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</si>
  <si>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</si>
  <si>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</si>
  <si>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</si>
  <si>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</si>
  <si>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</si>
  <si>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</si>
  <si>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</si>
  <si>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</si>
  <si>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</si>
  <si>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</si>
  <si>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</si>
  <si>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</si>
  <si>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</si>
  <si>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</si>
  <si>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</si>
  <si>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</si>
  <si>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</si>
  <si>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</si>
  <si>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</si>
  <si>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</si>
  <si>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</si>
  <si>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</si>
  <si>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</si>
  <si>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</si>
  <si>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</si>
  <si>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</si>
  <si>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</si>
  <si>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</si>
  <si>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</si>
  <si>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</si>
  <si>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</si>
  <si>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</si>
  <si>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</si>
  <si>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</si>
  <si>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</si>
  <si>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</si>
  <si>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</si>
  <si>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</si>
  <si>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</si>
  <si>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</si>
  <si>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</si>
  <si>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</si>
  <si>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</si>
  <si>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</si>
  <si>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</si>
  <si>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</si>
  <si>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</si>
  <si>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</si>
  <si>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</si>
  <si>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</si>
  <si>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</si>
  <si>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</si>
  <si>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</si>
  <si>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</si>
  <si>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</si>
  <si>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</si>
  <si>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</si>
  <si>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</si>
  <si>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</si>
  <si>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</si>
  <si>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</si>
  <si>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</si>
  <si>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</si>
  <si>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</si>
  <si>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</si>
  <si>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</si>
  <si>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</si>
  <si>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</si>
  <si>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</si>
  <si>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</si>
  <si>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</si>
  <si>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</si>
  <si>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</si>
  <si>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</si>
  <si>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</si>
  <si>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</si>
  <si>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</si>
  <si>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</si>
  <si>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</si>
  <si>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</si>
  <si>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</si>
  <si>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</si>
  <si>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</si>
  <si>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</si>
  <si>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</si>
  <si>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</si>
  <si>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</si>
  <si>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</si>
  <si>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</si>
  <si>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</si>
  <si>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</si>
  <si>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</si>
  <si>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</si>
  <si>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</si>
  <si>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</si>
  <si>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</si>
  <si>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</si>
  <si>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</si>
  <si>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</si>
  <si>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</si>
  <si>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</si>
  <si>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</si>
  <si>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</si>
  <si>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</si>
  <si>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</si>
  <si>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</si>
  <si>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</si>
  <si>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</si>
  <si>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</si>
  <si>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</si>
  <si>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</si>
  <si>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</si>
  <si>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</si>
  <si>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</si>
  <si>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</si>
  <si>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</si>
  <si>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</si>
  <si>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</si>
  <si>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</si>
  <si>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</si>
  <si>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</si>
  <si>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</si>
  <si>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</si>
  <si>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</si>
  <si>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</si>
  <si>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</si>
  <si>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</si>
  <si>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</si>
  <si>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</si>
  <si>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</si>
  <si>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</si>
  <si>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</si>
  <si>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</si>
  <si>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</si>
  <si>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</si>
  <si>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</si>
  <si>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</si>
  <si>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</si>
  <si>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</si>
  <si>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</si>
  <si>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</si>
  <si>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</si>
  <si>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</si>
  <si>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</si>
  <si>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</si>
  <si>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</si>
  <si>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</si>
  <si>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</si>
  <si>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</si>
  <si>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</si>
  <si>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</si>
  <si>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</si>
  <si>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</si>
  <si>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</si>
  <si>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</si>
  <si>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</si>
  <si>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</si>
  <si>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</si>
  <si>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</si>
  <si>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</si>
  <si>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</si>
  <si>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</si>
  <si>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</si>
  <si>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</si>
  <si>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</si>
  <si>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</si>
  <si>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</si>
  <si>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</si>
  <si>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</si>
  <si>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</si>
  <si>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</si>
  <si>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</si>
  <si>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</si>
  <si>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</si>
  <si>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</si>
  <si>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</si>
  <si>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</si>
  <si>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</si>
  <si>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</si>
  <si>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</si>
  <si>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</si>
  <si>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</si>
  <si>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</si>
  <si>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</si>
  <si>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</si>
  <si>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</si>
  <si>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</si>
  <si>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</si>
  <si>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</si>
  <si>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</si>
  <si>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</si>
  <si>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</si>
  <si>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</si>
  <si>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</si>
  <si>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</si>
  <si>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</si>
  <si>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</si>
  <si>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</si>
  <si>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</si>
  <si>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</si>
  <si>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</si>
  <si>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</si>
  <si>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</si>
  <si>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</si>
  <si>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</si>
  <si>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</si>
  <si>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</si>
  <si>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</si>
  <si>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</si>
  <si>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</si>
  <si>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</si>
  <si>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</si>
  <si>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</si>
  <si>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</si>
  <si>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</si>
  <si>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</si>
  <si>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</si>
  <si>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</si>
  <si>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</si>
  <si>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</si>
  <si>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</si>
  <si>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</si>
  <si>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</si>
  <si>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</si>
  <si>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</si>
  <si>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</si>
  <si>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</si>
  <si>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</si>
  <si>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</si>
  <si>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</si>
  <si>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</si>
  <si>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</si>
  <si>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</si>
  <si>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</si>
  <si>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</si>
  <si>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</si>
  <si>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</si>
  <si>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</si>
  <si>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</si>
  <si>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</si>
  <si>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</si>
  <si>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</si>
  <si>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</si>
  <si>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</si>
  <si>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</si>
  <si>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</si>
  <si>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</si>
  <si>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</si>
  <si>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</si>
  <si>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</si>
  <si>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</si>
  <si>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</si>
  <si>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</si>
  <si>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</si>
  <si>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</si>
  <si>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</si>
  <si>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</si>
  <si>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</si>
  <si>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</si>
  <si>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</si>
  <si>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</si>
  <si>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</si>
  <si>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</si>
  <si>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</si>
  <si>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</si>
  <si>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</si>
  <si>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</si>
  <si>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</si>
  <si>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</si>
  <si>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</si>
  <si>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</si>
  <si>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</si>
  <si>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</si>
  <si>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</si>
  <si>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</si>
  <si>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</si>
  <si>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</si>
  <si>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</si>
  <si>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</si>
  <si>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</si>
  <si>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</si>
  <si>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</si>
  <si>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</si>
  <si>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</si>
  <si>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</si>
  <si>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</si>
  <si>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</si>
  <si>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</si>
  <si>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</si>
  <si>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</si>
  <si>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</si>
  <si>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</si>
  <si>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</si>
  <si>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</si>
  <si>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</si>
  <si>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</si>
  <si>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</si>
  <si>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</si>
  <si>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</si>
  <si>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</si>
  <si>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</si>
  <si>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</si>
  <si>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</si>
  <si>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</si>
  <si>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</si>
  <si>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</si>
  <si>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</si>
  <si>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</si>
  <si>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</si>
  <si>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</si>
  <si>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</si>
  <si>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</si>
  <si>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</si>
  <si>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</si>
  <si>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</si>
  <si>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</si>
  <si>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</si>
  <si>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</si>
  <si>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</si>
  <si>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</si>
  <si>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</si>
  <si>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</si>
  <si>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</si>
  <si>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</si>
  <si>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</si>
  <si>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</si>
  <si>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</si>
  <si>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</si>
  <si>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</si>
  <si>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</si>
  <si>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</si>
  <si>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</si>
  <si>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</si>
  <si>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</si>
  <si>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</si>
  <si>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</si>
  <si>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</si>
  <si>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</si>
  <si>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</si>
  <si>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</si>
  <si>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</si>
  <si>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</si>
  <si>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</si>
  <si>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</si>
  <si>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</si>
  <si>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</si>
  <si>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</si>
  <si>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</si>
  <si>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</si>
  <si>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</si>
  <si>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</si>
  <si>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</si>
  <si>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</si>
  <si>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</si>
  <si>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</si>
  <si>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</si>
  <si>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</si>
  <si>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</si>
  <si>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</si>
  <si>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</si>
  <si>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</si>
  <si>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</si>
  <si>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</si>
  <si>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</si>
  <si>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</si>
  <si>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</si>
  <si>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</si>
  <si>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</si>
  <si>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</si>
  <si>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</si>
  <si>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</si>
  <si>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</si>
  <si>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</si>
  <si>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</si>
  <si>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</si>
  <si>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</si>
  <si>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</si>
  <si>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</si>
  <si>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</si>
  <si>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</si>
  <si>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</si>
  <si>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</si>
  <si>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</si>
  <si>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</si>
  <si>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</si>
  <si>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</si>
  <si>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</si>
  <si>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</si>
  <si>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</si>
  <si>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</si>
  <si>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</si>
  <si>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</si>
  <si>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</si>
  <si>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</si>
  <si>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</si>
  <si>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</si>
  <si>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</si>
  <si>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</si>
  <si>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</si>
  <si>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</si>
  <si>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</si>
  <si>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</si>
  <si>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</si>
  <si>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</si>
  <si>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</si>
  <si>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</si>
  <si>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</si>
  <si>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</si>
  <si>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</si>
  <si>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</si>
  <si>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</si>
  <si>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</si>
  <si>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</si>
  <si>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</si>
  <si>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</si>
  <si>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</si>
  <si>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</si>
  <si>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</si>
  <si>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</si>
  <si>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</si>
  <si>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</si>
  <si>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</si>
  <si>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</si>
  <si>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</si>
  <si>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</si>
  <si>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</si>
  <si>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</si>
  <si>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</si>
  <si>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</si>
  <si>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</si>
  <si>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</si>
  <si>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</si>
  <si>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</si>
  <si>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</si>
  <si>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</si>
  <si>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</si>
  <si>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</si>
  <si>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</si>
  <si>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</si>
  <si>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</si>
  <si>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</si>
  <si>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</si>
  <si>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</si>
  <si>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</si>
  <si>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</si>
  <si>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</si>
  <si>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</si>
  <si>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</si>
  <si>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</si>
  <si>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</si>
  <si>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</si>
  <si>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</si>
  <si>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</si>
  <si>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</si>
  <si>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</si>
  <si>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</si>
  <si>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</si>
  <si>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</si>
  <si>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</si>
  <si>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</si>
  <si>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</si>
  <si>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</si>
  <si>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</si>
  <si>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</si>
  <si>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</si>
  <si>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</si>
  <si>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</si>
  <si>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</si>
  <si>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</si>
  <si>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</si>
  <si>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</si>
  <si>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</si>
  <si>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</si>
  <si>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</si>
  <si>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</si>
  <si>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</si>
  <si>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</si>
  <si>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</si>
  <si>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</si>
  <si>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</si>
  <si>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</si>
  <si>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</si>
  <si>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</si>
  <si>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</si>
  <si>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</si>
  <si>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</si>
  <si>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</si>
  <si>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</si>
  <si>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</si>
  <si>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</si>
  <si>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</si>
  <si>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</si>
  <si>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</si>
  <si>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</si>
  <si>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</si>
  <si>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</si>
  <si>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</si>
  <si>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</si>
  <si>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</si>
  <si>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</si>
  <si>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</si>
  <si>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</si>
  <si>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</si>
  <si>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</si>
  <si>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</si>
  <si>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</si>
  <si>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</si>
  <si>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</si>
  <si>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</si>
  <si>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</si>
  <si>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</si>
  <si>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</si>
  <si>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</si>
  <si>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</si>
  <si>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</si>
  <si>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</si>
  <si>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</si>
  <si>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</si>
  <si>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</si>
  <si>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</si>
  <si>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</si>
  <si>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</si>
  <si>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</si>
  <si>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</si>
  <si>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</si>
  <si>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</si>
  <si>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</si>
  <si>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</si>
  <si>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</si>
  <si>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</si>
  <si>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</si>
  <si>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</si>
  <si>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</si>
  <si>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</si>
  <si>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</si>
  <si>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</si>
  <si>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</si>
  <si>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</si>
  <si>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</si>
  <si>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</si>
  <si>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</si>
  <si>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</si>
  <si>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</si>
  <si>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</si>
  <si>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</si>
  <si>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</si>
  <si>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</si>
  <si>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</si>
  <si>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</si>
  <si>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</si>
  <si>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</si>
  <si>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</si>
  <si>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</si>
  <si>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</si>
  <si>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</si>
  <si>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</si>
  <si>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</si>
  <si>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</si>
  <si>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</si>
  <si>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</si>
  <si>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</si>
  <si>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</si>
  <si>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</si>
  <si>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</si>
  <si>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</si>
  <si>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</si>
  <si>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</si>
  <si>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</si>
  <si>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</si>
  <si>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</si>
  <si>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</si>
  <si>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</si>
  <si>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</si>
  <si>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</si>
  <si>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</si>
  <si>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</si>
  <si>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</si>
  <si>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</si>
  <si>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</si>
  <si>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</si>
  <si>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</si>
  <si>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</si>
  <si>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</si>
  <si>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</si>
  <si>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</si>
  <si>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</si>
  <si>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</si>
  <si>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</si>
  <si>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</si>
  <si>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</si>
  <si>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</si>
  <si>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</si>
  <si>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</si>
  <si>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</si>
  <si>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</si>
  <si>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</si>
  <si>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</si>
  <si>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</si>
  <si>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</si>
  <si>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</si>
  <si>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</si>
  <si>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</si>
  <si>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</si>
  <si>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</si>
  <si>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</si>
  <si>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</si>
  <si>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</si>
  <si>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</si>
  <si>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</si>
  <si>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</si>
  <si>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</si>
  <si>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</si>
  <si>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</si>
  <si>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</si>
  <si>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</si>
  <si>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</si>
  <si>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</si>
  <si>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</si>
  <si>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</si>
  <si>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</si>
  <si>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</si>
  <si>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</si>
  <si>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</si>
  <si>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</si>
  <si>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</si>
  <si>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</si>
  <si>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</si>
  <si>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</si>
  <si>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</si>
  <si>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</si>
  <si>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</si>
  <si>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</si>
  <si>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</si>
  <si>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</si>
  <si>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</si>
  <si>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</si>
  <si>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</si>
  <si>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</si>
  <si>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</si>
  <si>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</si>
  <si>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</si>
  <si>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</si>
  <si>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</si>
  <si>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</si>
  <si>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</si>
  <si>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</si>
  <si>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</si>
  <si>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</si>
  <si>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</si>
  <si>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</si>
  <si>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</si>
  <si>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</si>
  <si>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</si>
  <si>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</si>
  <si>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</si>
  <si>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</si>
  <si>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</si>
  <si>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</si>
  <si>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</si>
  <si>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</si>
  <si>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</si>
  <si>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</si>
  <si>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</si>
  <si>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</si>
  <si>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</si>
  <si>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</si>
  <si>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</si>
  <si>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</si>
  <si>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</si>
  <si>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</si>
  <si>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</si>
  <si>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</si>
  <si>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</si>
  <si>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</si>
  <si>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</si>
  <si>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</si>
  <si>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</si>
  <si>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</si>
  <si>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</si>
  <si>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</si>
  <si>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</si>
  <si>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</si>
  <si>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</si>
  <si>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</si>
  <si>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</si>
  <si>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</si>
  <si>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</si>
  <si>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</si>
  <si>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</si>
  <si>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</si>
  <si>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</si>
  <si>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</si>
  <si>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</si>
  <si>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</si>
  <si>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</si>
  <si>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</si>
  <si>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</si>
  <si>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</si>
  <si>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</si>
  <si>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</si>
  <si>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</si>
  <si>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</si>
  <si>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</si>
  <si>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</si>
  <si>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</si>
  <si>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</si>
  <si>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</si>
  <si>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</si>
  <si>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</si>
  <si>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</si>
  <si>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</si>
  <si>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</si>
  <si>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</si>
  <si>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</si>
  <si>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</si>
  <si>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</si>
  <si>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</si>
  <si>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</si>
  <si>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</si>
  <si>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</si>
  <si>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</si>
  <si>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</si>
  <si>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</si>
  <si>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</si>
  <si>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</si>
  <si>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</si>
  <si>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</si>
  <si>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</si>
  <si>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</si>
  <si>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</si>
  <si>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</si>
  <si>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</si>
  <si>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</si>
  <si>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</si>
  <si>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</si>
  <si>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</si>
  <si>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</si>
  <si>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</si>
  <si>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</si>
  <si>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</si>
  <si>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</si>
  <si>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</si>
  <si>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</si>
  <si>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</si>
  <si>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</si>
  <si>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</si>
  <si>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</si>
  <si>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</si>
  <si>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</si>
  <si>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</si>
  <si>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</si>
  <si>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</si>
  <si>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</si>
  <si>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</si>
  <si>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</si>
  <si>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</si>
  <si>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</si>
  <si>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</si>
  <si>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</si>
  <si>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</si>
  <si>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</si>
  <si>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</si>
  <si>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</si>
  <si>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</si>
  <si>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</si>
  <si>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</si>
  <si>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</si>
  <si>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</si>
  <si>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</si>
  <si>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</si>
  <si>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</si>
  <si>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</si>
  <si>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</si>
  <si>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</si>
  <si>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</si>
  <si>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</si>
  <si>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</si>
  <si>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</si>
  <si>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</si>
  <si>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</si>
  <si>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</si>
  <si>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</si>
  <si>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</si>
  <si>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</si>
  <si>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</si>
  <si>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</si>
  <si>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</si>
  <si>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</si>
  <si>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</si>
  <si>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</si>
  <si>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</si>
  <si>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</si>
  <si>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</si>
  <si>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</si>
  <si>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</si>
  <si>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</si>
  <si>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</si>
  <si>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</si>
  <si>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</si>
  <si>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</si>
  <si>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</si>
  <si>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</si>
  <si>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</si>
  <si>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</si>
  <si>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</si>
  <si>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</si>
  <si>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</si>
  <si>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</si>
  <si>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</si>
  <si>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</si>
  <si>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</si>
  <si>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</si>
  <si>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</si>
  <si>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</si>
  <si>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</si>
  <si>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</si>
  <si>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</si>
  <si>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</si>
  <si>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</si>
  <si>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</si>
  <si>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</si>
  <si>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</si>
  <si>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</si>
  <si>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</si>
  <si>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</si>
  <si>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</si>
  <si>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</si>
  <si>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</si>
  <si>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</si>
  <si>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</si>
  <si>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</si>
  <si>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</si>
  <si>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</si>
  <si>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</si>
  <si>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</si>
  <si>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</si>
  <si>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</si>
  <si>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</si>
  <si>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</si>
  <si>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</si>
  <si>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</si>
  <si>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</si>
  <si>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</si>
  <si>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</si>
  <si>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</si>
  <si>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</si>
  <si>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</si>
  <si>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</si>
  <si>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</si>
  <si>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</si>
  <si>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</si>
  <si>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</si>
  <si>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</si>
  <si>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</si>
  <si>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</si>
  <si>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</si>
  <si>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</si>
  <si>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</si>
  <si>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</si>
  <si>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</si>
  <si>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</si>
  <si>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</si>
  <si>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</si>
  <si>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</si>
  <si>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</si>
  <si>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</si>
  <si>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</si>
  <si>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</si>
  <si>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</si>
  <si>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</si>
  <si>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</si>
  <si>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</si>
  <si>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</si>
  <si>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</si>
  <si>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</si>
  <si>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</si>
  <si>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</si>
  <si>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</si>
  <si>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</si>
  <si>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</si>
  <si>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</si>
  <si>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</si>
  <si>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</si>
  <si>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</si>
  <si>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</si>
  <si>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</si>
  <si>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</si>
  <si>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</si>
  <si>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</si>
  <si>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</si>
  <si>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</si>
  <si>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</si>
  <si>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</si>
  <si>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</si>
  <si>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</si>
  <si>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</si>
  <si>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</si>
  <si>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</si>
  <si>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</si>
  <si>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</si>
  <si>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</si>
  <si>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</si>
  <si>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</si>
  <si>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</si>
  <si>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</si>
  <si>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</si>
  <si>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</si>
  <si>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</si>
  <si>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</si>
  <si>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</si>
  <si>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</si>
  <si>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</si>
  <si>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</si>
  <si>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</si>
  <si>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</si>
  <si>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</si>
  <si>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</si>
  <si>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</si>
  <si>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</si>
  <si>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</si>
  <si>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</si>
  <si>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</si>
  <si>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</si>
  <si>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</si>
  <si>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</si>
  <si>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</si>
  <si>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</si>
  <si>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</si>
  <si>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</si>
  <si>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</si>
  <si>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</si>
  <si>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</si>
  <si>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</si>
  <si>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</si>
  <si>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</si>
  <si>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</si>
  <si>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</si>
  <si>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</si>
  <si>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</si>
  <si>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</si>
  <si>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</si>
  <si>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</si>
  <si>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</si>
  <si>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</si>
  <si>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</si>
  <si>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</si>
  <si>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</si>
  <si>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</si>
  <si>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</si>
  <si>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</si>
  <si>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</si>
  <si>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</si>
  <si>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</si>
  <si>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</si>
  <si>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</si>
  <si>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</si>
  <si>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</si>
  <si>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</si>
  <si>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</si>
  <si>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</si>
  <si>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</si>
  <si>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</si>
  <si>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</si>
  <si>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</si>
  <si>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</si>
  <si>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</si>
  <si>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</si>
  <si>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</si>
  <si>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</si>
  <si>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</si>
  <si>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</si>
  <si>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</si>
  <si>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</si>
  <si>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</si>
  <si>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</si>
  <si>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</si>
  <si>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</si>
  <si>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</si>
  <si>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</si>
  <si>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</si>
  <si>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</si>
  <si>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</si>
  <si>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</si>
  <si>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</si>
  <si>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</si>
  <si>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</si>
  <si>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</si>
  <si>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</si>
  <si>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</si>
  <si>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</si>
  <si>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</si>
  <si>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</si>
  <si>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</si>
  <si>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</si>
  <si>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</si>
  <si>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</si>
  <si>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</si>
  <si>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</si>
  <si>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</si>
  <si>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</si>
  <si>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</si>
  <si>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</si>
  <si>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</si>
  <si>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</si>
  <si>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</si>
  <si>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</si>
  <si>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</si>
  <si>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</si>
  <si>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</si>
  <si>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</si>
  <si>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</si>
  <si>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</si>
  <si>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</si>
  <si>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</si>
  <si>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</si>
  <si>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</si>
  <si>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</si>
  <si>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</si>
  <si>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Category_Helper</t>
  </si>
  <si>
    <t>Segment_Helper</t>
  </si>
  <si>
    <t>Rep ID</t>
  </si>
  <si>
    <t>Total Revenue</t>
  </si>
  <si>
    <t>Age_Helper</t>
  </si>
  <si>
    <t>Region_Helper</t>
  </si>
  <si>
    <t>Row Labels</t>
  </si>
  <si>
    <t>(blank)</t>
  </si>
  <si>
    <t>Grand Total</t>
  </si>
  <si>
    <t>Column Labels</t>
  </si>
  <si>
    <t>Sum of final_amount</t>
  </si>
  <si>
    <t>Qtr1</t>
  </si>
  <si>
    <t>Qtr2</t>
  </si>
  <si>
    <t>Qtr3</t>
  </si>
  <si>
    <t>Qtr4</t>
  </si>
  <si>
    <t>Unit_Cost</t>
  </si>
  <si>
    <t>Profit_Margin</t>
  </si>
  <si>
    <t>Rank</t>
  </si>
  <si>
    <t>AMIT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</si>
</sst>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17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  <font>
      <sz val="11"/>
      <color theme="2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0" xfId="0"/>
    <xf numFmtId="0" fontId="15" fillId="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8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0" fillId="0" borderId="0" xfId="0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66.517374305557" createdVersion="5" refreshedVersion="5" minRefreshableVersion="3" recordCount="2004">
  <cacheSource type="worksheet">
    <worksheetSource ref="A1:O2005" sheet="Orders"/>
  </cacheSource>
  <cacheFields count="15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4-12-31T00:00:00" count="366">
        <d v="2024-09-14T00:00:00"/>
        <d v="2024-02-18T00:00:00"/>
        <d v="2024-03-20T00:00:00"/>
        <d v="2024-05-01T00:00:00"/>
        <d v="2024-11-15T00:00:00"/>
        <d v="2024-04-24T00:00:00"/>
        <d v="2024-06-12T00:00:00"/>
        <d v="2024-11-21T00:00:00"/>
        <d v="2024-04-14T00:00:00"/>
        <d v="2024-09-25T00:00:00"/>
        <d v="2024-02-10T00:00:00"/>
        <d v="2024-08-03T00:00:00"/>
        <d v="2024-06-23T00:00:00"/>
        <d v="2024-03-14T00:00:00"/>
        <d v="2024-09-11T00:00:00"/>
        <d v="2024-08-08T00:00:00"/>
        <d v="2024-12-28T00:00:00"/>
        <d v="2024-11-30T00:00:00"/>
        <d v="2024-04-12T00:00:00"/>
        <d v="2024-06-27T00:00:00"/>
        <d v="2024-03-03T00:00:00"/>
        <d v="2024-08-26T00:00:00"/>
        <d v="2024-06-29T00:00:00"/>
        <d v="2024-10-05T00:00:00"/>
        <d v="2024-04-19T00:00:00"/>
        <d v="2024-08-13T00:00:00"/>
        <d v="2024-03-12T00:00:00"/>
        <d v="2024-03-16T00:00:00"/>
        <d v="2024-10-04T00:00:00"/>
        <d v="2024-12-15T00:00:00"/>
        <d v="2024-02-21T00:00:00"/>
        <d v="2024-10-11T00:00:00"/>
        <d v="2024-06-19T00:00:00"/>
        <d v="2024-05-30T00:00:00"/>
        <d v="2024-12-20T00:00:00"/>
        <d v="2024-07-05T00:00:00"/>
        <d v="2024-03-04T00:00:00"/>
        <d v="2024-11-03T00:00:00"/>
        <d v="2024-11-10T00:00:00"/>
        <d v="2024-05-20T00:00:00"/>
        <d v="2024-04-10T00:00:00"/>
        <d v="2024-03-22T00:00:00"/>
        <d v="2024-01-21T00:00:00"/>
        <d v="2024-03-19T00:00:00"/>
        <d v="2024-04-07T00:00:00"/>
        <d v="2024-09-30T00:00:00"/>
        <d v="2024-02-01T00:00:00"/>
        <d v="2024-08-02T00:00:00"/>
        <d v="2024-11-20T00:00:00"/>
        <d v="2024-05-16T00:00:00"/>
        <d v="2024-08-11T00:00:00"/>
        <d v="2024-12-23T00:00:00"/>
        <d v="2024-10-08T00:00:00"/>
        <d v="2024-05-05T00:00:00"/>
        <d v="2024-05-13T00:00:00"/>
        <d v="2024-10-24T00:00:00"/>
        <d v="2024-07-15T00:00:00"/>
        <d v="2024-06-22T00:00:00"/>
        <d v="2024-01-26T00:00:00"/>
        <d v="2024-07-26T00:00:00"/>
        <d v="2024-02-06T00:00:00"/>
        <d v="2024-06-16T00:00:00"/>
        <d v="2024-04-16T00:00:00"/>
        <d v="2024-02-24T00:00:00"/>
        <d v="2024-07-10T00:00:00"/>
        <d v="2024-10-20T00:00:00"/>
        <d v="2024-07-27T00:00:00"/>
        <d v="2024-03-24T00:00:00"/>
        <d v="2024-05-31T00:00:00"/>
        <d v="2024-04-08T00:00:00"/>
        <d v="2024-11-19T00:00:00"/>
        <d v="2024-07-25T00:00:00"/>
        <d v="2024-08-24T00:00:00"/>
        <d v="2024-04-20T00:00:00"/>
        <d v="2024-09-12T00:00:00"/>
        <d v="2024-05-12T00:00:00"/>
        <d v="2024-06-18T00:00:00"/>
        <d v="2024-11-04T00:00:00"/>
        <d v="2024-10-22T00:00:00"/>
        <d v="2024-08-14T00:00:00"/>
        <d v="2024-08-29T00:00:00"/>
        <d v="2024-11-26T00:00:00"/>
        <d v="2024-03-29T00:00:00"/>
        <d v="2024-12-22T00:00:00"/>
        <d v="2024-11-11T00:00:00"/>
        <d v="2024-05-02T00:00:00"/>
        <d v="2024-06-15T00:00:00"/>
        <d v="2024-05-14T00:00:00"/>
        <d v="2024-09-22T00:00:00"/>
        <d v="2024-08-05T00:00:00"/>
        <d v="2024-02-07T00:00:00"/>
        <d v="2024-04-29T00:00:00"/>
        <d v="2024-01-06T00:00:00"/>
        <d v="2024-12-14T00:00:00"/>
        <d v="2024-01-31T00:00:00"/>
        <d v="2024-10-27T00:00:00"/>
        <d v="2024-05-27T00:00:00"/>
        <d v="2024-07-13T00:00:00"/>
        <d v="2024-12-03T00:00:00"/>
        <d v="2024-06-10T00:00:00"/>
        <d v="2024-11-01T00:00:00"/>
        <d v="2024-08-27T00:00:00"/>
        <d v="2024-10-31T00:00:00"/>
        <d v="2024-05-08T00:00:00"/>
        <d v="2024-05-04T00:00:00"/>
        <d v="2024-11-18T00:00:00"/>
        <d v="2024-10-28T00:00:00"/>
        <d v="2024-03-09T00:00:00"/>
        <d v="2024-12-02T00:00:00"/>
        <d v="2024-11-16T00:00:00"/>
        <d v="2024-09-06T00:00:00"/>
        <d v="2024-08-20T00:00:00"/>
        <d v="2024-02-22T00:00:00"/>
        <d v="2024-06-20T00:00:00"/>
        <d v="2024-01-10T00:00:00"/>
        <d v="2024-09-24T00:00:00"/>
        <d v="2024-02-29T00:00:00"/>
        <d v="2024-11-08T00:00:00"/>
        <d v="2024-08-04T00:00:00"/>
        <d v="2024-01-18T00:00:00"/>
        <d v="2024-06-05T00:00:00"/>
        <d v="2024-06-06T00:00:00"/>
        <d v="2024-09-20T00:00:00"/>
        <d v="2024-02-19T00:00:00"/>
        <d v="2024-05-10T00:00:00"/>
        <d v="2024-01-27T00:00:00"/>
        <d v="2024-08-17T00:00:00"/>
        <d v="2024-10-30T00:00:00"/>
        <d v="2024-12-18T00:00:00"/>
        <d v="2024-01-07T00:00:00"/>
        <d v="2024-06-04T00:00:00"/>
        <d v="2024-11-05T00:00:00"/>
        <d v="2024-04-27T00:00:00"/>
        <d v="2024-10-14T00:00:00"/>
        <d v="2024-02-27T00:00:00"/>
        <d v="2024-07-16T00:00:00"/>
        <d v="2024-06-14T00:00:00"/>
        <d v="2024-01-03T00:00:00"/>
        <d v="2024-02-23T00:00:00"/>
        <d v="2024-04-09T00:00:00"/>
        <d v="2024-05-07T00:00:00"/>
        <d v="2024-01-15T00:00:00"/>
        <d v="2024-12-07T00:00:00"/>
        <d v="2024-03-31T00:00:00"/>
        <d v="2024-02-11T00:00:00"/>
        <d v="2024-06-13T00:00:00"/>
        <d v="2024-01-04T00:00:00"/>
        <d v="2024-08-28T00:00:00"/>
        <d v="2024-09-29T00:00:00"/>
        <d v="2024-09-04T00:00:00"/>
        <d v="2024-11-09T00:00:00"/>
        <d v="2024-06-17T00:00:00"/>
        <d v="2024-09-03T00:00:00"/>
        <d v="2024-01-29T00:00:00"/>
        <d v="2024-02-28T00:00:00"/>
        <d v="2024-07-19T00:00:00"/>
        <d v="2024-07-17T00:00:00"/>
        <d v="2024-10-26T00:00:00"/>
        <d v="2024-01-28T00:00:00"/>
        <d v="2024-08-23T00:00:00"/>
        <d v="2024-10-07T00:00:00"/>
        <d v="2024-12-11T00:00:00"/>
        <d v="2024-01-24T00:00:00"/>
        <d v="2024-03-23T00:00:00"/>
        <d v="2024-02-13T00:00:00"/>
        <d v="2024-12-30T00:00:00"/>
        <d v="2024-08-30T00:00:00"/>
        <d v="2024-12-13T00:00:00"/>
        <d v="2024-12-27T00:00:00"/>
        <d v="2024-04-18T00:00:00"/>
        <d v="2024-11-12T00:00:00"/>
        <d v="2024-04-23T00:00:00"/>
        <d v="2024-07-31T00:00:00"/>
        <d v="2024-07-14T00:00:00"/>
        <d v="2024-01-02T00:00:00"/>
        <d v="2024-12-17T00:00:00"/>
        <d v="2024-09-07T00:00:00"/>
        <d v="2024-03-02T00:00:00"/>
        <d v="2024-07-07T00:00:00"/>
        <d v="2024-02-04T00:00:00"/>
        <d v="2024-12-01T00:00:00"/>
        <d v="2024-12-24T00:00:00"/>
        <d v="2024-09-10T00:00:00"/>
        <d v="2024-04-13T00:00:00"/>
        <d v="2024-12-10T00:00:00"/>
        <d v="2024-07-22T00:00:00"/>
        <d v="2024-02-15T00:00:00"/>
        <d v="2024-08-07T00:00:00"/>
        <d v="2024-01-30T00:00:00"/>
        <d v="2024-10-10T00:00:00"/>
        <d v="2024-08-18T00:00:00"/>
        <d v="2024-08-09T00:00:00"/>
        <d v="2024-04-25T00:00:00"/>
        <d v="2024-01-08T00:00:00"/>
        <d v="2024-04-04T00:00:00"/>
        <d v="2024-05-18T00:00:00"/>
        <d v="2024-05-06T00:00:00"/>
        <d v="2024-01-05T00:00:00"/>
        <d v="2024-12-12T00:00:00"/>
        <d v="2024-04-26T00:00:00"/>
        <d v="2024-02-16T00:00:00"/>
        <d v="2024-08-25T00:00:00"/>
        <d v="2024-01-19T00:00:00"/>
        <d v="2024-01-23T00:00:00"/>
        <d v="2024-11-23T00:00:00"/>
        <d v="2024-09-02T00:00:00"/>
        <d v="2024-07-02T00:00:00"/>
        <d v="2024-11-28T00:00:00"/>
        <d v="2024-12-09T00:00:00"/>
        <d v="2024-05-03T00:00:00"/>
        <d v="2024-04-21T00:00:00"/>
        <d v="2024-09-19T00:00:00"/>
        <d v="2024-01-09T00:00:00"/>
        <d v="2024-03-17T00:00:00"/>
        <d v="2024-07-08T00:00:00"/>
        <d v="2024-12-06T00:00:00"/>
        <d v="2024-06-07T00:00:00"/>
        <d v="2024-04-03T00:00:00"/>
        <d v="2024-12-19T00:00:00"/>
        <d v="2024-12-29T00:00:00"/>
        <d v="2024-02-17T00:00:00"/>
        <d v="2024-11-22T00:00:00"/>
        <d v="2024-10-25T00:00:00"/>
        <d v="2024-09-18T00:00:00"/>
        <d v="2024-05-22T00:00:00"/>
        <d v="2024-06-03T00:00:00"/>
        <d v="2024-08-16T00:00:00"/>
        <d v="2024-09-09T00:00:00"/>
        <d v="2024-10-15T00:00:00"/>
        <d v="2024-03-28T00:00:00"/>
        <d v="2024-09-26T00:00:00"/>
        <d v="2024-01-17T00:00:00"/>
        <d v="2024-09-28T00:00:00"/>
        <d v="2024-07-03T00:00:00"/>
        <d v="2024-03-13T00:00:00"/>
        <d v="2024-11-27T00:00:00"/>
        <d v="2024-05-29T00:00:00"/>
        <d v="2024-10-02T00:00:00"/>
        <d v="2024-02-09T00:00:00"/>
        <d v="2024-03-27T00:00:00"/>
        <d v="2024-07-30T00:00:00"/>
        <d v="2024-10-19T00:00:00"/>
        <d v="2024-05-28T00:00:00"/>
        <d v="2024-03-07T00:00:00"/>
        <d v="2024-04-05T00:00:00"/>
        <d v="2024-04-15T00:00:00"/>
        <d v="2024-01-16T00:00:00"/>
        <d v="2024-11-24T00:00:00"/>
        <d v="2024-10-16T00:00:00"/>
        <d v="2024-04-30T00:00:00"/>
        <d v="2024-03-15T00:00:00"/>
        <d v="2024-10-12T00:00:00"/>
        <d v="2024-12-05T00:00:00"/>
        <d v="2024-06-11T00:00:00"/>
        <d v="2024-09-27T00:00:00"/>
        <d v="2024-07-24T00:00:00"/>
        <d v="2024-08-06T00:00:00"/>
        <d v="2024-03-30T00:00:00"/>
        <d v="2024-02-02T00:00:00"/>
        <d v="2024-02-08T00:00:00"/>
        <d v="2024-02-14T00:00:00"/>
        <d v="2024-10-21T00:00:00"/>
        <d v="2024-12-21T00:00:00"/>
        <d v="2024-07-23T00:00:00"/>
        <d v="2024-03-18T00:00:00"/>
        <d v="2024-08-01T00:00:00"/>
        <d v="2024-04-01T00:00:00"/>
        <d v="2024-07-01T00:00:00"/>
        <d v="2024-03-10T00:00:00"/>
        <d v="2024-09-15T00:00:00"/>
        <d v="2024-07-12T00:00:00"/>
        <d v="2024-08-19T00:00:00"/>
        <d v="2024-01-11T00:00:00"/>
        <d v="2024-05-15T00:00:00"/>
        <d v="2024-04-11T00:00:00"/>
        <d v="2024-08-31T00:00:00"/>
        <d v="2024-10-23T00:00:00"/>
        <d v="2024-06-26T00:00:00"/>
        <d v="2024-09-17T00:00:00"/>
        <d v="2024-03-01T00:00:00"/>
        <d v="2024-04-22T00:00:00"/>
        <d v="2024-08-15T00:00:00"/>
        <d v="2024-08-10T00:00:00"/>
        <d v="2024-08-21T00:00:00"/>
        <d v="2024-11-17T00:00:00"/>
        <d v="2024-07-11T00:00:00"/>
        <d v="2024-10-01T00:00:00"/>
        <d v="2024-12-08T00:00:00"/>
        <d v="2024-01-20T00:00:00"/>
        <d v="2024-09-13T00:00:00"/>
        <d v="2024-06-25T00:00:00"/>
        <d v="2024-01-12T00:00:00"/>
        <d v="2024-05-09T00:00:00"/>
        <d v="2024-07-20T00:00:00"/>
        <d v="2024-11-14T00:00:00"/>
        <d v="2024-05-24T00:00:00"/>
        <d v="2024-10-03T00:00:00"/>
        <d v="2024-10-06T00:00:00"/>
        <d v="2024-03-06T00:00:00"/>
        <d v="2024-06-24T00:00:00"/>
        <d v="2024-01-13T00:00:00"/>
        <d v="2024-05-21T00:00:00"/>
        <d v="2024-07-04T00:00:00"/>
        <d v="2024-11-13T00:00:00"/>
        <d v="2024-07-18T00:00:00"/>
        <d v="2024-02-20T00:00:00"/>
        <d v="2024-04-28T00:00:00"/>
        <d v="2024-09-23T00:00:00"/>
        <d v="2024-10-09T00:00:00"/>
        <d v="2024-01-25T00:00:00"/>
        <d v="2024-06-08T00:00:00"/>
        <d v="2024-11-02T00:00:00"/>
        <d v="2024-03-26T00:00:00"/>
        <d v="2024-05-19T00:00:00"/>
        <d v="2024-06-28T00:00:00"/>
        <d v="2024-07-21T00:00:00"/>
        <d v="2024-12-04T00:00:00"/>
        <d v="2024-09-16T00:00:00"/>
        <d v="2024-05-11T00:00:00"/>
        <d v="2024-07-06T00:00:00"/>
        <d v="2024-03-05T00:00:00"/>
        <d v="2024-04-06T00:00:00"/>
        <d v="2024-02-05T00:00:00"/>
        <d v="2024-02-12T00:00:00"/>
        <d v="2024-02-25T00:00:00"/>
        <d v="2024-12-26T00:00:00"/>
        <d v="2024-09-05T00:00:00"/>
        <d v="2024-11-29T00:00:00"/>
        <d v="2024-06-01T00:00:00"/>
        <d v="2024-10-17T00:00:00"/>
        <d v="2024-12-25T00:00:00"/>
        <d v="2024-03-11T00:00:00"/>
        <d v="2024-03-21T00:00:00"/>
        <d v="2024-02-26T00:00:00"/>
        <d v="2024-05-26T00:00:00"/>
        <d v="2024-05-17T00:00:00"/>
        <d v="2024-10-18T00:00:00"/>
        <d v="2024-07-09T00:00:00"/>
        <d v="2024-06-02T00:00:00"/>
        <d v="2024-06-30T00:00:00"/>
        <d v="2024-08-12T00:00:00"/>
        <d v="2024-11-06T00:00:00"/>
        <d v="2024-04-17T00:00:00"/>
        <d v="2024-01-22T00:00:00"/>
        <d v="2024-10-13T00:00:00"/>
        <d v="2024-10-29T00:00:00"/>
        <d v="2024-01-01T00:00:00"/>
        <d v="2024-05-23T00:00:00"/>
        <d v="2024-11-07T00:00:00"/>
        <d v="2024-07-29T00:00:00"/>
        <d v="2024-07-28T00:00:00"/>
        <d v="2024-03-25T00:00:00"/>
        <d v="2024-05-25T00:00:00"/>
        <d v="2024-03-08T00:00:00"/>
        <d v="2024-02-03T00:00:00"/>
        <d v="2024-09-01T00:00:00"/>
        <d v="2024-11-25T00:00:00"/>
        <d v="2024-08-22T00:00:00"/>
        <d v="2024-06-09T00:00:00"/>
        <d v="2024-01-14T00:00:00"/>
        <d v="2024-04-02T00:00:00"/>
        <d v="2024-09-21T00:00:00"/>
        <d v="2024-12-16T00:00:00"/>
        <d v="2024-09-08T00:00:00"/>
        <d v="2024-06-21T00:00:00"/>
        <m/>
      </sharedItems>
      <fieldGroup base="1">
        <rangePr groupBy="quarters" startDate="2024-01-01T00:00:00" endDate="2024-12-31T00:00:00"/>
        <groupItems count="6">
          <s v="(blank)"/>
          <s v="Qtr1"/>
          <s v="Qtr2"/>
          <s v="Qtr3"/>
          <s v="Qtr4"/>
          <s v="&gt;31-12-2024"/>
        </groupItems>
      </fieldGroup>
    </cacheField>
    <cacheField name="customer_id" numFmtId="0">
      <sharedItems containsBlank="1"/>
    </cacheField>
    <cacheField name="product_id" numFmtId="0">
      <sharedItems containsBlank="1"/>
    </cacheField>
    <cacheField name="sales_rep_id" numFmtId="0">
      <sharedItems containsBlank="1" count="31">
        <s v="R007"/>
        <s v="R005"/>
        <s v="R014"/>
        <s v="R006"/>
        <s v="R008"/>
        <s v="R025"/>
        <s v="R024"/>
        <s v="R019"/>
        <s v="R028"/>
        <s v="R010"/>
        <s v="R004"/>
        <s v="R003"/>
        <s v="R023"/>
        <s v="R021"/>
        <s v="R030"/>
        <s v="R015"/>
        <s v="R020"/>
        <s v="R026"/>
        <s v="R009"/>
        <s v="R001"/>
        <s v="R029"/>
        <s v="R017"/>
        <s v="R013"/>
        <s v="R011"/>
        <s v="R022"/>
        <s v="R002"/>
        <s v="R018"/>
        <s v="R012"/>
        <s v="R027"/>
        <s v="R016"/>
        <m/>
      </sharedItems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190" maxValue="6940"/>
    </cacheField>
    <cacheField name="discount_pct" numFmtId="0">
      <sharedItems containsString="0" containsBlank="1" containsNumber="1" minValue="0.1" maxValue="30"/>
    </cacheField>
    <cacheField name="final_amount" numFmtId="0">
      <sharedItems containsString="0" containsBlank="1" containsNumber="1" minValue="150.66999999999999" maxValue="68081.399999999994"/>
    </cacheField>
    <cacheField name="payment_status" numFmtId="0">
      <sharedItems containsBlank="1"/>
    </cacheField>
    <cacheField name="ship_city" numFmtId="0">
      <sharedItems containsBlank="1"/>
    </cacheField>
    <cacheField name="Category_Helper" numFmtId="0">
      <sharedItems containsBlank="1" count="7">
        <s v="Apparel"/>
        <s v="Sports"/>
        <s v="Grocery"/>
        <s v="Home"/>
        <s v="Electronics"/>
        <s v="Beauty"/>
        <m/>
      </sharedItems>
    </cacheField>
    <cacheField name="Segment_Helper" numFmtId="0">
      <sharedItems containsBlank="1"/>
    </cacheField>
    <cacheField name="Age_Helper" numFmtId="0">
      <sharedItems containsMixedTypes="1" containsNumber="1" containsInteger="1" minValue="22" maxValue="65"/>
    </cacheField>
    <cacheField name="Region_Helper" numFmtId="0">
      <sharedItems containsBlank="1" count="5">
        <s v="North"/>
        <s v="South"/>
        <s v="West"/>
        <s v="Ea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66.553439930554" createdVersion="5" refreshedVersion="5" minRefreshableVersion="3" recordCount="2267">
  <cacheSource type="worksheet">
    <worksheetSource ref="A1:Q2268" sheet="Orders"/>
  </cacheSource>
  <cacheFields count="17">
    <cacheField name="order_id" numFmtId="0">
      <sharedItems containsBlank="1"/>
    </cacheField>
    <cacheField name="order_date" numFmtId="0">
      <sharedItems containsNonDate="0" containsDate="1" containsString="0" containsBlank="1" minDate="2024-01-01T00:00:00" maxDate="2024-12-31T00:00:00"/>
    </cacheField>
    <cacheField name="customer_id" numFmtId="0">
      <sharedItems containsBlank="1"/>
    </cacheField>
    <cacheField name="product_id" numFmtId="0">
      <sharedItems containsBlank="1" count="61">
        <s v="PROD-014"/>
        <s v="PROD-020"/>
        <s v="PROD-053"/>
        <s v="PROD-028"/>
        <s v="PROD-012"/>
        <s v="PROD-032"/>
        <s v="PROD-057"/>
        <s v="PROD-007"/>
        <s v="PROD-038"/>
        <s v="PROD-030"/>
        <s v="PROD-024"/>
        <s v="PROD-010"/>
        <s v="PROD-002"/>
        <s v="PROD-036"/>
        <s v="PROD-060"/>
        <s v="PROD-058"/>
        <s v="PROD-047"/>
        <s v="PROD-051"/>
        <s v="PROD-040"/>
        <s v="PROD-019"/>
        <s v="PROD-015"/>
        <s v="PROD-044"/>
        <s v="PROD-043"/>
        <s v="PROD-054"/>
        <s v="PROD-046"/>
        <s v="PROD-003"/>
        <s v="PROD-048"/>
        <s v="PROD-055"/>
        <s v="PROD-021"/>
        <s v="PROD-037"/>
        <s v="PROD-031"/>
        <s v="PROD-027"/>
        <s v="PROD-013"/>
        <s v="PROD-050"/>
        <s v="PROD-022"/>
        <s v="PROD-004"/>
        <s v="PROD-041"/>
        <s v="PROD-026"/>
        <s v="PROD-009"/>
        <s v="PROD-039"/>
        <s v="PROD-045"/>
        <s v="PROD-008"/>
        <s v="PROD-005"/>
        <s v="PROD-016"/>
        <s v="PROD-033"/>
        <s v="PROD-029"/>
        <s v="PROD-025"/>
        <s v="PROD-017"/>
        <s v="PROD-052"/>
        <s v="PROD-001"/>
        <s v="PROD-023"/>
        <s v="PROD-049"/>
        <s v="PROD-042"/>
        <s v="PROD-006"/>
        <s v="PROD-034"/>
        <s v="PROD-011"/>
        <s v="PROD-059"/>
        <s v="PROD-035"/>
        <s v="PROD-056"/>
        <s v="PROD-018"/>
        <m/>
      </sharedItems>
    </cacheField>
    <cacheField name="sales_rep_id" numFmtId="0">
      <sharedItems containsBlank="1"/>
    </cacheField>
    <cacheField name="quantity" numFmtId="0">
      <sharedItems containsString="0" containsBlank="1" containsNumber="1" containsInteger="1" minValue="1" maxValue="10"/>
    </cacheField>
    <cacheField name="unit_price" numFmtId="0">
      <sharedItems containsString="0" containsBlank="1" containsNumber="1" containsInteger="1" minValue="190" maxValue="6940"/>
    </cacheField>
    <cacheField name="discount_pct" numFmtId="0">
      <sharedItems containsString="0" containsBlank="1" containsNumber="1" minValue="0.1" maxValue="30"/>
    </cacheField>
    <cacheField name="final_amount" numFmtId="0">
      <sharedItems containsString="0" containsBlank="1" containsNumber="1" minValue="150.66999999999999" maxValue="68081.399999999994"/>
    </cacheField>
    <cacheField name="payment_status" numFmtId="0">
      <sharedItems containsBlank="1"/>
    </cacheField>
    <cacheField name="ship_city" numFmtId="0">
      <sharedItems containsBlank="1"/>
    </cacheField>
    <cacheField name="Category_Helper" numFmtId="0">
      <sharedItems containsBlank="1"/>
    </cacheField>
    <cacheField name="Segment_Helper" numFmtId="0">
      <sharedItems containsBlank="1"/>
    </cacheField>
    <cacheField name="Age_Helper" numFmtId="0">
      <sharedItems containsBlank="1" containsMixedTypes="1" containsNumber="1" minValue="0.4488087270396342" maxValue="65"/>
    </cacheField>
    <cacheField name="Region_Helper" numFmtId="0">
      <sharedItems containsBlank="1" count="5">
        <s v="North"/>
        <s v="South"/>
        <s v="West"/>
        <s v="East"/>
        <m/>
      </sharedItems>
    </cacheField>
    <cacheField name="Unit_Cost" numFmtId="0">
      <sharedItems containsMixedTypes="1" containsNumber="1" containsInteger="1" minValue="128" maxValue="2911"/>
    </cacheField>
    <cacheField name="Profit_Margin" numFmtId="0">
      <sharedItems containsString="0" containsBlank="1" containsNumber="1" minValue="0.22162162162162163" maxValue="0.59869848156182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4">
  <r>
    <s v="ORD-00001"/>
    <x v="0"/>
    <s v="CUST-0243"/>
    <s v="PROD-014"/>
    <x v="0"/>
    <n v="8"/>
    <n v="3620"/>
    <n v="15.4"/>
    <n v="24500.16"/>
    <s v="Completed"/>
    <s v="Pune"/>
    <x v="0"/>
    <s v="SMB"/>
    <n v="44"/>
    <x v="0"/>
  </r>
  <r>
    <s v="ORD-00002"/>
    <x v="1"/>
    <s v="CUST-0202"/>
    <s v="PROD-020"/>
    <x v="1"/>
    <n v="2"/>
    <n v="820"/>
    <n v="10.8"/>
    <n v="1462.88"/>
    <s v="Pending"/>
    <s v="Chennai"/>
    <x v="0"/>
    <s v="Retail"/>
    <n v="39"/>
    <x v="0"/>
  </r>
  <r>
    <s v="ORD-00003"/>
    <x v="2"/>
    <s v="CUST-0098"/>
    <s v="PROD-053"/>
    <x v="2"/>
    <n v="8"/>
    <n v="470"/>
    <n v="3.3"/>
    <n v="3635.92"/>
    <s v="Pending"/>
    <s v="Delhi"/>
    <x v="1"/>
    <s v="Retail"/>
    <n v="52"/>
    <x v="1"/>
  </r>
  <r>
    <s v="ORD-00004"/>
    <x v="3"/>
    <s v="CUST-0071"/>
    <s v="PROD-028"/>
    <x v="3"/>
    <n v="1"/>
    <n v="3660"/>
    <n v="15.7"/>
    <n v="3085.38"/>
    <s v="Completed"/>
    <s v="Delhi"/>
    <x v="2"/>
    <s v="Corporate"/>
    <n v="46"/>
    <x v="0"/>
  </r>
  <r>
    <s v="ORD-00005"/>
    <x v="4"/>
    <s v="CUST-0180"/>
    <s v="PROD-012"/>
    <x v="4"/>
    <n v="1"/>
    <n v="3160"/>
    <n v="26"/>
    <n v="2338.4"/>
    <s v="Completed"/>
    <s v="Chennai"/>
    <x v="0"/>
    <s v="Retail"/>
    <n v="36"/>
    <x v="0"/>
  </r>
  <r>
    <s v="ORD-00006"/>
    <x v="5"/>
    <s v="CUST-0275"/>
    <s v="PROD-032"/>
    <x v="5"/>
    <n v="4"/>
    <n v="370"/>
    <n v="29"/>
    <n v="1050.8"/>
    <s v="Completed"/>
    <s v="Mumbai"/>
    <x v="3"/>
    <s v="Retail"/>
    <n v="36"/>
    <x v="2"/>
  </r>
  <r>
    <s v="ORD-00007"/>
    <x v="6"/>
    <s v="CUST-0293"/>
    <s v="PROD-057"/>
    <x v="6"/>
    <n v="3"/>
    <n v="960"/>
    <n v="5.8"/>
    <n v="2712.96"/>
    <s v="Completed"/>
    <s v="Bengaluru"/>
    <x v="1"/>
    <s v="Retail"/>
    <n v="27"/>
    <x v="2"/>
  </r>
  <r>
    <s v="ORD-00008"/>
    <x v="7"/>
    <s v="CUST-0281"/>
    <s v="PROD-007"/>
    <x v="7"/>
    <n v="8"/>
    <n v="1430"/>
    <n v="2.4"/>
    <n v="11165.44"/>
    <s v="Completed"/>
    <s v="Bengaluru"/>
    <x v="4"/>
    <s v="Corporate"/>
    <n v="57"/>
    <x v="3"/>
  </r>
  <r>
    <s v="ORD-00009"/>
    <x v="0"/>
    <s v="CUST-0260"/>
    <s v="PROD-038"/>
    <x v="4"/>
    <n v="3"/>
    <n v="5490"/>
    <n v="14.2"/>
    <n v="14131.26"/>
    <s v="Completed"/>
    <s v="Bengaluru"/>
    <x v="3"/>
    <s v="Retail"/>
    <n v="42"/>
    <x v="0"/>
  </r>
  <r>
    <s v="ORD-00010"/>
    <x v="8"/>
    <s v="CUST-0147"/>
    <s v="PROD-030"/>
    <x v="8"/>
    <n v="3"/>
    <n v="970"/>
    <n v="1.2"/>
    <n v="2875.08"/>
    <s v="Completed"/>
    <s v="Pune"/>
    <x v="2"/>
    <s v="Retail"/>
    <n v="56"/>
    <x v="2"/>
  </r>
  <r>
    <s v="ORD-00011"/>
    <x v="9"/>
    <s v="CUST-0204"/>
    <s v="PROD-024"/>
    <x v="9"/>
    <n v="7"/>
    <n v="2270"/>
    <n v="7.1"/>
    <n v="14761.81"/>
    <s v="Pending"/>
    <s v="Hyderabad"/>
    <x v="2"/>
    <s v="Retail"/>
    <n v="60"/>
    <x v="1"/>
  </r>
  <r>
    <s v="ORD-00012"/>
    <x v="10"/>
    <s v="CUST-0147"/>
    <s v="PROD-010"/>
    <x v="6"/>
    <n v="9"/>
    <n v="2640"/>
    <n v="21.7"/>
    <n v="18604.080000000002"/>
    <s v="Completed"/>
    <s v="Pune"/>
    <x v="4"/>
    <s v="Retail"/>
    <n v="56"/>
    <x v="2"/>
  </r>
  <r>
    <s v="ORD-00013"/>
    <x v="11"/>
    <s v="CUST-0280"/>
    <s v="PROD-002"/>
    <x v="10"/>
    <n v="3"/>
    <n v="2600"/>
    <n v="4.3"/>
    <n v="7464.6"/>
    <s v="Cancelled"/>
    <s v="Delhi"/>
    <x v="4"/>
    <s v="SMB"/>
    <n v="27"/>
    <x v="0"/>
  </r>
  <r>
    <s v="ORD-00014"/>
    <x v="12"/>
    <s v="CUST-0008"/>
    <s v="PROD-036"/>
    <x v="5"/>
    <n v="3"/>
    <n v="3250"/>
    <n v="14.1"/>
    <n v="8375.25"/>
    <s v="Refunded"/>
    <s v="Pune"/>
    <x v="3"/>
    <s v="SMB"/>
    <n v="39"/>
    <x v="2"/>
  </r>
  <r>
    <s v="ORD-00015"/>
    <x v="13"/>
    <s v="CUST-0052"/>
    <s v="PROD-060"/>
    <x v="11"/>
    <n v="1"/>
    <n v="190"/>
    <n v="20.7"/>
    <n v="150.66999999999999"/>
    <s v="Completed"/>
    <s v="Pune"/>
    <x v="1"/>
    <s v="Retail"/>
    <n v="38"/>
    <x v="0"/>
  </r>
  <r>
    <s v="ORD-00016"/>
    <x v="14"/>
    <s v="CUST-0184"/>
    <s v="PROD-058"/>
    <x v="2"/>
    <n v="7"/>
    <n v="2400"/>
    <n v="10.199999999999999"/>
    <n v="15086.4"/>
    <s v="Pending"/>
    <s v="Pune"/>
    <x v="1"/>
    <s v="Retail"/>
    <n v="63"/>
    <x v="1"/>
  </r>
  <r>
    <s v="ORD-00017"/>
    <x v="15"/>
    <s v="CUST-0056"/>
    <s v="PROD-028"/>
    <x v="12"/>
    <n v="4"/>
    <n v="3660"/>
    <n v="2.6"/>
    <n v="14259.36"/>
    <s v="Completed"/>
    <s v="Bengaluru"/>
    <x v="2"/>
    <s v="SMB"/>
    <n v="46"/>
    <x v="3"/>
  </r>
  <r>
    <s v="ORD-00018"/>
    <x v="16"/>
    <s v="CUST-0273"/>
    <s v="PROD-047"/>
    <x v="13"/>
    <n v="8"/>
    <n v="3450"/>
    <n v="18.5"/>
    <n v="22494"/>
    <s v="Completed"/>
    <s v="Hyderabad"/>
    <x v="5"/>
    <s v="Corporate"/>
    <n v="32"/>
    <x v="3"/>
  </r>
  <r>
    <s v="ORD-00019"/>
    <x v="17"/>
    <s v="CUST-0182"/>
    <s v="PROD-051"/>
    <x v="12"/>
    <n v="5"/>
    <n v="3450"/>
    <n v="7.3"/>
    <n v="15990.75"/>
    <s v="Completed"/>
    <s v="Mumbai"/>
    <x v="1"/>
    <s v="Retail"/>
    <n v="54"/>
    <x v="3"/>
  </r>
  <r>
    <s v="ORD-00020"/>
    <x v="18"/>
    <s v="CUST-0265"/>
    <s v="PROD-040"/>
    <x v="12"/>
    <n v="8"/>
    <n v="1080"/>
    <n v="2.2000000000000002"/>
    <n v="8449.92"/>
    <s v="Completed"/>
    <s v="Chennai"/>
    <x v="3"/>
    <s v="Retail"/>
    <n v="49"/>
    <x v="3"/>
  </r>
  <r>
    <s v="ORD-00021"/>
    <x v="19"/>
    <s v="CUST-0159"/>
    <s v="PROD-019"/>
    <x v="3"/>
    <n v="7"/>
    <n v="2480"/>
    <n v="28.7"/>
    <n v="12377.68"/>
    <s v="Completed"/>
    <s v="Hyderabad"/>
    <x v="0"/>
    <s v="Retail"/>
    <n v="32"/>
    <x v="0"/>
  </r>
  <r>
    <s v="ORD-00022"/>
    <x v="20"/>
    <s v="CUST-0259"/>
    <s v="PROD-036"/>
    <x v="14"/>
    <n v="4"/>
    <n v="3250"/>
    <n v="24.6"/>
    <n v="9802"/>
    <s v="Completed"/>
    <s v="Mumbai"/>
    <x v="3"/>
    <s v="Retail"/>
    <n v="34"/>
    <x v="2"/>
  </r>
  <r>
    <s v="ORD-00023"/>
    <x v="21"/>
    <s v="CUST-0107"/>
    <s v="PROD-015"/>
    <x v="14"/>
    <n v="9"/>
    <n v="2720"/>
    <n v="26.2"/>
    <n v="18066.240000000002"/>
    <s v="Completed"/>
    <s v="Pune"/>
    <x v="0"/>
    <s v="Retail"/>
    <n v="50"/>
    <x v="2"/>
  </r>
  <r>
    <s v="ORD-00024"/>
    <x v="22"/>
    <s v="CUST-0101"/>
    <s v="PROD-044"/>
    <x v="11"/>
    <n v="2"/>
    <n v="1650"/>
    <n v="9.4"/>
    <n v="2989.8"/>
    <s v="Completed"/>
    <s v="Hyderabad"/>
    <x v="5"/>
    <s v="SMB"/>
    <n v="40"/>
    <x v="0"/>
  </r>
  <r>
    <s v="ORD-00025"/>
    <x v="18"/>
    <s v="CUST-0142"/>
    <s v="PROD-043"/>
    <x v="12"/>
    <n v="6"/>
    <n v="3350"/>
    <n v="6.1"/>
    <n v="18873.900000000001"/>
    <s v="Pending"/>
    <s v="Chennai"/>
    <x v="5"/>
    <s v="Corporate"/>
    <n v="55"/>
    <x v="3"/>
  </r>
  <r>
    <s v="ORD-00026"/>
    <x v="23"/>
    <s v="CUST-0250"/>
    <s v="PROD-054"/>
    <x v="7"/>
    <n v="2"/>
    <n v="1010"/>
    <n v="16.5"/>
    <n v="1686.7"/>
    <s v="Cancelled"/>
    <s v="Delhi"/>
    <x v="1"/>
    <s v="Retail"/>
    <n v="31"/>
    <x v="3"/>
  </r>
  <r>
    <s v="ORD-00027"/>
    <x v="24"/>
    <s v="CUST-0098"/>
    <s v="PROD-046"/>
    <x v="3"/>
    <n v="5"/>
    <n v="4880"/>
    <n v="23.6"/>
    <n v="18641.599999999999"/>
    <s v="Completed"/>
    <s v="Delhi"/>
    <x v="5"/>
    <s v="Retail"/>
    <n v="52"/>
    <x v="0"/>
  </r>
  <r>
    <s v="ORD-00028"/>
    <x v="25"/>
    <s v="CUST-0143"/>
    <s v="PROD-003"/>
    <x v="15"/>
    <n v="7"/>
    <n v="3570"/>
    <n v="5.8"/>
    <n v="23540.58"/>
    <s v="Cancelled"/>
    <s v="Chennai"/>
    <x v="4"/>
    <s v="SMB"/>
    <n v="52"/>
    <x v="1"/>
  </r>
  <r>
    <s v="ORD-00029"/>
    <x v="26"/>
    <s v="CUST-0086"/>
    <s v="PROD-048"/>
    <x v="16"/>
    <n v="9"/>
    <n v="5100"/>
    <n v="16.7"/>
    <n v="38234.699999999997"/>
    <s v="Completed"/>
    <s v="Hyderabad"/>
    <x v="5"/>
    <s v="Corporate"/>
    <n v="56"/>
    <x v="3"/>
  </r>
  <r>
    <s v="ORD-00030"/>
    <x v="27"/>
    <s v="CUST-0006"/>
    <s v="PROD-055"/>
    <x v="1"/>
    <n v="3"/>
    <n v="2860"/>
    <n v="25.8"/>
    <n v="6366.36"/>
    <s v="Completed"/>
    <s v="Pune"/>
    <x v="1"/>
    <s v="SMB"/>
    <n v="44"/>
    <x v="0"/>
  </r>
  <r>
    <s v="ORD-00031"/>
    <x v="28"/>
    <s v="CUST-0241"/>
    <s v="PROD-030"/>
    <x v="3"/>
    <n v="7"/>
    <n v="970"/>
    <n v="29.8"/>
    <n v="4766.58"/>
    <s v="Completed"/>
    <s v="Pune"/>
    <x v="2"/>
    <s v="Corporate"/>
    <n v="47"/>
    <x v="0"/>
  </r>
  <r>
    <s v="ORD-00032"/>
    <x v="29"/>
    <s v="CUST-0035"/>
    <s v="PROD-021"/>
    <x v="17"/>
    <n v="4"/>
    <n v="2760"/>
    <n v="5.9"/>
    <n v="10388.64"/>
    <s v="Completed"/>
    <s v="Hyderabad"/>
    <x v="2"/>
    <s v="Retail"/>
    <n v="53"/>
    <x v="2"/>
  </r>
  <r>
    <s v="ORD-00033"/>
    <x v="30"/>
    <s v="CUST-0273"/>
    <s v="PROD-037"/>
    <x v="18"/>
    <n v="10"/>
    <n v="660"/>
    <n v="18.3"/>
    <n v="5392.2"/>
    <s v="Pending"/>
    <s v="Hyderabad"/>
    <x v="3"/>
    <s v="Corporate"/>
    <n v="32"/>
    <x v="1"/>
  </r>
  <r>
    <s v="ORD-00034"/>
    <x v="31"/>
    <s v="CUST-0064"/>
    <s v="PROD-036"/>
    <x v="7"/>
    <n v="1"/>
    <n v="3250"/>
    <n v="10.7"/>
    <n v="2902.25"/>
    <s v="Completed"/>
    <s v="Hyderabad"/>
    <x v="3"/>
    <s v="SMB"/>
    <n v="40"/>
    <x v="3"/>
  </r>
  <r>
    <s v="ORD-00035"/>
    <x v="32"/>
    <s v="CUST-0118"/>
    <s v="PROD-048"/>
    <x v="7"/>
    <n v="8"/>
    <n v="5100"/>
    <n v="26.4"/>
    <n v="30028.799999999999"/>
    <s v="Cancelled"/>
    <s v="Hyderabad"/>
    <x v="5"/>
    <s v="Retail"/>
    <n v="26"/>
    <x v="3"/>
  </r>
  <r>
    <s v="ORD-00036"/>
    <x v="33"/>
    <s v="CUST-0013"/>
    <s v="PROD-040"/>
    <x v="13"/>
    <n v="1"/>
    <n v="1080"/>
    <n v="5.0999999999999996"/>
    <n v="1024.92"/>
    <s v="Completed"/>
    <s v="Delhi"/>
    <x v="3"/>
    <s v="Retail"/>
    <n v="41"/>
    <x v="3"/>
  </r>
  <r>
    <s v="ORD-00037"/>
    <x v="34"/>
    <s v="CUST-0177"/>
    <s v="PROD-038"/>
    <x v="18"/>
    <n v="2"/>
    <n v="5490"/>
    <n v="21.1"/>
    <n v="8663.2199999999993"/>
    <s v="Cancelled"/>
    <s v="Mumbai"/>
    <x v="3"/>
    <s v="SMB"/>
    <n v="36"/>
    <x v="1"/>
  </r>
  <r>
    <s v="ORD-00038"/>
    <x v="35"/>
    <s v="CUST-0186"/>
    <s v="PROD-060"/>
    <x v="19"/>
    <n v="7"/>
    <n v="190"/>
    <n v="28.7"/>
    <n v="948.29"/>
    <s v="Completed"/>
    <s v="Bengaluru"/>
    <x v="1"/>
    <s v="Retail"/>
    <n v="42"/>
    <x v="0"/>
  </r>
  <r>
    <s v="ORD-00039"/>
    <x v="36"/>
    <s v="CUST-0069"/>
    <s v="PROD-058"/>
    <x v="15"/>
    <n v="6"/>
    <n v="2400"/>
    <n v="2.7"/>
    <n v="14011.2"/>
    <s v="Completed"/>
    <s v="Chennai"/>
    <x v="1"/>
    <s v="Retail"/>
    <n v="51"/>
    <x v="1"/>
  </r>
  <r>
    <s v="ORD-00040"/>
    <x v="37"/>
    <s v="CUST-0283"/>
    <s v="PROD-044"/>
    <x v="12"/>
    <n v="9"/>
    <n v="1650"/>
    <n v="11.6"/>
    <n v="13127.4"/>
    <s v="Completed"/>
    <s v="Delhi"/>
    <x v="5"/>
    <s v="SMB"/>
    <n v="50"/>
    <x v="3"/>
  </r>
  <r>
    <s v="ORD-00041"/>
    <x v="38"/>
    <s v="CUST-9507"/>
    <s v="PROD-038"/>
    <x v="3"/>
    <n v="4"/>
    <n v="5490"/>
    <n v="12.8"/>
    <n v="19149.12"/>
    <s v="Cancelled"/>
    <s v="Chennai"/>
    <x v="3"/>
    <s v=""/>
    <s v=""/>
    <x v="0"/>
  </r>
  <r>
    <s v="ORD-00042"/>
    <x v="39"/>
    <s v="CUST-0053"/>
    <s v="PROD-046"/>
    <x v="2"/>
    <n v="10"/>
    <n v="4880"/>
    <n v="12.7"/>
    <n v="42602.400000000001"/>
    <s v="Completed"/>
    <s v="Delhi"/>
    <x v="5"/>
    <s v="Retail"/>
    <n v="53"/>
    <x v="1"/>
  </r>
  <r>
    <s v="ORD-00043"/>
    <x v="40"/>
    <s v="CUST-0222"/>
    <s v="PROD-031"/>
    <x v="7"/>
    <n v="2"/>
    <n v="3730"/>
    <n v="25.8"/>
    <n v="5535.32"/>
    <s v="Completed"/>
    <s v="Chennai"/>
    <x v="3"/>
    <s v="Retail"/>
    <n v="37"/>
    <x v="3"/>
  </r>
  <r>
    <s v="ORD-00044"/>
    <x v="8"/>
    <s v="CUST-0095"/>
    <s v="PROD-047"/>
    <x v="20"/>
    <n v="4"/>
    <n v="3450"/>
    <n v="20.7"/>
    <n v="10943.4"/>
    <s v="Completed"/>
    <s v="Mumbai"/>
    <x v="5"/>
    <s v="SMB"/>
    <n v="54"/>
    <x v="2"/>
  </r>
  <r>
    <s v="ORD-00045"/>
    <x v="41"/>
    <s v="CUST-0152"/>
    <s v="PROD-019"/>
    <x v="7"/>
    <n v="2"/>
    <n v="2480"/>
    <n v="17.3"/>
    <n v="4101.92"/>
    <s v="Completed"/>
    <s v="Bengaluru"/>
    <x v="0"/>
    <s v="SMB"/>
    <n v="64"/>
    <x v="3"/>
  </r>
  <r>
    <s v="ORD-00046"/>
    <x v="42"/>
    <s v="CUST-0291"/>
    <s v="PROD-027"/>
    <x v="15"/>
    <n v="9"/>
    <n v="3780"/>
    <n v="8.6999999999999993"/>
    <n v="31060.26"/>
    <s v="Pending"/>
    <s v="Pune"/>
    <x v="2"/>
    <s v="SMB"/>
    <n v="29"/>
    <x v="1"/>
  </r>
  <r>
    <s v="ORD-00047"/>
    <x v="1"/>
    <s v="CUST-0112"/>
    <s v="PROD-013"/>
    <x v="21"/>
    <n v="4"/>
    <n v="3640"/>
    <n v="20.7"/>
    <n v="11546.08"/>
    <s v="Completed"/>
    <s v="Hyderabad"/>
    <x v="0"/>
    <s v="Retail"/>
    <n v="64"/>
    <x v="3"/>
  </r>
  <r>
    <s v="ORD-00048"/>
    <x v="43"/>
    <s v="CUST-9800"/>
    <s v="PROD-050"/>
    <x v="11"/>
    <n v="8"/>
    <n v="6080"/>
    <n v="24.4"/>
    <n v="36771.839999999997"/>
    <s v="Completed"/>
    <s v="Pune"/>
    <x v="5"/>
    <s v=""/>
    <s v=""/>
    <x v="0"/>
  </r>
  <r>
    <s v="ORD-00049"/>
    <x v="44"/>
    <s v="CUST-0143"/>
    <s v="PROD-030"/>
    <x v="0"/>
    <n v="10"/>
    <n v="970"/>
    <n v="0.6"/>
    <n v="9641.7999999999993"/>
    <s v="Cancelled"/>
    <s v="Chennai"/>
    <x v="2"/>
    <s v="SMB"/>
    <n v="52"/>
    <x v="0"/>
  </r>
  <r>
    <s v="ORD-00050"/>
    <x v="45"/>
    <s v="CUST-0226"/>
    <s v="PROD-022"/>
    <x v="8"/>
    <n v="1"/>
    <n v="2270"/>
    <n v="11.5"/>
    <n v="2008.95"/>
    <s v="Pending"/>
    <s v="Chennai"/>
    <x v="2"/>
    <s v="Corporate"/>
    <n v="52"/>
    <x v="2"/>
  </r>
  <r>
    <s v="ORD-00051"/>
    <x v="46"/>
    <s v="CUST-0234"/>
    <s v="PROD-004"/>
    <x v="12"/>
    <n v="7"/>
    <n v="3870"/>
    <n v="0.3"/>
    <n v="27008.73"/>
    <s v="Cancelled"/>
    <s v="Bengaluru"/>
    <x v="4"/>
    <s v="Retail"/>
    <n v="34"/>
    <x v="3"/>
  </r>
  <r>
    <s v="ORD-00052"/>
    <x v="47"/>
    <s v="CUST-0176"/>
    <s v="PROD-046"/>
    <x v="18"/>
    <n v="1"/>
    <n v="4880"/>
    <n v="23.9"/>
    <n v="3713.68"/>
    <s v="Pending"/>
    <s v="Bengaluru"/>
    <x v="5"/>
    <s v="SMB"/>
    <n v="34"/>
    <x v="1"/>
  </r>
  <r>
    <s v="ORD-00053"/>
    <x v="48"/>
    <s v="CUST-0180"/>
    <s v="PROD-027"/>
    <x v="22"/>
    <n v="5"/>
    <n v="3780"/>
    <n v="18.5"/>
    <n v="15403.5"/>
    <s v="Completed"/>
    <s v="Chennai"/>
    <x v="2"/>
    <s v="Retail"/>
    <n v="36"/>
    <x v="1"/>
  </r>
  <r>
    <s v="ORD-00054"/>
    <x v="49"/>
    <s v="CUST-0088"/>
    <s v="PROD-036"/>
    <x v="16"/>
    <n v="10"/>
    <n v="3250"/>
    <n v="25.5"/>
    <n v="24212.5"/>
    <s v="Completed"/>
    <s v="Chennai"/>
    <x v="3"/>
    <s v="Retail"/>
    <n v="24"/>
    <x v="3"/>
  </r>
  <r>
    <s v="ORD-00055"/>
    <x v="50"/>
    <s v="CUST-0267"/>
    <s v="PROD-013"/>
    <x v="0"/>
    <n v="4"/>
    <n v="3640"/>
    <n v="9.9"/>
    <n v="13118.56"/>
    <s v="Refunded"/>
    <s v="Hyderabad"/>
    <x v="0"/>
    <s v="Retail"/>
    <n v="27"/>
    <x v="0"/>
  </r>
  <r>
    <s v="ORD-00056"/>
    <x v="51"/>
    <s v="CUST-0194"/>
    <s v="PROD-041"/>
    <x v="12"/>
    <n v="4"/>
    <n v="1540"/>
    <n v="28.8"/>
    <n v="4385.92"/>
    <s v="Completed"/>
    <s v="Delhi"/>
    <x v="5"/>
    <s v="SMB"/>
    <n v="55"/>
    <x v="3"/>
  </r>
  <r>
    <s v="ORD-00057"/>
    <x v="48"/>
    <s v="CUST-0261"/>
    <s v="PROD-040"/>
    <x v="21"/>
    <n v="1"/>
    <n v="1080"/>
    <n v="23"/>
    <n v="831.6"/>
    <s v="Cancelled"/>
    <s v="Delhi"/>
    <x v="3"/>
    <s v="Retail"/>
    <n v="54"/>
    <x v="3"/>
  </r>
  <r>
    <s v="ORD-00058"/>
    <x v="52"/>
    <s v="CUST-0031"/>
    <s v="PROD-026"/>
    <x v="0"/>
    <n v="1"/>
    <n v="4070"/>
    <n v="6.7"/>
    <n v="3797.31"/>
    <s v="Completed"/>
    <s v="Hyderabad"/>
    <x v="2"/>
    <s v="Retail"/>
    <n v="53"/>
    <x v="0"/>
  </r>
  <r>
    <s v="ORD-00059"/>
    <x v="53"/>
    <s v="CUST-0175"/>
    <s v="PROD-009"/>
    <x v="14"/>
    <n v="2"/>
    <n v="1220"/>
    <n v="11.7"/>
    <n v="2154.52"/>
    <s v="Cancelled"/>
    <s v="Delhi"/>
    <x v="4"/>
    <s v="Corporate"/>
    <n v="55"/>
    <x v="2"/>
  </r>
  <r>
    <s v="ORD-00060"/>
    <x v="54"/>
    <s v="CUST-0263"/>
    <s v="PROD-039"/>
    <x v="20"/>
    <n v="4"/>
    <n v="4610"/>
    <n v="26.9"/>
    <n v="13479.64"/>
    <s v="Pending"/>
    <s v="Mumbai"/>
    <x v="3"/>
    <s v="Retail"/>
    <n v="40"/>
    <x v="2"/>
  </r>
  <r>
    <s v="ORD-00061"/>
    <x v="55"/>
    <s v="CUST-0203"/>
    <s v="PROD-040"/>
    <x v="23"/>
    <n v="8"/>
    <n v="1080"/>
    <n v="28.4"/>
    <n v="6186.24"/>
    <s v="Completed"/>
    <s v="Chennai"/>
    <x v="3"/>
    <s v="SMB"/>
    <n v="55"/>
    <x v="1"/>
  </r>
  <r>
    <s v="ORD-00062"/>
    <x v="56"/>
    <s v="CUST-0258"/>
    <s v="PROD-045"/>
    <x v="3"/>
    <n v="10"/>
    <n v="3020"/>
    <n v="25.4"/>
    <n v="22529.200000000001"/>
    <s v="Completed"/>
    <s v="Pune"/>
    <x v="5"/>
    <s v="Retail"/>
    <n v="44"/>
    <x v="0"/>
  </r>
  <r>
    <s v="ORD-00063"/>
    <x v="57"/>
    <s v="CUST-0282"/>
    <s v="PROD-008"/>
    <x v="21"/>
    <n v="7"/>
    <n v="2660"/>
    <n v="5.3"/>
    <n v="17633.14"/>
    <s v="Completed"/>
    <s v="Hyderabad"/>
    <x v="4"/>
    <s v="Corporate"/>
    <n v="29"/>
    <x v="3"/>
  </r>
  <r>
    <s v="ORD-00064"/>
    <x v="37"/>
    <s v="CUST-0168"/>
    <s v="PROD-005"/>
    <x v="11"/>
    <n v="9"/>
    <n v="300"/>
    <n v="25.3"/>
    <n v="2016.9"/>
    <s v="Completed"/>
    <s v="Pune"/>
    <x v="4"/>
    <s v="Retail"/>
    <n v="25"/>
    <x v="0"/>
  </r>
  <r>
    <s v="ORD-00065"/>
    <x v="58"/>
    <s v="CUST-0040"/>
    <s v="PROD-010"/>
    <x v="24"/>
    <n v="10"/>
    <n v="2640"/>
    <n v="18.7"/>
    <n v="21463.200000000001"/>
    <s v="Cancelled"/>
    <s v="Chennai"/>
    <x v="4"/>
    <s v="Retail"/>
    <n v="28"/>
    <x v="3"/>
  </r>
  <r>
    <s v="ORD-00066"/>
    <x v="32"/>
    <s v="CUST-0283"/>
    <s v="PROD-020"/>
    <x v="16"/>
    <n v="8"/>
    <n v="820"/>
    <n v="24"/>
    <n v="4985.6000000000004"/>
    <s v="Completed"/>
    <s v="Delhi"/>
    <x v="0"/>
    <s v="SMB"/>
    <n v="50"/>
    <x v="3"/>
  </r>
  <r>
    <s v="ORD-00067"/>
    <x v="59"/>
    <s v="CUST-0202"/>
    <s v="PROD-021"/>
    <x v="8"/>
    <n v="1"/>
    <n v="2760"/>
    <n v="4.8"/>
    <n v="2627.52"/>
    <s v="Completed"/>
    <s v="Chennai"/>
    <x v="2"/>
    <s v="Retail"/>
    <n v="39"/>
    <x v="2"/>
  </r>
  <r>
    <s v="ORD-00068"/>
    <x v="60"/>
    <s v="CUST-0161"/>
    <s v="PROD-014"/>
    <x v="21"/>
    <n v="2"/>
    <n v="3620"/>
    <n v="19.100000000000001"/>
    <n v="5857.16"/>
    <s v="Completed"/>
    <s v="Chennai"/>
    <x v="0"/>
    <s v="Retail"/>
    <n v="38"/>
    <x v="3"/>
  </r>
  <r>
    <s v="ORD-00069"/>
    <x v="61"/>
    <s v="CUST-0033"/>
    <s v="PROD-016"/>
    <x v="5"/>
    <n v="1"/>
    <n v="620"/>
    <n v="1"/>
    <n v="613.79999999999995"/>
    <s v="Completed"/>
    <s v="Delhi"/>
    <x v="0"/>
    <s v="Retail"/>
    <n v="35"/>
    <x v="2"/>
  </r>
  <r>
    <s v="ORD-00070"/>
    <x v="62"/>
    <s v="CUST-0191"/>
    <s v="PROD-033"/>
    <x v="14"/>
    <n v="1"/>
    <n v="2030"/>
    <n v="3.3"/>
    <n v="1963.01"/>
    <s v="Completed"/>
    <s v="Hyderabad"/>
    <x v="3"/>
    <s v="SMB"/>
    <n v="43"/>
    <x v="2"/>
  </r>
  <r>
    <s v="ORD-00071"/>
    <x v="19"/>
    <s v="CUST-0180"/>
    <s v="PROD-012"/>
    <x v="25"/>
    <n v="10"/>
    <n v="3160"/>
    <n v="15.8"/>
    <n v="26607.200000000001"/>
    <s v="Completed"/>
    <s v="Chennai"/>
    <x v="0"/>
    <s v="Retail"/>
    <n v="36"/>
    <x v="0"/>
  </r>
  <r>
    <s v="ORD-00072"/>
    <x v="63"/>
    <s v="CUST-0129"/>
    <s v="PROD-030"/>
    <x v="19"/>
    <n v="5"/>
    <n v="970"/>
    <n v="12.2"/>
    <n v="4258.3"/>
    <s v="Completed"/>
    <s v="Hyderabad"/>
    <x v="2"/>
    <s v="Retail"/>
    <n v="29"/>
    <x v="0"/>
  </r>
  <r>
    <s v="ORD-00073"/>
    <x v="64"/>
    <s v="CUST-0189"/>
    <s v="PROD-043"/>
    <x v="11"/>
    <n v="9"/>
    <n v="3350"/>
    <n v="25.8"/>
    <n v="22371.3"/>
    <s v="Pending"/>
    <s v="Chennai"/>
    <x v="5"/>
    <s v="Retail"/>
    <n v="41"/>
    <x v="0"/>
  </r>
  <r>
    <s v="ORD-00074"/>
    <x v="65"/>
    <s v="CUST-0194"/>
    <s v="PROD-032"/>
    <x v="26"/>
    <n v="1"/>
    <n v="370"/>
    <n v="28.9"/>
    <n v="263.07"/>
    <s v="Completed"/>
    <s v="Delhi"/>
    <x v="3"/>
    <s v="SMB"/>
    <n v="55"/>
    <x v="3"/>
  </r>
  <r>
    <s v="ORD-00075"/>
    <x v="66"/>
    <s v="CUST-0200"/>
    <s v="PROD-030"/>
    <x v="9"/>
    <n v="3"/>
    <n v="970"/>
    <n v="4.3"/>
    <n v="2784.87"/>
    <s v="Cancelled"/>
    <s v="Hyderabad"/>
    <x v="2"/>
    <s v="Corporate"/>
    <n v="46"/>
    <x v="1"/>
  </r>
  <r>
    <s v="ORD-00076"/>
    <x v="67"/>
    <s v="CUST-0008"/>
    <s v="PROD-021"/>
    <x v="24"/>
    <n v="6"/>
    <n v="2760"/>
    <n v="19.899999999999999"/>
    <n v="13264.56"/>
    <s v="Pending"/>
    <s v="Pune"/>
    <x v="2"/>
    <s v="SMB"/>
    <n v="39"/>
    <x v="3"/>
  </r>
  <r>
    <s v="ORD-00077"/>
    <x v="68"/>
    <s v="CUST-0051"/>
    <s v="PROD-021"/>
    <x v="7"/>
    <n v="7"/>
    <n v="2760"/>
    <n v="25.2"/>
    <n v="14451.36"/>
    <s v="Completed"/>
    <s v="Pune"/>
    <x v="2"/>
    <s v="SMB"/>
    <n v="54"/>
    <x v="3"/>
  </r>
  <r>
    <s v="ORD-00078"/>
    <x v="69"/>
    <s v="CUST-0193"/>
    <s v="PROD-009"/>
    <x v="24"/>
    <n v="4"/>
    <n v="1220"/>
    <n v="8.4"/>
    <n v="4470.08"/>
    <s v="Completed"/>
    <s v="Bengaluru"/>
    <x v="4"/>
    <s v="Retail"/>
    <n v="42"/>
    <x v="3"/>
  </r>
  <r>
    <s v="ORD-00079"/>
    <x v="70"/>
    <s v="CUST-0020"/>
    <s v="PROD-002"/>
    <x v="8"/>
    <n v="2"/>
    <n v="2600"/>
    <n v="1.9"/>
    <n v="5101.2"/>
    <s v="Pending"/>
    <s v="Hyderabad"/>
    <x v="4"/>
    <s v="Retail"/>
    <n v="46"/>
    <x v="2"/>
  </r>
  <r>
    <s v="ORD-00080"/>
    <x v="71"/>
    <s v="CUST-0230"/>
    <s v="PROD-026"/>
    <x v="14"/>
    <n v="9"/>
    <n v="4070"/>
    <n v="28.8"/>
    <n v="26080.560000000001"/>
    <s v="Completed"/>
    <s v="Pune"/>
    <x v="2"/>
    <s v="Corporate"/>
    <n v="33"/>
    <x v="2"/>
  </r>
  <r>
    <s v="ORD-00081"/>
    <x v="50"/>
    <s v="CUST-0094"/>
    <s v="PROD-024"/>
    <x v="1"/>
    <n v="2"/>
    <n v="2270"/>
    <n v="18"/>
    <n v="3722.8"/>
    <s v="Refunded"/>
    <s v="Pune"/>
    <x v="2"/>
    <s v="SMB"/>
    <n v="60"/>
    <x v="0"/>
  </r>
  <r>
    <s v="ORD-00082"/>
    <x v="72"/>
    <s v="CUST-0248"/>
    <s v="PROD-012"/>
    <x v="21"/>
    <n v="2"/>
    <n v="3160"/>
    <n v="18.3"/>
    <n v="5163.4399999999996"/>
    <s v="Completed"/>
    <s v="Chennai"/>
    <x v="0"/>
    <s v="SMB"/>
    <n v="57"/>
    <x v="3"/>
  </r>
  <r>
    <s v="ORD-00083"/>
    <x v="73"/>
    <s v="CUST-0082"/>
    <s v="PROD-019"/>
    <x v="0"/>
    <n v="4"/>
    <n v="2480"/>
    <n v="1.1000000000000001"/>
    <n v="9810.8799999999992"/>
    <s v="Pending"/>
    <s v="Hyderabad"/>
    <x v="0"/>
    <s v="SMB"/>
    <n v="36"/>
    <x v="0"/>
  </r>
  <r>
    <s v="ORD-00084"/>
    <x v="74"/>
    <s v="CUST-0078"/>
    <s v="PROD-008"/>
    <x v="17"/>
    <n v="1"/>
    <n v="2660"/>
    <n v="21"/>
    <n v="2101.4"/>
    <s v="Completed"/>
    <s v="Delhi"/>
    <x v="4"/>
    <s v="Retail"/>
    <n v="31"/>
    <x v="2"/>
  </r>
  <r>
    <s v="ORD-00085"/>
    <x v="75"/>
    <s v="CUST-0032"/>
    <s v="PROD-045"/>
    <x v="27"/>
    <n v="5"/>
    <n v="3020"/>
    <n v="22.2"/>
    <n v="11747.8"/>
    <s v="Completed"/>
    <s v="Hyderabad"/>
    <x v="5"/>
    <s v="Retail"/>
    <n v="28"/>
    <x v="1"/>
  </r>
  <r>
    <s v="ORD-00086"/>
    <x v="76"/>
    <s v="CUST-0006"/>
    <s v="PROD-016"/>
    <x v="14"/>
    <n v="9"/>
    <n v="620"/>
    <n v="23.3"/>
    <n v="4279.8599999999997"/>
    <s v="Completed"/>
    <s v="Pune"/>
    <x v="0"/>
    <s v="SMB"/>
    <n v="44"/>
    <x v="2"/>
  </r>
  <r>
    <s v="ORD-00087"/>
    <x v="77"/>
    <s v="CUST-0084"/>
    <s v="PROD-053"/>
    <x v="17"/>
    <n v="2"/>
    <n v="470"/>
    <n v="5.4"/>
    <n v="889.24"/>
    <s v="Completed"/>
    <s v="Chennai"/>
    <x v="1"/>
    <s v="Retail"/>
    <n v="28"/>
    <x v="2"/>
  </r>
  <r>
    <s v="ORD-00088"/>
    <x v="78"/>
    <s v="CUST-0107"/>
    <s v="PROD-007"/>
    <x v="9"/>
    <n v="3"/>
    <n v="1430"/>
    <n v="6.5"/>
    <n v="4011.15"/>
    <s v="Completed"/>
    <s v="Pune"/>
    <x v="4"/>
    <s v="Retail"/>
    <n v="50"/>
    <x v="1"/>
  </r>
  <r>
    <s v="ORD-00089"/>
    <x v="79"/>
    <s v="CUST-0108"/>
    <s v="PROD-016"/>
    <x v="10"/>
    <n v="6"/>
    <n v="620"/>
    <n v="2.6"/>
    <n v="3623.28"/>
    <s v="Completed"/>
    <s v="Bengaluru"/>
    <x v="0"/>
    <s v="Corporate"/>
    <n v="59"/>
    <x v="0"/>
  </r>
  <r>
    <s v="ORD-00090"/>
    <x v="80"/>
    <s v="CUST-0139"/>
    <s v="PROD-003"/>
    <x v="27"/>
    <n v="4"/>
    <n v="3570"/>
    <n v="4.5"/>
    <n v="13637.4"/>
    <s v="Pending"/>
    <s v="Hyderabad"/>
    <x v="4"/>
    <s v="SMB"/>
    <n v="65"/>
    <x v="1"/>
  </r>
  <r>
    <s v="ORD-00091"/>
    <x v="81"/>
    <s v="CUST-0200"/>
    <s v="PROD-022"/>
    <x v="9"/>
    <n v="6"/>
    <n v="2270"/>
    <n v="2"/>
    <n v="13347.6"/>
    <s v="Completed"/>
    <s v="Hyderabad"/>
    <x v="2"/>
    <s v="Corporate"/>
    <n v="46"/>
    <x v="1"/>
  </r>
  <r>
    <s v="ORD-00092"/>
    <x v="60"/>
    <s v="CUST-0208"/>
    <s v="PROD-015"/>
    <x v="2"/>
    <n v="7"/>
    <n v="2720"/>
    <n v="15.4"/>
    <n v="16107.84"/>
    <s v="Completed"/>
    <s v="Mumbai"/>
    <x v="0"/>
    <s v="Retail"/>
    <n v="49"/>
    <x v="1"/>
  </r>
  <r>
    <s v="ORD-00093"/>
    <x v="82"/>
    <s v="CUST-0161"/>
    <s v="PROD-029"/>
    <x v="19"/>
    <n v="9"/>
    <n v="2210"/>
    <n v="12.4"/>
    <n v="17423.64"/>
    <s v="Completed"/>
    <s v="Chennai"/>
    <x v="2"/>
    <s v="Retail"/>
    <n v="38"/>
    <x v="0"/>
  </r>
  <r>
    <s v="ORD-00094"/>
    <x v="83"/>
    <s v="CUST-0042"/>
    <s v="PROD-060"/>
    <x v="17"/>
    <n v="6"/>
    <n v="190"/>
    <n v="19.2"/>
    <n v="921.12"/>
    <s v="Completed"/>
    <s v="Pune"/>
    <x v="1"/>
    <s v="Retail"/>
    <n v="25"/>
    <x v="2"/>
  </r>
  <r>
    <s v="ORD-00095"/>
    <x v="84"/>
    <s v="CUST-0133"/>
    <s v="PROD-048"/>
    <x v="28"/>
    <n v="10"/>
    <n v="5100"/>
    <n v="25.4"/>
    <n v="38046"/>
    <s v="Refunded"/>
    <s v="Chennai"/>
    <x v="5"/>
    <s v="Retail"/>
    <n v="26"/>
    <x v="2"/>
  </r>
  <r>
    <s v="ORD-00096"/>
    <x v="85"/>
    <s v="CUST-0219"/>
    <s v="PROD-054"/>
    <x v="29"/>
    <n v="5"/>
    <n v="1010"/>
    <n v="1.6"/>
    <n v="4969.2"/>
    <s v="Completed"/>
    <s v="Chennai"/>
    <x v="1"/>
    <s v="Corporate"/>
    <n v="38"/>
    <x v="1"/>
  </r>
  <r>
    <s v="ORD-00097"/>
    <x v="60"/>
    <s v="CUST-0031"/>
    <s v="PROD-031"/>
    <x v="5"/>
    <n v="1"/>
    <n v="3730"/>
    <n v="22.7"/>
    <n v="2883.29"/>
    <s v="Completed"/>
    <s v="Hyderabad"/>
    <x v="3"/>
    <s v="Retail"/>
    <n v="53"/>
    <x v="2"/>
  </r>
  <r>
    <s v="ORD-00098"/>
    <x v="41"/>
    <s v="CUST-0189"/>
    <s v="PROD-002"/>
    <x v="8"/>
    <n v="10"/>
    <n v="2600"/>
    <n v="20.7"/>
    <n v="20618"/>
    <s v="Completed"/>
    <s v="Chennai"/>
    <x v="4"/>
    <s v="Retail"/>
    <n v="41"/>
    <x v="2"/>
  </r>
  <r>
    <s v="ORD-00099"/>
    <x v="86"/>
    <s v="CUST-0170"/>
    <s v="PROD-025"/>
    <x v="3"/>
    <n v="4"/>
    <n v="4060"/>
    <n v="13.9"/>
    <n v="13982.64"/>
    <s v="Completed"/>
    <s v="Mumbai"/>
    <x v="2"/>
    <s v="SMB"/>
    <n v="22"/>
    <x v="0"/>
  </r>
  <r>
    <s v="ORD-00100"/>
    <x v="87"/>
    <s v="CUST-0164"/>
    <s v="PROD-050"/>
    <x v="28"/>
    <n v="6"/>
    <n v="6080"/>
    <n v="16.5"/>
    <n v="30460.799999999999"/>
    <s v="Completed"/>
    <s v="Chennai"/>
    <x v="5"/>
    <s v="Retail"/>
    <n v="60"/>
    <x v="2"/>
  </r>
  <r>
    <s v="ORD-00101"/>
    <x v="88"/>
    <s v="CUST-0006"/>
    <s v="PROD-017"/>
    <x v="8"/>
    <n v="6"/>
    <n v="2510"/>
    <n v="11.7"/>
    <n v="13297.98"/>
    <s v="Completed"/>
    <s v="Pune"/>
    <x v="0"/>
    <s v="SMB"/>
    <n v="44"/>
    <x v="2"/>
  </r>
  <r>
    <s v="ORD-00102"/>
    <x v="89"/>
    <s v="CUST-0181"/>
    <s v="PROD-036"/>
    <x v="17"/>
    <n v="5"/>
    <n v="3250"/>
    <n v="18.399999999999999"/>
    <n v="13260"/>
    <s v="Completed"/>
    <s v="Delhi"/>
    <x v="3"/>
    <s v="SMB"/>
    <n v="38"/>
    <x v="2"/>
  </r>
  <r>
    <s v="ORD-00103"/>
    <x v="90"/>
    <s v="CUST-0131"/>
    <s v="PROD-052"/>
    <x v="1"/>
    <n v="4"/>
    <n v="5410"/>
    <n v="9.8000000000000007"/>
    <n v="19519.28"/>
    <s v="Cancelled"/>
    <s v="Delhi"/>
    <x v="1"/>
    <s v="SMB"/>
    <n v="28"/>
    <x v="0"/>
  </r>
  <r>
    <s v="ORD-00104"/>
    <x v="91"/>
    <s v="CUST-0255"/>
    <s v="PROD-003"/>
    <x v="26"/>
    <n v="8"/>
    <n v="3570"/>
    <n v="11.1"/>
    <n v="25389.84"/>
    <s v="Completed"/>
    <s v="Chennai"/>
    <x v="4"/>
    <s v="Corporate"/>
    <n v="51"/>
    <x v="3"/>
  </r>
  <r>
    <s v="ORD-00105"/>
    <x v="92"/>
    <s v="CUST-0170"/>
    <s v="PROD-001"/>
    <x v="11"/>
    <n v="10"/>
    <n v="5330"/>
    <n v="21.2"/>
    <n v="42000.4"/>
    <s v="Completed"/>
    <s v="Mumbai"/>
    <x v="4"/>
    <s v="SMB"/>
    <n v="22"/>
    <x v="0"/>
  </r>
  <r>
    <s v="ORD-00106"/>
    <x v="93"/>
    <s v="CUST-0081"/>
    <s v="PROD-023"/>
    <x v="21"/>
    <n v="4"/>
    <n v="2380"/>
    <n v="26.2"/>
    <n v="7025.76"/>
    <s v="Completed"/>
    <s v="Mumbai"/>
    <x v="2"/>
    <s v="Retail"/>
    <n v="25"/>
    <x v="3"/>
  </r>
  <r>
    <s v="ORD-00107"/>
    <x v="94"/>
    <s v="CUST-0102"/>
    <s v="PROD-054"/>
    <x v="28"/>
    <n v="1"/>
    <n v="1010"/>
    <n v="19.5"/>
    <n v="813.05"/>
    <s v="Cancelled"/>
    <s v="Chennai"/>
    <x v="1"/>
    <s v="SMB"/>
    <n v="62"/>
    <x v="2"/>
  </r>
  <r>
    <s v="ORD-00108"/>
    <x v="85"/>
    <s v="CUST-0070"/>
    <s v="PROD-028"/>
    <x v="5"/>
    <n v="1"/>
    <n v="3660"/>
    <n v="1.3"/>
    <n v="3612.42"/>
    <s v="Completed"/>
    <s v="Mumbai"/>
    <x v="2"/>
    <s v="Retail"/>
    <n v="42"/>
    <x v="2"/>
  </r>
  <r>
    <s v="ORD-00109"/>
    <x v="95"/>
    <s v="CUST-0012"/>
    <s v="PROD-026"/>
    <x v="22"/>
    <n v="2"/>
    <n v="4070"/>
    <n v="29"/>
    <n v="5779.4"/>
    <s v="Cancelled"/>
    <s v="Pune"/>
    <x v="2"/>
    <s v="Retail"/>
    <n v="43"/>
    <x v="1"/>
  </r>
  <r>
    <s v="ORD-00110"/>
    <x v="96"/>
    <s v="CUST-0086"/>
    <s v="PROD-037"/>
    <x v="20"/>
    <n v="6"/>
    <n v="660"/>
    <n v="20.2"/>
    <n v="3160.08"/>
    <s v="Pending"/>
    <s v="Hyderabad"/>
    <x v="3"/>
    <s v="Corporate"/>
    <n v="56"/>
    <x v="2"/>
  </r>
  <r>
    <s v="ORD-00111"/>
    <x v="97"/>
    <s v="CUST-0145"/>
    <s v="PROD-040"/>
    <x v="6"/>
    <n v="3"/>
    <n v="1080"/>
    <n v="29.7"/>
    <n v="2277.7199999999998"/>
    <s v="Completed"/>
    <s v="Bengaluru"/>
    <x v="3"/>
    <s v="SMB"/>
    <n v="44"/>
    <x v="2"/>
  </r>
  <r>
    <s v="ORD-00112"/>
    <x v="98"/>
    <s v="CUST-0287"/>
    <s v="PROD-020"/>
    <x v="3"/>
    <n v="7"/>
    <n v="820"/>
    <n v="13.5"/>
    <n v="4965.1000000000004"/>
    <s v="Cancelled"/>
    <s v="Chennai"/>
    <x v="0"/>
    <s v="SMB"/>
    <n v="53"/>
    <x v="0"/>
  </r>
  <r>
    <s v="ORD-00113"/>
    <x v="18"/>
    <s v="CUST-0280"/>
    <s v="PROD-049"/>
    <x v="28"/>
    <n v="4"/>
    <n v="960"/>
    <n v="26"/>
    <n v="2841.6"/>
    <s v="Completed"/>
    <s v="Delhi"/>
    <x v="5"/>
    <s v="SMB"/>
    <n v="27"/>
    <x v="2"/>
  </r>
  <r>
    <s v="ORD-00114"/>
    <x v="99"/>
    <s v="CUST-0096"/>
    <s v="PROD-002"/>
    <x v="2"/>
    <n v="3"/>
    <n v="2600"/>
    <n v="18.2"/>
    <n v="6380.4"/>
    <s v="Completed"/>
    <s v="Delhi"/>
    <x v="4"/>
    <s v="Corporate"/>
    <n v="27"/>
    <x v="1"/>
  </r>
  <r>
    <s v="ORD-00115"/>
    <x v="43"/>
    <s v="CUST-0184"/>
    <s v="PROD-033"/>
    <x v="20"/>
    <n v="9"/>
    <n v="2030"/>
    <n v="26.1"/>
    <n v="13501.53"/>
    <s v="Completed"/>
    <s v="Pune"/>
    <x v="3"/>
    <s v="Retail"/>
    <n v="63"/>
    <x v="2"/>
  </r>
  <r>
    <s v="ORD-00116"/>
    <x v="100"/>
    <s v="CUST-0025"/>
    <s v="PROD-042"/>
    <x v="8"/>
    <n v="8"/>
    <n v="2290"/>
    <n v="20.8"/>
    <n v="14509.44"/>
    <s v="Completed"/>
    <s v="Bengaluru"/>
    <x v="5"/>
    <s v="Retail"/>
    <n v="23"/>
    <x v="2"/>
  </r>
  <r>
    <s v="ORD-00117"/>
    <x v="101"/>
    <s v="CUST-0149"/>
    <s v="PROD-031"/>
    <x v="20"/>
    <n v="3"/>
    <n v="3730"/>
    <n v="7.9"/>
    <n v="10305.99"/>
    <s v="Completed"/>
    <s v="Hyderabad"/>
    <x v="3"/>
    <s v="Retail"/>
    <n v="44"/>
    <x v="2"/>
  </r>
  <r>
    <s v="ORD-00118"/>
    <x v="102"/>
    <s v="CUST-0018"/>
    <s v="PROD-005"/>
    <x v="2"/>
    <n v="1"/>
    <n v="300"/>
    <n v="16.899999999999999"/>
    <n v="249.3"/>
    <s v="Pending"/>
    <s v="Pune"/>
    <x v="4"/>
    <s v="SMB"/>
    <n v="54"/>
    <x v="1"/>
  </r>
  <r>
    <s v="ORD-00119"/>
    <x v="103"/>
    <s v="CUST-0216"/>
    <s v="PROD-005"/>
    <x v="27"/>
    <n v="3"/>
    <n v="300"/>
    <n v="0.6"/>
    <n v="894.6"/>
    <s v="Completed"/>
    <s v="Mumbai"/>
    <x v="4"/>
    <s v="Retail"/>
    <n v="50"/>
    <x v="1"/>
  </r>
  <r>
    <s v="ORD-00120"/>
    <x v="90"/>
    <s v="CUST-0092"/>
    <s v="PROD-043"/>
    <x v="0"/>
    <n v="6"/>
    <n v="3350"/>
    <n v="2.2999999999999998"/>
    <n v="19637.7"/>
    <s v="Cancelled"/>
    <s v="Bengaluru"/>
    <x v="5"/>
    <s v="SMB"/>
    <n v="28"/>
    <x v="0"/>
  </r>
  <r>
    <s v="ORD-00121"/>
    <x v="104"/>
    <s v="CUST-0056"/>
    <s v="PROD-001"/>
    <x v="11"/>
    <n v="4"/>
    <n v="5330"/>
    <n v="29.3"/>
    <n v="15073.24"/>
    <s v="Completed"/>
    <s v="Bengaluru"/>
    <x v="4"/>
    <s v="SMB"/>
    <n v="46"/>
    <x v="0"/>
  </r>
  <r>
    <s v="ORD-00122"/>
    <x v="105"/>
    <s v="CUST-0113"/>
    <s v="PROD-014"/>
    <x v="25"/>
    <n v="6"/>
    <n v="3620"/>
    <n v="10.8"/>
    <n v="19374.240000000002"/>
    <s v="Completed"/>
    <s v="Delhi"/>
    <x v="0"/>
    <s v="Retail"/>
    <n v="30"/>
    <x v="0"/>
  </r>
  <r>
    <s v="ORD-00123"/>
    <x v="106"/>
    <s v="CUST-0253"/>
    <s v="PROD-014"/>
    <x v="1"/>
    <n v="6"/>
    <n v="3620"/>
    <n v="21.7"/>
    <n v="17006.759999999998"/>
    <s v="Completed"/>
    <s v="Delhi"/>
    <x v="0"/>
    <s v="SMB"/>
    <n v="53"/>
    <x v="0"/>
  </r>
  <r>
    <s v="ORD-00124"/>
    <x v="107"/>
    <s v="CUST-0187"/>
    <s v="PROD-057"/>
    <x v="4"/>
    <n v="8"/>
    <n v="960"/>
    <n v="27.9"/>
    <n v="5537.28"/>
    <s v="Completed"/>
    <s v="Chennai"/>
    <x v="1"/>
    <s v="SMB"/>
    <n v="51"/>
    <x v="0"/>
  </r>
  <r>
    <s v="ORD-00125"/>
    <x v="108"/>
    <s v="CUST-0028"/>
    <s v="PROD-044"/>
    <x v="5"/>
    <n v="5"/>
    <n v="1650"/>
    <n v="4.9000000000000004"/>
    <n v="7845.75"/>
    <s v="Completed"/>
    <s v="Bengaluru"/>
    <x v="5"/>
    <s v="Retail"/>
    <n v="59"/>
    <x v="2"/>
  </r>
  <r>
    <s v="ORD-00126"/>
    <x v="95"/>
    <s v="CUST-0224"/>
    <s v="PROD-049"/>
    <x v="9"/>
    <n v="9"/>
    <n v="960"/>
    <n v="25.1"/>
    <n v="6471.36"/>
    <s v="Refunded"/>
    <s v="Chennai"/>
    <x v="5"/>
    <s v="Corporate"/>
    <n v="24"/>
    <x v="1"/>
  </r>
  <r>
    <s v="ORD-00127"/>
    <x v="99"/>
    <s v="CUST-0150"/>
    <s v="PROD-006"/>
    <x v="11"/>
    <n v="7"/>
    <n v="3970"/>
    <n v="13.8"/>
    <n v="23954.98"/>
    <s v="Pending"/>
    <s v="Pune"/>
    <x v="4"/>
    <s v="SMB"/>
    <n v="53"/>
    <x v="0"/>
  </r>
  <r>
    <s v="ORD-00128"/>
    <x v="109"/>
    <s v="CUST-0129"/>
    <s v="PROD-030"/>
    <x v="1"/>
    <n v="7"/>
    <n v="970"/>
    <n v="21.6"/>
    <n v="5323.36"/>
    <s v="Pending"/>
    <s v="Hyderabad"/>
    <x v="2"/>
    <s v="Retail"/>
    <n v="29"/>
    <x v="0"/>
  </r>
  <r>
    <s v="ORD-00129"/>
    <x v="110"/>
    <s v="CUST-0239"/>
    <s v="PROD-033"/>
    <x v="19"/>
    <n v="10"/>
    <n v="2030"/>
    <n v="1.2"/>
    <n v="20056.400000000001"/>
    <s v="Completed"/>
    <s v="Mumbai"/>
    <x v="3"/>
    <s v="Retail"/>
    <n v="61"/>
    <x v="0"/>
  </r>
  <r>
    <s v="ORD-00130"/>
    <x v="93"/>
    <s v="CUST-0106"/>
    <s v="PROD-024"/>
    <x v="13"/>
    <n v="9"/>
    <n v="2270"/>
    <n v="13.2"/>
    <n v="17733.240000000002"/>
    <s v="Pending"/>
    <s v="Pune"/>
    <x v="2"/>
    <s v="Retail"/>
    <n v="22"/>
    <x v="3"/>
  </r>
  <r>
    <s v="ORD-00131"/>
    <x v="111"/>
    <s v="CUST-0273"/>
    <s v="PROD-046"/>
    <x v="11"/>
    <n v="8"/>
    <n v="4880"/>
    <n v="13.4"/>
    <n v="33808.639999999999"/>
    <s v="Completed"/>
    <s v="Hyderabad"/>
    <x v="5"/>
    <s v="Corporate"/>
    <n v="32"/>
    <x v="0"/>
  </r>
  <r>
    <s v="ORD-00132"/>
    <x v="112"/>
    <s v="CUST-0114"/>
    <s v="PROD-004"/>
    <x v="23"/>
    <n v="10"/>
    <n v="3870"/>
    <n v="23.9"/>
    <n v="29450.7"/>
    <s v="Completed"/>
    <s v="Bengaluru"/>
    <x v="4"/>
    <s v="Corporate"/>
    <n v="42"/>
    <x v="1"/>
  </r>
  <r>
    <s v="ORD-00133"/>
    <x v="113"/>
    <s v="CUST-0146"/>
    <s v="PROD-042"/>
    <x v="25"/>
    <n v="4"/>
    <n v="2290"/>
    <n v="15.2"/>
    <n v="7767.68"/>
    <s v="Completed"/>
    <s v="Hyderabad"/>
    <x v="5"/>
    <s v="Retail"/>
    <n v="22"/>
    <x v="0"/>
  </r>
  <r>
    <s v="ORD-00134"/>
    <x v="68"/>
    <s v="CUST-0298"/>
    <s v="PROD-023"/>
    <x v="16"/>
    <n v="8"/>
    <n v="2380"/>
    <n v="4.2"/>
    <n v="18240.32"/>
    <s v="Completed"/>
    <s v="Delhi"/>
    <x v="2"/>
    <s v="Retail"/>
    <n v="44"/>
    <x v="3"/>
  </r>
  <r>
    <s v="ORD-00135"/>
    <x v="114"/>
    <s v="CUST-0111"/>
    <s v="PROD-029"/>
    <x v="22"/>
    <n v="8"/>
    <n v="2210"/>
    <n v="11.5"/>
    <n v="15646.8"/>
    <s v="Completed"/>
    <s v="Chennai"/>
    <x v="2"/>
    <s v="SMB"/>
    <n v="64"/>
    <x v="1"/>
  </r>
  <r>
    <s v="ORD-01445"/>
    <x v="107"/>
    <s v="CUST-0291"/>
    <s v="PROD-001"/>
    <x v="24"/>
    <n v="4"/>
    <n v="5330"/>
    <n v="22.6"/>
    <n v="16501.68"/>
    <s v="Pending"/>
    <s v="Pune"/>
    <x v="4"/>
    <s v="SMB"/>
    <n v="29"/>
    <x v="3"/>
  </r>
  <r>
    <s v="ORD-00137"/>
    <x v="115"/>
    <s v="CUST-0024"/>
    <s v="PROD-006"/>
    <x v="24"/>
    <n v="8"/>
    <n v="3970"/>
    <n v="21.8"/>
    <n v="24836.32"/>
    <s v="Completed"/>
    <s v="Chennai"/>
    <x v="4"/>
    <s v="SMB"/>
    <n v="64"/>
    <x v="3"/>
  </r>
  <r>
    <s v="ORD-00138"/>
    <x v="14"/>
    <s v="CUST-0210"/>
    <s v="PROD-012"/>
    <x v="16"/>
    <n v="10"/>
    <n v="3160"/>
    <n v="16.100000000000001"/>
    <n v="26512.400000000001"/>
    <s v="Cancelled"/>
    <s v="Pune"/>
    <x v="0"/>
    <s v="Corporate"/>
    <n v="48"/>
    <x v="3"/>
  </r>
  <r>
    <s v="ORD-00139"/>
    <x v="54"/>
    <s v="CUST-0192"/>
    <s v="PROD-060"/>
    <x v="18"/>
    <n v="5"/>
    <n v="190"/>
    <n v="14.8"/>
    <n v="809.4"/>
    <s v="Completed"/>
    <s v="Bengaluru"/>
    <x v="1"/>
    <s v="Retail"/>
    <n v="55"/>
    <x v="1"/>
  </r>
  <r>
    <s v="ORD-00140"/>
    <x v="116"/>
    <s v="CUST-0078"/>
    <s v="PROD-021"/>
    <x v="0"/>
    <n v="6"/>
    <n v="2760"/>
    <n v="19.8"/>
    <n v="13281.12"/>
    <s v="Completed"/>
    <s v="Delhi"/>
    <x v="2"/>
    <s v="Retail"/>
    <n v="31"/>
    <x v="0"/>
  </r>
  <r>
    <s v="ORD-00141"/>
    <x v="117"/>
    <s v="CUST-0070"/>
    <s v="PROD-022"/>
    <x v="7"/>
    <n v="9"/>
    <n v="2270"/>
    <n v="20.8"/>
    <n v="16180.56"/>
    <s v="Cancelled"/>
    <s v="Mumbai"/>
    <x v="2"/>
    <s v="Retail"/>
    <n v="42"/>
    <x v="3"/>
  </r>
  <r>
    <s v="ORD-00142"/>
    <x v="60"/>
    <s v="CUST-0159"/>
    <s v="PROD-052"/>
    <x v="19"/>
    <n v="8"/>
    <n v="5410"/>
    <n v="12.9"/>
    <n v="37696.879999999997"/>
    <s v="Completed"/>
    <s v="Hyderabad"/>
    <x v="1"/>
    <s v="Retail"/>
    <n v="32"/>
    <x v="0"/>
  </r>
  <r>
    <s v="ORD-00143"/>
    <x v="118"/>
    <s v="CUST-0294"/>
    <s v="PROD-024"/>
    <x v="18"/>
    <n v="9"/>
    <n v="2270"/>
    <n v="6.8"/>
    <n v="19040.759999999998"/>
    <s v="Completed"/>
    <s v="Delhi"/>
    <x v="2"/>
    <s v="Corporate"/>
    <n v="31"/>
    <x v="1"/>
  </r>
  <r>
    <s v="ORD-00144"/>
    <x v="119"/>
    <s v="CUST-0280"/>
    <s v="PROD-012"/>
    <x v="19"/>
    <n v="3"/>
    <n v="3160"/>
    <n v="12.8"/>
    <n v="8266.56"/>
    <s v="Completed"/>
    <s v="Delhi"/>
    <x v="0"/>
    <s v="SMB"/>
    <n v="27"/>
    <x v="0"/>
  </r>
  <r>
    <s v="ORD-00145"/>
    <x v="120"/>
    <s v="CUST-0291"/>
    <s v="PROD-025"/>
    <x v="8"/>
    <n v="8"/>
    <n v="4060"/>
    <n v="20.9"/>
    <n v="25691.68"/>
    <s v="Completed"/>
    <s v="Pune"/>
    <x v="2"/>
    <s v="SMB"/>
    <n v="29"/>
    <x v="2"/>
  </r>
  <r>
    <s v="ORD-00146"/>
    <x v="121"/>
    <s v="CUST-9657"/>
    <s v="PROD-020"/>
    <x v="26"/>
    <n v="5"/>
    <n v="820"/>
    <n v="9.1"/>
    <n v="3726.9"/>
    <s v="Refunded"/>
    <s v="Pune"/>
    <x v="0"/>
    <s v=""/>
    <s v=""/>
    <x v="3"/>
  </r>
  <r>
    <s v="ORD-00147"/>
    <x v="122"/>
    <s v="CUST-0080"/>
    <s v="PROD-032"/>
    <x v="0"/>
    <n v="5"/>
    <n v="370"/>
    <n v="11.5"/>
    <n v="1637.25"/>
    <s v="Completed"/>
    <s v="Pune"/>
    <x v="3"/>
    <s v="SMB"/>
    <n v="30"/>
    <x v="0"/>
  </r>
  <r>
    <s v="ORD-00148"/>
    <x v="123"/>
    <s v="CUST-0172"/>
    <s v="PROD-034"/>
    <x v="25"/>
    <n v="9"/>
    <n v="5080"/>
    <n v="27.5"/>
    <n v="33147"/>
    <s v="Completed"/>
    <s v="Pune"/>
    <x v="3"/>
    <s v="Retail"/>
    <n v="65"/>
    <x v="0"/>
  </r>
  <r>
    <s v="ORD-00149"/>
    <x v="124"/>
    <s v="CUST-0051"/>
    <s v="PROD-026"/>
    <x v="27"/>
    <n v="6"/>
    <n v="4070"/>
    <n v="12.5"/>
    <n v="21367.5"/>
    <s v="Completed"/>
    <s v="Pune"/>
    <x v="2"/>
    <s v="SMB"/>
    <n v="54"/>
    <x v="1"/>
  </r>
  <r>
    <s v="ORD-00150"/>
    <x v="63"/>
    <s v="CUST-0080"/>
    <s v="PROD-005"/>
    <x v="6"/>
    <n v="5"/>
    <n v="300"/>
    <n v="25.8"/>
    <n v="1113"/>
    <s v="Completed"/>
    <s v="Pune"/>
    <x v="4"/>
    <s v="SMB"/>
    <n v="30"/>
    <x v="2"/>
  </r>
  <r>
    <s v="ORD-00151"/>
    <x v="125"/>
    <s v="CUST-0137"/>
    <s v="PROD-048"/>
    <x v="23"/>
    <n v="7"/>
    <n v="5100"/>
    <n v="28.8"/>
    <n v="25418.400000000001"/>
    <s v="Completed"/>
    <s v="Mumbai"/>
    <x v="5"/>
    <s v="Retail"/>
    <n v="41"/>
    <x v="1"/>
  </r>
  <r>
    <s v="ORD-00152"/>
    <x v="126"/>
    <s v="CUST-0222"/>
    <s v="PROD-038"/>
    <x v="27"/>
    <n v="2"/>
    <n v="5490"/>
    <n v="5.5"/>
    <n v="10376.1"/>
    <s v="Completed"/>
    <s v="Chennai"/>
    <x v="3"/>
    <s v="Retail"/>
    <n v="37"/>
    <x v="1"/>
  </r>
  <r>
    <s v="ORD-00153"/>
    <x v="127"/>
    <s v="CUST-0117"/>
    <s v="PROD-011"/>
    <x v="15"/>
    <n v="2"/>
    <n v="3450"/>
    <n v="1.2"/>
    <n v="6817.2"/>
    <s v="Completed"/>
    <s v="Delhi"/>
    <x v="0"/>
    <s v="SMB"/>
    <n v="34"/>
    <x v="1"/>
  </r>
  <r>
    <s v="ORD-00154"/>
    <x v="21"/>
    <s v="CUST-0104"/>
    <s v="PROD-029"/>
    <x v="25"/>
    <n v="10"/>
    <n v="2210"/>
    <n v="18.8"/>
    <n v="17945.2"/>
    <s v="Completed"/>
    <s v="Hyderabad"/>
    <x v="2"/>
    <s v="Corporate"/>
    <n v="43"/>
    <x v="0"/>
  </r>
  <r>
    <s v="ORD-00155"/>
    <x v="128"/>
    <s v="CUST-0082"/>
    <s v="PROD-036"/>
    <x v="22"/>
    <n v="2"/>
    <n v="3250"/>
    <n v="26.2"/>
    <n v="4797"/>
    <s v="Completed"/>
    <s v="Hyderabad"/>
    <x v="3"/>
    <s v="SMB"/>
    <n v="36"/>
    <x v="1"/>
  </r>
  <r>
    <s v="ORD-00156"/>
    <x v="129"/>
    <s v="CUST-0165"/>
    <s v="PROD-012"/>
    <x v="19"/>
    <n v="5"/>
    <n v="3160"/>
    <n v="0.9"/>
    <n v="15657.8"/>
    <s v="Completed"/>
    <s v="Pune"/>
    <x v="0"/>
    <s v="Retail"/>
    <n v="29"/>
    <x v="0"/>
  </r>
  <r>
    <s v="ORD-00157"/>
    <x v="130"/>
    <s v="CUST-0150"/>
    <s v="PROD-004"/>
    <x v="14"/>
    <n v="4"/>
    <n v="3870"/>
    <n v="29.6"/>
    <n v="10897.92"/>
    <s v="Cancelled"/>
    <s v="Pune"/>
    <x v="4"/>
    <s v="SMB"/>
    <n v="53"/>
    <x v="2"/>
  </r>
  <r>
    <s v="ORD-00158"/>
    <x v="131"/>
    <s v="CUST-0228"/>
    <s v="PROD-059"/>
    <x v="24"/>
    <n v="4"/>
    <n v="3780"/>
    <n v="3.5"/>
    <n v="14590.8"/>
    <s v="Cancelled"/>
    <s v="Pune"/>
    <x v="1"/>
    <s v="Corporate"/>
    <n v="37"/>
    <x v="3"/>
  </r>
  <r>
    <s v="ORD-00159"/>
    <x v="49"/>
    <s v="CUST-0197"/>
    <s v="PROD-045"/>
    <x v="13"/>
    <n v="4"/>
    <n v="3020"/>
    <n v="18.899999999999999"/>
    <n v="9796.8799999999992"/>
    <s v="Completed"/>
    <s v="Bengaluru"/>
    <x v="5"/>
    <s v="Retail"/>
    <n v="55"/>
    <x v="3"/>
  </r>
  <r>
    <s v="ORD-00160"/>
    <x v="132"/>
    <s v="CUST-0009"/>
    <s v="PROD-031"/>
    <x v="15"/>
    <n v="1"/>
    <n v="3730"/>
    <n v="10.8"/>
    <n v="3327.16"/>
    <s v="Refunded"/>
    <s v="Mumbai"/>
    <x v="3"/>
    <s v="Retail"/>
    <n v="61"/>
    <x v="1"/>
  </r>
  <r>
    <s v="ORD-00161"/>
    <x v="18"/>
    <s v="CUST-0139"/>
    <s v="PROD-046"/>
    <x v="26"/>
    <n v="8"/>
    <n v="4880"/>
    <n v="20.3"/>
    <n v="31114.880000000001"/>
    <s v="Completed"/>
    <s v="Hyderabad"/>
    <x v="5"/>
    <s v="SMB"/>
    <n v="65"/>
    <x v="3"/>
  </r>
  <r>
    <s v="ORD-00162"/>
    <x v="133"/>
    <s v="CUST-0184"/>
    <s v="PROD-030"/>
    <x v="17"/>
    <n v="9"/>
    <n v="970"/>
    <n v="18.2"/>
    <n v="7141.14"/>
    <s v="Completed"/>
    <s v="Pune"/>
    <x v="2"/>
    <s v="Retail"/>
    <n v="63"/>
    <x v="2"/>
  </r>
  <r>
    <s v="ORD-00163"/>
    <x v="33"/>
    <s v="CUST-0119"/>
    <s v="PROD-008"/>
    <x v="21"/>
    <n v="8"/>
    <n v="2660"/>
    <n v="17.600000000000001"/>
    <n v="17534.72"/>
    <s v="Completed"/>
    <s v="Bengaluru"/>
    <x v="4"/>
    <s v="SMB"/>
    <n v="43"/>
    <x v="3"/>
  </r>
  <r>
    <s v="ORD-00164"/>
    <x v="85"/>
    <s v="CUST-0280"/>
    <s v="PROD-020"/>
    <x v="15"/>
    <n v="2"/>
    <n v="820"/>
    <n v="18.100000000000001"/>
    <n v="1343.16"/>
    <s v="Cancelled"/>
    <s v="Delhi"/>
    <x v="0"/>
    <s v="SMB"/>
    <n v="27"/>
    <x v="1"/>
  </r>
  <r>
    <s v="ORD-00165"/>
    <x v="134"/>
    <s v="CUST-0240"/>
    <s v="PROD-033"/>
    <x v="18"/>
    <n v="7"/>
    <n v="2030"/>
    <n v="23.7"/>
    <n v="10842.23"/>
    <s v="Pending"/>
    <s v="Chennai"/>
    <x v="3"/>
    <s v="Corporate"/>
    <n v="35"/>
    <x v="1"/>
  </r>
  <r>
    <s v="ORD-00166"/>
    <x v="80"/>
    <s v="CUST-0067"/>
    <s v="PROD-016"/>
    <x v="18"/>
    <n v="5"/>
    <n v="620"/>
    <n v="13.8"/>
    <n v="2672.2"/>
    <s v="Completed"/>
    <s v="Delhi"/>
    <x v="0"/>
    <s v="SMB"/>
    <n v="59"/>
    <x v="1"/>
  </r>
  <r>
    <s v="ORD-00167"/>
    <x v="135"/>
    <s v="CUST-0117"/>
    <s v="PROD-022"/>
    <x v="24"/>
    <n v="7"/>
    <n v="2270"/>
    <n v="5.5"/>
    <n v="15016.05"/>
    <s v="Completed"/>
    <s v="Delhi"/>
    <x v="2"/>
    <s v="SMB"/>
    <n v="34"/>
    <x v="3"/>
  </r>
  <r>
    <s v="ORD-00168"/>
    <x v="136"/>
    <s v="CUST-0101"/>
    <s v="PROD-053"/>
    <x v="29"/>
    <n v="1"/>
    <n v="470"/>
    <n v="13.7"/>
    <n v="405.61"/>
    <s v="Pending"/>
    <s v="Hyderabad"/>
    <x v="1"/>
    <s v="SMB"/>
    <n v="40"/>
    <x v="1"/>
  </r>
  <r>
    <s v="ORD-00169"/>
    <x v="131"/>
    <s v="CUST-0184"/>
    <s v="PROD-001"/>
    <x v="0"/>
    <n v="6"/>
    <n v="5330"/>
    <n v="17.899999999999999"/>
    <n v="26255.58"/>
    <s v="Completed"/>
    <s v="Pune"/>
    <x v="4"/>
    <s v="Retail"/>
    <n v="63"/>
    <x v="0"/>
  </r>
  <r>
    <s v="ORD-00170"/>
    <x v="137"/>
    <s v="CUST-0087"/>
    <s v="PROD-050"/>
    <x v="25"/>
    <n v="1"/>
    <n v="6080"/>
    <n v="25.5"/>
    <n v="4529.6000000000004"/>
    <s v="Completed"/>
    <s v="Pune"/>
    <x v="5"/>
    <s v="SMB"/>
    <n v="49"/>
    <x v="0"/>
  </r>
  <r>
    <s v="ORD-00171"/>
    <x v="138"/>
    <s v="CUST-0261"/>
    <s v="PROD-027"/>
    <x v="24"/>
    <n v="5"/>
    <n v="3780"/>
    <n v="28.6"/>
    <n v="13494.6"/>
    <s v="Completed"/>
    <s v="Delhi"/>
    <x v="2"/>
    <s v="Retail"/>
    <n v="54"/>
    <x v="3"/>
  </r>
  <r>
    <s v="ORD-00172"/>
    <x v="139"/>
    <s v="CUST-0027"/>
    <s v="PROD-016"/>
    <x v="9"/>
    <n v="5"/>
    <n v="620"/>
    <n v="6.9"/>
    <n v="2886.1"/>
    <s v="Cancelled"/>
    <s v="Hyderabad"/>
    <x v="0"/>
    <s v="Corporate"/>
    <n v="52"/>
    <x v="1"/>
  </r>
  <r>
    <s v="ORD-00173"/>
    <x v="140"/>
    <s v="CUST-0210"/>
    <s v="PROD-017"/>
    <x v="28"/>
    <n v="8"/>
    <n v="2510"/>
    <n v="0.7"/>
    <n v="19939.439999999999"/>
    <s v="Completed"/>
    <s v="Pune"/>
    <x v="0"/>
    <s v="Corporate"/>
    <n v="48"/>
    <x v="2"/>
  </r>
  <r>
    <s v="ORD-00174"/>
    <x v="141"/>
    <s v="CUST-0163"/>
    <s v="PROD-015"/>
    <x v="16"/>
    <n v="1"/>
    <n v="2720"/>
    <n v="13.7"/>
    <n v="2347.36"/>
    <s v="Completed"/>
    <s v="Pune"/>
    <x v="0"/>
    <s v="Retail"/>
    <n v="49"/>
    <x v="3"/>
  </r>
  <r>
    <s v="ORD-00175"/>
    <x v="14"/>
    <s v="CUST-0059"/>
    <s v="PROD-053"/>
    <x v="26"/>
    <n v="9"/>
    <n v="470"/>
    <n v="23.6"/>
    <n v="3231.72"/>
    <s v="Completed"/>
    <s v="Pune"/>
    <x v="1"/>
    <s v="Corporate"/>
    <n v="29"/>
    <x v="3"/>
  </r>
  <r>
    <s v="ORD-00176"/>
    <x v="142"/>
    <s v="CUST-0020"/>
    <s v="PROD-036"/>
    <x v="26"/>
    <n v="10"/>
    <n v="3250"/>
    <n v="21"/>
    <n v="25675"/>
    <s v="Cancelled"/>
    <s v="Hyderabad"/>
    <x v="3"/>
    <s v="Retail"/>
    <n v="46"/>
    <x v="3"/>
  </r>
  <r>
    <s v="ORD-00177"/>
    <x v="51"/>
    <s v="CUST-0048"/>
    <s v="PROD-034"/>
    <x v="8"/>
    <n v="6"/>
    <n v="5080"/>
    <n v="16.8"/>
    <n v="25359.360000000001"/>
    <s v="Pending"/>
    <s v="Delhi"/>
    <x v="3"/>
    <s v="Retail"/>
    <n v="59"/>
    <x v="2"/>
  </r>
  <r>
    <s v="ORD-00178"/>
    <x v="42"/>
    <s v="CUST-0172"/>
    <s v="PROD-003"/>
    <x v="27"/>
    <n v="2"/>
    <n v="3570"/>
    <n v="6.7"/>
    <n v="6661.62"/>
    <s v="Cancelled"/>
    <s v="Pune"/>
    <x v="4"/>
    <s v="Retail"/>
    <n v="65"/>
    <x v="1"/>
  </r>
  <r>
    <s v="ORD-00179"/>
    <x v="143"/>
    <s v="CUST-0124"/>
    <s v="PROD-013"/>
    <x v="27"/>
    <n v="4"/>
    <n v="3640"/>
    <n v="18.399999999999999"/>
    <n v="11880.96"/>
    <s v="Completed"/>
    <s v="Pune"/>
    <x v="0"/>
    <s v="Retail"/>
    <n v="57"/>
    <x v="1"/>
  </r>
  <r>
    <s v="ORD-00180"/>
    <x v="111"/>
    <s v="CUST-0184"/>
    <s v="PROD-026"/>
    <x v="19"/>
    <n v="8"/>
    <n v="4070"/>
    <n v="6.6"/>
    <n v="30411.040000000001"/>
    <s v="Completed"/>
    <s v="Pune"/>
    <x v="2"/>
    <s v="Retail"/>
    <n v="63"/>
    <x v="0"/>
  </r>
  <r>
    <s v="ORD-00181"/>
    <x v="40"/>
    <s v="CUST-0259"/>
    <s v="PROD-011"/>
    <x v="27"/>
    <n v="6"/>
    <n v="3450"/>
    <n v="14.4"/>
    <n v="17719.2"/>
    <s v="Pending"/>
    <s v="Mumbai"/>
    <x v="0"/>
    <s v="Retail"/>
    <n v="34"/>
    <x v="1"/>
  </r>
  <r>
    <s v="ORD-00182"/>
    <x v="68"/>
    <s v="CUST-0204"/>
    <s v="PROD-034"/>
    <x v="20"/>
    <n v="7"/>
    <n v="5080"/>
    <n v="25.4"/>
    <n v="26527.759999999998"/>
    <s v="Pending"/>
    <s v="Hyderabad"/>
    <x v="3"/>
    <s v="Retail"/>
    <n v="60"/>
    <x v="2"/>
  </r>
  <r>
    <s v="ORD-00183"/>
    <x v="144"/>
    <s v="CUST-0032"/>
    <s v="PROD-021"/>
    <x v="8"/>
    <n v="10"/>
    <n v="2760"/>
    <n v="20.100000000000001"/>
    <n v="22052.400000000001"/>
    <s v="Completed"/>
    <s v="Hyderabad"/>
    <x v="2"/>
    <s v="Retail"/>
    <n v="28"/>
    <x v="2"/>
  </r>
  <r>
    <s v="ORD-00184"/>
    <x v="145"/>
    <s v="CUST-0239"/>
    <s v="PROD-044"/>
    <x v="29"/>
    <n v="6"/>
    <n v="1650"/>
    <n v="11.3"/>
    <n v="8781.2999999999993"/>
    <s v="Pending"/>
    <s v="Mumbai"/>
    <x v="5"/>
    <s v="Retail"/>
    <n v="61"/>
    <x v="1"/>
  </r>
  <r>
    <s v="ORD-00185"/>
    <x v="146"/>
    <s v="CUST-0191"/>
    <s v="PROD-004"/>
    <x v="0"/>
    <n v="9"/>
    <n v="3870"/>
    <n v="27.5"/>
    <n v="25251.75"/>
    <s v="Completed"/>
    <s v="Hyderabad"/>
    <x v="4"/>
    <s v="SMB"/>
    <n v="43"/>
    <x v="0"/>
  </r>
  <r>
    <s v="ORD-00186"/>
    <x v="147"/>
    <s v="CUST-0284"/>
    <s v="PROD-035"/>
    <x v="24"/>
    <n v="2"/>
    <n v="1090"/>
    <n v="18.7"/>
    <n v="1772.34"/>
    <s v="Refunded"/>
    <s v="Hyderabad"/>
    <x v="3"/>
    <s v="SMB"/>
    <n v="65"/>
    <x v="3"/>
  </r>
  <r>
    <s v="ORD-00187"/>
    <x v="148"/>
    <s v="CUST-0274"/>
    <s v="PROD-049"/>
    <x v="5"/>
    <n v="4"/>
    <n v="960"/>
    <n v="23.4"/>
    <n v="2941.44"/>
    <s v="Completed"/>
    <s v="Bengaluru"/>
    <x v="5"/>
    <s v="Corporate"/>
    <n v="36"/>
    <x v="2"/>
  </r>
  <r>
    <s v="ORD-00188"/>
    <x v="149"/>
    <s v="CUST-0234"/>
    <s v="PROD-043"/>
    <x v="13"/>
    <n v="3"/>
    <n v="3350"/>
    <n v="17.899999999999999"/>
    <n v="8251.0499999999993"/>
    <s v="Completed"/>
    <s v="Bengaluru"/>
    <x v="5"/>
    <s v="Retail"/>
    <n v="34"/>
    <x v="3"/>
  </r>
  <r>
    <s v="ORD-00189"/>
    <x v="150"/>
    <s v="CUST-0264"/>
    <s v="PROD-022"/>
    <x v="1"/>
    <n v="4"/>
    <n v="2270"/>
    <n v="29"/>
    <n v="6446.8"/>
    <s v="Completed"/>
    <s v="Pune"/>
    <x v="2"/>
    <s v="Retail"/>
    <n v="59"/>
    <x v="0"/>
  </r>
  <r>
    <s v="ORD-00190"/>
    <x v="151"/>
    <s v="CUST-0192"/>
    <s v="PROD-039"/>
    <x v="12"/>
    <n v="9"/>
    <n v="4610"/>
    <n v="28.3"/>
    <n v="29748.33"/>
    <s v="Pending"/>
    <s v="Bengaluru"/>
    <x v="3"/>
    <s v="Retail"/>
    <n v="55"/>
    <x v="3"/>
  </r>
  <r>
    <s v="ORD-00191"/>
    <x v="152"/>
    <s v="CUST-0041"/>
    <s v="PROD-012"/>
    <x v="18"/>
    <n v="3"/>
    <n v="3160"/>
    <n v="7.3"/>
    <n v="8787.9599999999991"/>
    <s v="Completed"/>
    <s v="Bengaluru"/>
    <x v="0"/>
    <s v="SMB"/>
    <n v="26"/>
    <x v="1"/>
  </r>
  <r>
    <s v="ORD-00192"/>
    <x v="52"/>
    <s v="CUST-0043"/>
    <s v="PROD-022"/>
    <x v="10"/>
    <n v="8"/>
    <n v="2270"/>
    <n v="15.6"/>
    <n v="15327.04"/>
    <s v="Completed"/>
    <s v="Hyderabad"/>
    <x v="2"/>
    <s v="Retail"/>
    <n v="61"/>
    <x v="0"/>
  </r>
  <r>
    <s v="ORD-00193"/>
    <x v="64"/>
    <s v="CUST-0147"/>
    <s v="PROD-045"/>
    <x v="8"/>
    <n v="8"/>
    <n v="3020"/>
    <n v="16.3"/>
    <n v="20221.919999999998"/>
    <s v="Cancelled"/>
    <s v="Pune"/>
    <x v="5"/>
    <s v="Retail"/>
    <n v="56"/>
    <x v="2"/>
  </r>
  <r>
    <s v="ORD-00194"/>
    <x v="7"/>
    <s v="CUST-0056"/>
    <s v="PROD-056"/>
    <x v="14"/>
    <n v="7"/>
    <n v="6940"/>
    <n v="8.5"/>
    <n v="44450.7"/>
    <s v="Completed"/>
    <s v="Bengaluru"/>
    <x v="1"/>
    <s v="SMB"/>
    <n v="46"/>
    <x v="2"/>
  </r>
  <r>
    <s v="ORD-00195"/>
    <x v="14"/>
    <s v="CUST-0059"/>
    <s v="PROD-041"/>
    <x v="27"/>
    <n v="8"/>
    <n v="1540"/>
    <n v="21"/>
    <n v="9732.7999999999993"/>
    <s v="Completed"/>
    <s v="Pune"/>
    <x v="5"/>
    <s v="Corporate"/>
    <n v="29"/>
    <x v="1"/>
  </r>
  <r>
    <s v="ORD-00196"/>
    <x v="82"/>
    <s v="CUST-0047"/>
    <s v="PROD-019"/>
    <x v="20"/>
    <n v="6"/>
    <n v="2480"/>
    <n v="27.9"/>
    <n v="10728.48"/>
    <s v="Completed"/>
    <s v="Pune"/>
    <x v="0"/>
    <s v="Retail"/>
    <n v="49"/>
    <x v="2"/>
  </r>
  <r>
    <s v="ORD-00197"/>
    <x v="153"/>
    <s v="CUST-0162"/>
    <s v="PROD-060"/>
    <x v="24"/>
    <n v="4"/>
    <n v="190"/>
    <n v="21.5"/>
    <n v="596.6"/>
    <s v="Completed"/>
    <s v="Mumbai"/>
    <x v="1"/>
    <s v="Corporate"/>
    <n v="35"/>
    <x v="3"/>
  </r>
  <r>
    <s v="ORD-00198"/>
    <x v="36"/>
    <s v="CUST-0121"/>
    <s v="PROD-055"/>
    <x v="2"/>
    <n v="1"/>
    <n v="2860"/>
    <n v="15.3"/>
    <n v="2422.42"/>
    <s v="Completed"/>
    <s v="Delhi"/>
    <x v="1"/>
    <s v="SMB"/>
    <n v="55"/>
    <x v="1"/>
  </r>
  <r>
    <s v="ORD-00199"/>
    <x v="154"/>
    <s v="CUST-0075"/>
    <s v="PROD-017"/>
    <x v="15"/>
    <n v="4"/>
    <n v="2510"/>
    <n v="10.1"/>
    <n v="9025.9599999999991"/>
    <s v="Refunded"/>
    <s v="Mumbai"/>
    <x v="0"/>
    <s v="Corporate"/>
    <n v="55"/>
    <x v="1"/>
  </r>
  <r>
    <s v="ORD-00200"/>
    <x v="78"/>
    <s v="CUST-0025"/>
    <s v="PROD-003"/>
    <x v="11"/>
    <n v="2"/>
    <n v="3570"/>
    <n v="11.6"/>
    <n v="6311.76"/>
    <s v="Pending"/>
    <s v="Bengaluru"/>
    <x v="4"/>
    <s v="Retail"/>
    <n v="23"/>
    <x v="0"/>
  </r>
  <r>
    <s v="ORD-00201"/>
    <x v="112"/>
    <s v="CUST-0048"/>
    <s v="PROD-031"/>
    <x v="29"/>
    <n v="7"/>
    <n v="3730"/>
    <n v="2.5"/>
    <n v="25457.25"/>
    <s v="Cancelled"/>
    <s v="Delhi"/>
    <x v="3"/>
    <s v="Retail"/>
    <n v="59"/>
    <x v="1"/>
  </r>
  <r>
    <s v="ORD-00202"/>
    <x v="155"/>
    <s v="CUST-0251"/>
    <s v="PROD-032"/>
    <x v="14"/>
    <n v="6"/>
    <n v="370"/>
    <n v="9.9"/>
    <n v="2000.22"/>
    <s v="Completed"/>
    <s v="Mumbai"/>
    <x v="3"/>
    <s v="Retail"/>
    <n v="44"/>
    <x v="2"/>
  </r>
  <r>
    <s v="ORD-00203"/>
    <x v="156"/>
    <s v="CUST-0125"/>
    <s v="PROD-008"/>
    <x v="2"/>
    <n v="4"/>
    <n v="2660"/>
    <n v="29.7"/>
    <n v="7479.92"/>
    <s v="Completed"/>
    <s v="Delhi"/>
    <x v="4"/>
    <s v="Retail"/>
    <n v="45"/>
    <x v="1"/>
  </r>
  <r>
    <s v="ORD-00204"/>
    <x v="152"/>
    <s v="CUST-0025"/>
    <s v="PROD-021"/>
    <x v="15"/>
    <n v="6"/>
    <n v="2760"/>
    <n v="0.9"/>
    <n v="16410.96"/>
    <s v="Completed"/>
    <s v="Bengaluru"/>
    <x v="2"/>
    <s v="Retail"/>
    <n v="23"/>
    <x v="1"/>
  </r>
  <r>
    <s v="ORD-00205"/>
    <x v="157"/>
    <s v="CUST-0068"/>
    <s v="PROD-043"/>
    <x v="18"/>
    <n v="6"/>
    <n v="3350"/>
    <n v="17.899999999999999"/>
    <n v="16502.099999999999"/>
    <s v="Completed"/>
    <s v="Delhi"/>
    <x v="5"/>
    <s v="SMB"/>
    <n v="48"/>
    <x v="1"/>
  </r>
  <r>
    <s v="ORD-00206"/>
    <x v="158"/>
    <s v="CUST-0080"/>
    <s v="PROD-005"/>
    <x v="21"/>
    <n v="8"/>
    <n v="300"/>
    <n v="20.6"/>
    <n v="1905.6"/>
    <s v="Refunded"/>
    <s v="Pune"/>
    <x v="4"/>
    <s v="SMB"/>
    <n v="30"/>
    <x v="3"/>
  </r>
  <r>
    <s v="ORD-00207"/>
    <x v="159"/>
    <s v="CUST-0251"/>
    <s v="PROD-015"/>
    <x v="25"/>
    <n v="5"/>
    <n v="2720"/>
    <n v="17.100000000000001"/>
    <n v="11274.4"/>
    <s v="Pending"/>
    <s v="Mumbai"/>
    <x v="0"/>
    <s v="Retail"/>
    <n v="44"/>
    <x v="0"/>
  </r>
  <r>
    <s v="ORD-00208"/>
    <x v="160"/>
    <s v="CUST-0077"/>
    <s v="PROD-004"/>
    <x v="15"/>
    <n v="1"/>
    <n v="3870"/>
    <n v="23.5"/>
    <n v="2960.55"/>
    <s v="Pending"/>
    <s v="Hyderabad"/>
    <x v="4"/>
    <s v="SMB"/>
    <n v="48"/>
    <x v="1"/>
  </r>
  <r>
    <s v="ORD-00209"/>
    <x v="161"/>
    <s v="CUST-0232"/>
    <s v="PROD-031"/>
    <x v="27"/>
    <n v="3"/>
    <n v="3730"/>
    <n v="0.7"/>
    <n v="11111.67"/>
    <s v="Pending"/>
    <s v="Hyderabad"/>
    <x v="3"/>
    <s v="Retail"/>
    <n v="38"/>
    <x v="1"/>
  </r>
  <r>
    <s v="ORD-00210"/>
    <x v="162"/>
    <s v="CUST-0277"/>
    <s v="PROD-019"/>
    <x v="27"/>
    <n v="8"/>
    <n v="2480"/>
    <n v="18.2"/>
    <n v="16229.12"/>
    <s v="Cancelled"/>
    <s v="Chennai"/>
    <x v="0"/>
    <s v="Corporate"/>
    <n v="34"/>
    <x v="1"/>
  </r>
  <r>
    <s v="ORD-00211"/>
    <x v="163"/>
    <s v="CUST-0149"/>
    <s v="PROD-057"/>
    <x v="7"/>
    <n v="2"/>
    <n v="960"/>
    <n v="2.2000000000000002"/>
    <n v="1877.76"/>
    <s v="Completed"/>
    <s v="Hyderabad"/>
    <x v="1"/>
    <s v="Retail"/>
    <n v="44"/>
    <x v="3"/>
  </r>
  <r>
    <s v="ORD-00212"/>
    <x v="164"/>
    <s v="CUST-0178"/>
    <s v="PROD-046"/>
    <x v="26"/>
    <n v="8"/>
    <n v="4880"/>
    <n v="11.9"/>
    <n v="34394.239999999998"/>
    <s v="Completed"/>
    <s v="Hyderabad"/>
    <x v="5"/>
    <s v="Retail"/>
    <n v="25"/>
    <x v="3"/>
  </r>
  <r>
    <s v="ORD-00213"/>
    <x v="165"/>
    <s v="CUST-0246"/>
    <s v="PROD-014"/>
    <x v="14"/>
    <n v="2"/>
    <n v="3620"/>
    <n v="1.1000000000000001"/>
    <n v="7160.36"/>
    <s v="Pending"/>
    <s v="Delhi"/>
    <x v="0"/>
    <s v="SMB"/>
    <n v="29"/>
    <x v="2"/>
  </r>
  <r>
    <s v="ORD-00214"/>
    <x v="52"/>
    <s v="CUST-0033"/>
    <s v="PROD-006"/>
    <x v="4"/>
    <n v="8"/>
    <n v="3970"/>
    <n v="18.100000000000001"/>
    <n v="26011.439999999999"/>
    <s v="Completed"/>
    <s v="Delhi"/>
    <x v="4"/>
    <s v="Retail"/>
    <n v="35"/>
    <x v="0"/>
  </r>
  <r>
    <s v="ORD-00215"/>
    <x v="166"/>
    <s v="CUST-0159"/>
    <s v="PROD-022"/>
    <x v="17"/>
    <n v="8"/>
    <n v="2270"/>
    <n v="19.600000000000001"/>
    <n v="14600.64"/>
    <s v="Completed"/>
    <s v="Hyderabad"/>
    <x v="2"/>
    <s v="Retail"/>
    <n v="32"/>
    <x v="2"/>
  </r>
  <r>
    <s v="ORD-00216"/>
    <x v="167"/>
    <s v="CUST-0175"/>
    <s v="PROD-027"/>
    <x v="22"/>
    <n v="1"/>
    <n v="3780"/>
    <n v="22.6"/>
    <n v="2925.72"/>
    <s v="Completed"/>
    <s v="Delhi"/>
    <x v="2"/>
    <s v="Corporate"/>
    <n v="55"/>
    <x v="1"/>
  </r>
  <r>
    <s v="ORD-00217"/>
    <x v="168"/>
    <s v="CUST-0079"/>
    <s v="PROD-026"/>
    <x v="24"/>
    <n v="9"/>
    <n v="4070"/>
    <n v="28.2"/>
    <n v="26300.34"/>
    <s v="Completed"/>
    <s v="Mumbai"/>
    <x v="2"/>
    <s v="Corporate"/>
    <n v="60"/>
    <x v="3"/>
  </r>
  <r>
    <s v="ORD-00218"/>
    <x v="75"/>
    <s v="CUST-0173"/>
    <s v="PROD-008"/>
    <x v="3"/>
    <n v="9"/>
    <n v="2660"/>
    <n v="13.1"/>
    <n v="20803.86"/>
    <s v="Pending"/>
    <s v="Mumbai"/>
    <x v="4"/>
    <s v="Retail"/>
    <n v="65"/>
    <x v="0"/>
  </r>
  <r>
    <s v="ORD-00219"/>
    <x v="169"/>
    <s v="CUST-0050"/>
    <s v="PROD-003"/>
    <x v="10"/>
    <n v="4"/>
    <n v="3570"/>
    <n v="1.5"/>
    <n v="14065.8"/>
    <s v="Cancelled"/>
    <s v="Mumbai"/>
    <x v="4"/>
    <s v="Retail"/>
    <n v="37"/>
    <x v="0"/>
  </r>
  <r>
    <s v="ORD-00220"/>
    <x v="101"/>
    <s v="CUST-0097"/>
    <s v="PROD-049"/>
    <x v="19"/>
    <n v="2"/>
    <n v="960"/>
    <n v="18.600000000000001"/>
    <n v="1562.88"/>
    <s v="Completed"/>
    <s v="Mumbai"/>
    <x v="5"/>
    <s v="Retail"/>
    <n v="65"/>
    <x v="0"/>
  </r>
  <r>
    <s v="ORD-00221"/>
    <x v="14"/>
    <s v="CUST-0026"/>
    <s v="PROD-047"/>
    <x v="26"/>
    <n v="2"/>
    <n v="3450"/>
    <n v="3.7"/>
    <n v="6644.7"/>
    <s v="Completed"/>
    <s v="Pune"/>
    <x v="5"/>
    <s v="Retail"/>
    <n v="62"/>
    <x v="3"/>
  </r>
  <r>
    <s v="ORD-00222"/>
    <x v="170"/>
    <s v="CUST-0185"/>
    <s v="PROD-048"/>
    <x v="0"/>
    <n v="6"/>
    <n v="5100"/>
    <n v="1.2"/>
    <n v="30232.799999999999"/>
    <s v="Completed"/>
    <s v="Hyderabad"/>
    <x v="5"/>
    <s v="SMB"/>
    <n v="43"/>
    <x v="0"/>
  </r>
  <r>
    <s v="ORD-00223"/>
    <x v="105"/>
    <s v="CUST-0135"/>
    <s v="PROD-005"/>
    <x v="1"/>
    <n v="9"/>
    <n v="300"/>
    <n v="25.4"/>
    <n v="2014.2"/>
    <s v="Cancelled"/>
    <s v="Pune"/>
    <x v="4"/>
    <s v="SMB"/>
    <n v="24"/>
    <x v="0"/>
  </r>
  <r>
    <s v="ORD-00224"/>
    <x v="171"/>
    <s v="CUST-0010"/>
    <s v="PROD-046"/>
    <x v="16"/>
    <n v="7"/>
    <n v="4880"/>
    <n v="16.899999999999999"/>
    <n v="28386.959999999999"/>
    <s v="Pending"/>
    <s v="Mumbai"/>
    <x v="5"/>
    <s v="SMB"/>
    <n v="61"/>
    <x v="3"/>
  </r>
  <r>
    <s v="ORD-00225"/>
    <x v="172"/>
    <s v="CUST-0271"/>
    <s v="PROD-036"/>
    <x v="12"/>
    <n v="9"/>
    <n v="3250"/>
    <n v="10.8"/>
    <n v="26091"/>
    <s v="Cancelled"/>
    <s v="Bengaluru"/>
    <x v="3"/>
    <s v="Corporate"/>
    <n v="41"/>
    <x v="3"/>
  </r>
  <r>
    <s v="ORD-00226"/>
    <x v="129"/>
    <s v="CUST-0172"/>
    <s v="PROD-047"/>
    <x v="3"/>
    <n v="3"/>
    <n v="3450"/>
    <n v="5.4"/>
    <n v="9791.1"/>
    <s v="Pending"/>
    <s v="Pune"/>
    <x v="5"/>
    <s v="Retail"/>
    <n v="65"/>
    <x v="0"/>
  </r>
  <r>
    <s v="ORD-00227"/>
    <x v="63"/>
    <s v="CUST-0296"/>
    <s v="PROD-050"/>
    <x v="13"/>
    <n v="5"/>
    <n v="6080"/>
    <n v="18"/>
    <n v="24928"/>
    <s v="Completed"/>
    <s v="Delhi"/>
    <x v="5"/>
    <s v="Corporate"/>
    <n v="47"/>
    <x v="3"/>
  </r>
  <r>
    <s v="ORD-00228"/>
    <x v="173"/>
    <s v="CUST-0080"/>
    <s v="PROD-050"/>
    <x v="24"/>
    <n v="7"/>
    <n v="6080"/>
    <n v="9.1999999999999993"/>
    <n v="38644.480000000003"/>
    <s v="Completed"/>
    <s v="Pune"/>
    <x v="5"/>
    <s v="SMB"/>
    <n v="30"/>
    <x v="3"/>
  </r>
  <r>
    <s v="ORD-00229"/>
    <x v="65"/>
    <s v="CUST-0232"/>
    <s v="PROD-024"/>
    <x v="2"/>
    <n v="5"/>
    <n v="2270"/>
    <n v="0.4"/>
    <n v="11304.6"/>
    <s v="Cancelled"/>
    <s v="Hyderabad"/>
    <x v="2"/>
    <s v="Retail"/>
    <n v="38"/>
    <x v="1"/>
  </r>
  <r>
    <s v="ORD-00230"/>
    <x v="41"/>
    <s v="CUST-0070"/>
    <s v="PROD-046"/>
    <x v="29"/>
    <n v="10"/>
    <n v="4880"/>
    <n v="24.5"/>
    <n v="36844"/>
    <s v="Refunded"/>
    <s v="Mumbai"/>
    <x v="5"/>
    <s v="Retail"/>
    <n v="42"/>
    <x v="1"/>
  </r>
  <r>
    <s v="ORD-00231"/>
    <x v="174"/>
    <s v="CUST-0142"/>
    <s v="PROD-023"/>
    <x v="25"/>
    <n v="2"/>
    <n v="2380"/>
    <n v="2.2999999999999998"/>
    <n v="4650.5200000000004"/>
    <s v="Completed"/>
    <s v="Chennai"/>
    <x v="2"/>
    <s v="Corporate"/>
    <n v="55"/>
    <x v="0"/>
  </r>
  <r>
    <s v="ORD-00232"/>
    <x v="71"/>
    <s v="CUST-0161"/>
    <s v="PROD-054"/>
    <x v="5"/>
    <n v="1"/>
    <n v="1010"/>
    <n v="29.9"/>
    <n v="708.01"/>
    <s v="Completed"/>
    <s v="Chennai"/>
    <x v="1"/>
    <s v="Retail"/>
    <n v="38"/>
    <x v="2"/>
  </r>
  <r>
    <s v="ORD-00233"/>
    <x v="175"/>
    <s v="CUST-0020"/>
    <s v="PROD-056"/>
    <x v="20"/>
    <n v="7"/>
    <n v="6940"/>
    <n v="25.8"/>
    <n v="36046.36"/>
    <s v="Completed"/>
    <s v="Hyderabad"/>
    <x v="1"/>
    <s v="Retail"/>
    <n v="46"/>
    <x v="2"/>
  </r>
  <r>
    <s v="ORD-00234"/>
    <x v="176"/>
    <s v="CUST-0173"/>
    <s v="PROD-042"/>
    <x v="6"/>
    <n v="6"/>
    <n v="2290"/>
    <n v="25.9"/>
    <n v="10181.34"/>
    <s v="Pending"/>
    <s v="Mumbai"/>
    <x v="5"/>
    <s v="Retail"/>
    <n v="65"/>
    <x v="2"/>
  </r>
  <r>
    <s v="ORD-00235"/>
    <x v="118"/>
    <s v="CUST-0280"/>
    <s v="PROD-032"/>
    <x v="2"/>
    <n v="2"/>
    <n v="370"/>
    <n v="3.9"/>
    <n v="711.14"/>
    <s v="Completed"/>
    <s v="Delhi"/>
    <x v="3"/>
    <s v="SMB"/>
    <n v="27"/>
    <x v="1"/>
  </r>
  <r>
    <s v="ORD-00236"/>
    <x v="177"/>
    <s v="CUST-0073"/>
    <s v="PROD-022"/>
    <x v="16"/>
    <n v="1"/>
    <n v="2270"/>
    <n v="25.3"/>
    <n v="1695.69"/>
    <s v="Completed"/>
    <s v="Pune"/>
    <x v="2"/>
    <s v="Corporate"/>
    <n v="40"/>
    <x v="3"/>
  </r>
  <r>
    <s v="ORD-00237"/>
    <x v="112"/>
    <s v="CUST-0242"/>
    <s v="PROD-050"/>
    <x v="25"/>
    <n v="4"/>
    <n v="6080"/>
    <n v="28.8"/>
    <n v="17315.84"/>
    <s v="Pending"/>
    <s v="Chennai"/>
    <x v="5"/>
    <s v="SMB"/>
    <n v="59"/>
    <x v="0"/>
  </r>
  <r>
    <s v="ORD-00238"/>
    <x v="44"/>
    <s v="CUST-0234"/>
    <s v="PROD-001"/>
    <x v="26"/>
    <n v="2"/>
    <n v="5330"/>
    <n v="23.8"/>
    <n v="8122.92"/>
    <s v="Pending"/>
    <s v="Bengaluru"/>
    <x v="4"/>
    <s v="Retail"/>
    <n v="34"/>
    <x v="3"/>
  </r>
  <r>
    <s v="ORD-00239"/>
    <x v="112"/>
    <s v="CUST-0085"/>
    <s v="PROD-026"/>
    <x v="6"/>
    <n v="2"/>
    <n v="4070"/>
    <n v="4.3"/>
    <n v="7789.98"/>
    <s v="Completed"/>
    <s v="Chennai"/>
    <x v="2"/>
    <s v="Retail"/>
    <n v="26"/>
    <x v="2"/>
  </r>
  <r>
    <s v="ORD-00240"/>
    <x v="178"/>
    <s v="CUST-0228"/>
    <s v="PROD-005"/>
    <x v="10"/>
    <n v="6"/>
    <n v="300"/>
    <n v="17.399999999999999"/>
    <n v="1486.8"/>
    <s v="Cancelled"/>
    <s v="Pune"/>
    <x v="4"/>
    <s v="Corporate"/>
    <n v="37"/>
    <x v="0"/>
  </r>
  <r>
    <s v="ORD-00241"/>
    <x v="56"/>
    <s v="CUST-0147"/>
    <s v="PROD-046"/>
    <x v="2"/>
    <n v="1"/>
    <n v="4880"/>
    <n v="17.5"/>
    <n v="4026"/>
    <s v="Completed"/>
    <s v="Pune"/>
    <x v="5"/>
    <s v="Retail"/>
    <n v="56"/>
    <x v="1"/>
  </r>
  <r>
    <s v="ORD-00242"/>
    <x v="179"/>
    <s v="CUST-0171"/>
    <s v="PROD-055"/>
    <x v="28"/>
    <n v="3"/>
    <n v="2860"/>
    <n v="20.100000000000001"/>
    <n v="6855.42"/>
    <s v="Completed"/>
    <s v="Chennai"/>
    <x v="1"/>
    <s v="Corporate"/>
    <n v="30"/>
    <x v="2"/>
  </r>
  <r>
    <s v="ORD-00243"/>
    <x v="180"/>
    <s v="CUST-0051"/>
    <s v="PROD-041"/>
    <x v="25"/>
    <n v="3"/>
    <n v="1540"/>
    <n v="20.9"/>
    <n v="3654.42"/>
    <s v="Completed"/>
    <s v="Pune"/>
    <x v="5"/>
    <s v="SMB"/>
    <n v="54"/>
    <x v="0"/>
  </r>
  <r>
    <s v="ORD-00244"/>
    <x v="31"/>
    <s v="CUST-0285"/>
    <s v="PROD-010"/>
    <x v="9"/>
    <n v="10"/>
    <n v="2640"/>
    <n v="11.2"/>
    <n v="23443.200000000001"/>
    <s v="Pending"/>
    <s v="Hyderabad"/>
    <x v="4"/>
    <s v="Retail"/>
    <n v="22"/>
    <x v="1"/>
  </r>
  <r>
    <s v="ORD-00245"/>
    <x v="58"/>
    <s v="CUST-0114"/>
    <s v="PROD-012"/>
    <x v="22"/>
    <n v="1"/>
    <n v="3160"/>
    <n v="11.5"/>
    <n v="2796.6"/>
    <s v="Completed"/>
    <s v="Bengaluru"/>
    <x v="0"/>
    <s v="Corporate"/>
    <n v="42"/>
    <x v="1"/>
  </r>
  <r>
    <s v="ORD-00246"/>
    <x v="181"/>
    <s v="CUST-0295"/>
    <s v="PROD-040"/>
    <x v="0"/>
    <n v="4"/>
    <n v="1080"/>
    <n v="20.7"/>
    <n v="3425.76"/>
    <s v="Pending"/>
    <s v="Delhi"/>
    <x v="3"/>
    <s v="SMB"/>
    <n v="48"/>
    <x v="0"/>
  </r>
  <r>
    <s v="ORD-00247"/>
    <x v="65"/>
    <s v="CUST-0218"/>
    <s v="PROD-054"/>
    <x v="22"/>
    <n v="4"/>
    <n v="1010"/>
    <n v="29.5"/>
    <n v="2848.2"/>
    <s v="Pending"/>
    <s v="Mumbai"/>
    <x v="1"/>
    <s v="Retail"/>
    <n v="39"/>
    <x v="1"/>
  </r>
  <r>
    <s v="ORD-00248"/>
    <x v="182"/>
    <s v="CUST-0090"/>
    <s v="PROD-002"/>
    <x v="28"/>
    <n v="7"/>
    <n v="2600"/>
    <n v="6.6"/>
    <n v="16998.8"/>
    <s v="Completed"/>
    <s v="Bengaluru"/>
    <x v="4"/>
    <s v="Corporate"/>
    <n v="26"/>
    <x v="2"/>
  </r>
  <r>
    <s v="ORD-00249"/>
    <x v="183"/>
    <s v="CUST-0194"/>
    <s v="PROD-017"/>
    <x v="18"/>
    <n v="4"/>
    <n v="2510"/>
    <n v="1"/>
    <n v="9939.6"/>
    <s v="Completed"/>
    <s v="Delhi"/>
    <x v="0"/>
    <s v="SMB"/>
    <n v="55"/>
    <x v="1"/>
  </r>
  <r>
    <s v="ORD-00250"/>
    <x v="184"/>
    <s v="CUST-0231"/>
    <s v="PROD-026"/>
    <x v="24"/>
    <n v="9"/>
    <n v="4070"/>
    <n v="6.7"/>
    <n v="34175.79"/>
    <s v="Cancelled"/>
    <s v="Chennai"/>
    <x v="2"/>
    <s v="Retail"/>
    <n v="61"/>
    <x v="3"/>
  </r>
  <r>
    <s v="ORD-00251"/>
    <x v="109"/>
    <s v="CUST-0055"/>
    <s v="PROD-020"/>
    <x v="9"/>
    <n v="6"/>
    <n v="820"/>
    <n v="14"/>
    <n v="4231.2"/>
    <s v="Completed"/>
    <s v="Bengaluru"/>
    <x v="0"/>
    <s v="Retail"/>
    <n v="34"/>
    <x v="1"/>
  </r>
  <r>
    <s v="ORD-00252"/>
    <x v="185"/>
    <s v="CUST-0262"/>
    <s v="PROD-030"/>
    <x v="1"/>
    <n v="2"/>
    <n v="970"/>
    <n v="23.8"/>
    <n v="1478.28"/>
    <s v="Completed"/>
    <s v="Mumbai"/>
    <x v="2"/>
    <s v="Retail"/>
    <n v="52"/>
    <x v="0"/>
  </r>
  <r>
    <s v="ORD-00253"/>
    <x v="186"/>
    <s v="CUST-0155"/>
    <s v="PROD-026"/>
    <x v="27"/>
    <n v="4"/>
    <n v="4070"/>
    <n v="19"/>
    <n v="13186.8"/>
    <s v="Pending"/>
    <s v="Pune"/>
    <x v="2"/>
    <s v="Corporate"/>
    <n v="40"/>
    <x v="1"/>
  </r>
  <r>
    <s v="ORD-00254"/>
    <x v="144"/>
    <s v="CUST-0169"/>
    <s v="PROD-047"/>
    <x v="21"/>
    <n v="3"/>
    <n v="3450"/>
    <n v="4.4000000000000004"/>
    <n v="9894.6"/>
    <s v="Cancelled"/>
    <s v="Bengaluru"/>
    <x v="5"/>
    <s v="SMB"/>
    <n v="42"/>
    <x v="3"/>
  </r>
  <r>
    <s v="ORD-00255"/>
    <x v="187"/>
    <s v="CUST-0208"/>
    <s v="PROD-027"/>
    <x v="9"/>
    <n v="5"/>
    <n v="3780"/>
    <n v="13.5"/>
    <n v="16348.5"/>
    <s v="Completed"/>
    <s v="Mumbai"/>
    <x v="2"/>
    <s v="Retail"/>
    <n v="49"/>
    <x v="1"/>
  </r>
  <r>
    <s v="ORD-00256"/>
    <x v="127"/>
    <s v="CUST-0249"/>
    <s v="PROD-057"/>
    <x v="10"/>
    <n v="1"/>
    <n v="960"/>
    <n v="29.2"/>
    <n v="679.68"/>
    <s v="Completed"/>
    <s v="Mumbai"/>
    <x v="1"/>
    <s v="Retail"/>
    <n v="44"/>
    <x v="0"/>
  </r>
  <r>
    <s v="ORD-00257"/>
    <x v="188"/>
    <s v="CUST-0151"/>
    <s v="PROD-003"/>
    <x v="24"/>
    <n v="10"/>
    <n v="3570"/>
    <n v="10.7"/>
    <n v="31880.1"/>
    <s v="Completed"/>
    <s v="Mumbai"/>
    <x v="4"/>
    <s v="Retail"/>
    <n v="53"/>
    <x v="3"/>
  </r>
  <r>
    <s v="ORD-00258"/>
    <x v="187"/>
    <s v="CUST-0115"/>
    <s v="PROD-003"/>
    <x v="6"/>
    <n v="7"/>
    <n v="3570"/>
    <n v="12.2"/>
    <n v="21941.22"/>
    <s v="Completed"/>
    <s v="Mumbai"/>
    <x v="4"/>
    <s v="SMB"/>
    <n v="65"/>
    <x v="2"/>
  </r>
  <r>
    <s v="ORD-00259"/>
    <x v="189"/>
    <s v="CUST-0041"/>
    <s v="PROD-040"/>
    <x v="2"/>
    <n v="6"/>
    <n v="1080"/>
    <n v="19.8"/>
    <n v="5196.96"/>
    <s v="Completed"/>
    <s v="Bengaluru"/>
    <x v="3"/>
    <s v="SMB"/>
    <n v="26"/>
    <x v="1"/>
  </r>
  <r>
    <s v="ORD-00260"/>
    <x v="51"/>
    <s v="CUST-0101"/>
    <s v="PROD-011"/>
    <x v="9"/>
    <n v="8"/>
    <n v="3450"/>
    <n v="19"/>
    <n v="22356"/>
    <s v="Completed"/>
    <s v="Hyderabad"/>
    <x v="0"/>
    <s v="SMB"/>
    <n v="40"/>
    <x v="1"/>
  </r>
  <r>
    <s v="ORD-00261"/>
    <x v="2"/>
    <s v="CUST-0198"/>
    <s v="PROD-008"/>
    <x v="12"/>
    <n v="4"/>
    <n v="2660"/>
    <n v="18.8"/>
    <n v="8639.68"/>
    <s v="Pending"/>
    <s v="Chennai"/>
    <x v="4"/>
    <s v="Corporate"/>
    <n v="22"/>
    <x v="3"/>
  </r>
  <r>
    <s v="ORD-00262"/>
    <x v="190"/>
    <s v="CUST-0200"/>
    <s v="PROD-058"/>
    <x v="18"/>
    <n v="4"/>
    <n v="2400"/>
    <n v="5.6"/>
    <n v="9062.4"/>
    <s v="Completed"/>
    <s v="Hyderabad"/>
    <x v="1"/>
    <s v="Corporate"/>
    <n v="46"/>
    <x v="1"/>
  </r>
  <r>
    <s v="ORD-00263"/>
    <x v="191"/>
    <s v="CUST-0110"/>
    <s v="PROD-002"/>
    <x v="11"/>
    <n v="10"/>
    <n v="2600"/>
    <n v="24.7"/>
    <n v="19578"/>
    <s v="Completed"/>
    <s v="Pune"/>
    <x v="4"/>
    <s v="Corporate"/>
    <n v="31"/>
    <x v="0"/>
  </r>
  <r>
    <s v="ORD-00264"/>
    <x v="191"/>
    <s v="CUST-0134"/>
    <s v="PROD-025"/>
    <x v="10"/>
    <n v="3"/>
    <n v="4060"/>
    <n v="6.9"/>
    <n v="11339.58"/>
    <s v="Completed"/>
    <s v="Delhi"/>
    <x v="2"/>
    <s v="Retail"/>
    <n v="40"/>
    <x v="0"/>
  </r>
  <r>
    <s v="ORD-00265"/>
    <x v="57"/>
    <s v="CUST-0141"/>
    <s v="PROD-038"/>
    <x v="12"/>
    <n v="6"/>
    <n v="5490"/>
    <n v="8.4"/>
    <n v="30173.040000000001"/>
    <s v="Completed"/>
    <s v="Hyderabad"/>
    <x v="3"/>
    <s v="Corporate"/>
    <n v="22"/>
    <x v="3"/>
  </r>
  <r>
    <s v="ORD-00266"/>
    <x v="192"/>
    <s v="CUST-0163"/>
    <s v="PROD-032"/>
    <x v="26"/>
    <n v="6"/>
    <n v="370"/>
    <n v="15.1"/>
    <n v="1884.78"/>
    <s v="Completed"/>
    <s v="Pune"/>
    <x v="3"/>
    <s v="Retail"/>
    <n v="49"/>
    <x v="3"/>
  </r>
  <r>
    <s v="ORD-00267"/>
    <x v="171"/>
    <s v="CUST-0181"/>
    <s v="PROD-016"/>
    <x v="12"/>
    <n v="5"/>
    <n v="620"/>
    <n v="13.1"/>
    <n v="2693.9"/>
    <s v="Cancelled"/>
    <s v="Delhi"/>
    <x v="0"/>
    <s v="SMB"/>
    <n v="38"/>
    <x v="3"/>
  </r>
  <r>
    <s v="ORD-00268"/>
    <x v="10"/>
    <s v="CUST-0133"/>
    <s v="PROD-036"/>
    <x v="20"/>
    <n v="9"/>
    <n v="3250"/>
    <n v="16.5"/>
    <n v="24423.75"/>
    <s v="Completed"/>
    <s v="Chennai"/>
    <x v="3"/>
    <s v="Retail"/>
    <n v="26"/>
    <x v="2"/>
  </r>
  <r>
    <s v="ORD-00269"/>
    <x v="193"/>
    <s v="CUST-0095"/>
    <s v="PROD-050"/>
    <x v="23"/>
    <n v="1"/>
    <n v="6080"/>
    <n v="0.1"/>
    <n v="6073.92"/>
    <s v="Completed"/>
    <s v="Mumbai"/>
    <x v="5"/>
    <s v="SMB"/>
    <n v="54"/>
    <x v="1"/>
  </r>
  <r>
    <s v="ORD-00270"/>
    <x v="194"/>
    <s v="CUST-0171"/>
    <s v="PROD-013"/>
    <x v="2"/>
    <n v="8"/>
    <n v="3640"/>
    <n v="13.5"/>
    <n v="25188.799999999999"/>
    <s v="Completed"/>
    <s v="Chennai"/>
    <x v="0"/>
    <s v="Corporate"/>
    <n v="30"/>
    <x v="1"/>
  </r>
  <r>
    <s v="ORD-00271"/>
    <x v="22"/>
    <s v="CUST-0238"/>
    <s v="PROD-012"/>
    <x v="1"/>
    <n v="9"/>
    <n v="3160"/>
    <n v="29.7"/>
    <n v="19993.32"/>
    <s v="Completed"/>
    <s v="Delhi"/>
    <x v="0"/>
    <s v="Retail"/>
    <n v="49"/>
    <x v="0"/>
  </r>
  <r>
    <s v="ORD-00272"/>
    <x v="49"/>
    <s v="CUST-0185"/>
    <s v="PROD-004"/>
    <x v="0"/>
    <n v="2"/>
    <n v="3870"/>
    <n v="18.100000000000001"/>
    <n v="6339.06"/>
    <s v="Cancelled"/>
    <s v="Hyderabad"/>
    <x v="4"/>
    <s v="SMB"/>
    <n v="43"/>
    <x v="0"/>
  </r>
  <r>
    <s v="ORD-00273"/>
    <x v="195"/>
    <s v="CUST-0167"/>
    <s v="PROD-037"/>
    <x v="14"/>
    <n v="3"/>
    <n v="660"/>
    <n v="9.1999999999999993"/>
    <n v="1797.84"/>
    <s v="Completed"/>
    <s v="Delhi"/>
    <x v="3"/>
    <s v="Retail"/>
    <n v="43"/>
    <x v="2"/>
  </r>
  <r>
    <s v="ORD-00274"/>
    <x v="196"/>
    <s v="CUST-0224"/>
    <s v="PROD-025"/>
    <x v="22"/>
    <n v="4"/>
    <n v="4060"/>
    <n v="28"/>
    <n v="11692.8"/>
    <s v="Completed"/>
    <s v="Chennai"/>
    <x v="2"/>
    <s v="Corporate"/>
    <n v="24"/>
    <x v="1"/>
  </r>
  <r>
    <s v="ORD-00275"/>
    <x v="107"/>
    <s v="CUST-0181"/>
    <s v="PROD-034"/>
    <x v="29"/>
    <n v="2"/>
    <n v="5080"/>
    <n v="7.7"/>
    <n v="9377.68"/>
    <s v="Refunded"/>
    <s v="Delhi"/>
    <x v="3"/>
    <s v="SMB"/>
    <n v="38"/>
    <x v="1"/>
  </r>
  <r>
    <s v="ORD-00276"/>
    <x v="197"/>
    <s v="CUST-0020"/>
    <s v="PROD-003"/>
    <x v="1"/>
    <n v="3"/>
    <n v="3570"/>
    <n v="9.5"/>
    <n v="9692.5499999999993"/>
    <s v="Completed"/>
    <s v="Hyderabad"/>
    <x v="4"/>
    <s v="Retail"/>
    <n v="46"/>
    <x v="0"/>
  </r>
  <r>
    <s v="ORD-00277"/>
    <x v="151"/>
    <s v="CUST-0183"/>
    <s v="PROD-016"/>
    <x v="16"/>
    <n v="2"/>
    <n v="620"/>
    <n v="29.5"/>
    <n v="874.2"/>
    <s v="Completed"/>
    <s v="Mumbai"/>
    <x v="0"/>
    <s v="SMB"/>
    <n v="27"/>
    <x v="3"/>
  </r>
  <r>
    <s v="ORD-00278"/>
    <x v="198"/>
    <s v="CUST-0028"/>
    <s v="PROD-011"/>
    <x v="22"/>
    <n v="3"/>
    <n v="3450"/>
    <n v="3"/>
    <n v="10039.5"/>
    <s v="Completed"/>
    <s v="Bengaluru"/>
    <x v="0"/>
    <s v="Retail"/>
    <n v="59"/>
    <x v="1"/>
  </r>
  <r>
    <s v="ORD-00279"/>
    <x v="199"/>
    <s v="CUST-0121"/>
    <s v="PROD-048"/>
    <x v="3"/>
    <n v="7"/>
    <n v="5100"/>
    <n v="4.3"/>
    <n v="34164.9"/>
    <s v="Completed"/>
    <s v="Delhi"/>
    <x v="5"/>
    <s v="SMB"/>
    <n v="55"/>
    <x v="0"/>
  </r>
  <r>
    <s v="ORD-00280"/>
    <x v="110"/>
    <s v="CUST-0192"/>
    <s v="PROD-004"/>
    <x v="11"/>
    <n v="9"/>
    <n v="3870"/>
    <n v="4.8"/>
    <n v="33158.160000000003"/>
    <s v="Completed"/>
    <s v="Bengaluru"/>
    <x v="4"/>
    <s v="Retail"/>
    <n v="55"/>
    <x v="0"/>
  </r>
  <r>
    <s v="ORD-00281"/>
    <x v="142"/>
    <s v="CUST-0155"/>
    <s v="PROD-009"/>
    <x v="20"/>
    <n v="5"/>
    <n v="1220"/>
    <n v="4"/>
    <n v="5856"/>
    <s v="Cancelled"/>
    <s v="Pune"/>
    <x v="4"/>
    <s v="Corporate"/>
    <n v="40"/>
    <x v="2"/>
  </r>
  <r>
    <s v="ORD-00282"/>
    <x v="200"/>
    <s v="CUST-0159"/>
    <s v="PROD-038"/>
    <x v="12"/>
    <n v="5"/>
    <n v="5490"/>
    <n v="19.8"/>
    <n v="22014.9"/>
    <s v="Completed"/>
    <s v="Hyderabad"/>
    <x v="3"/>
    <s v="Retail"/>
    <n v="32"/>
    <x v="3"/>
  </r>
  <r>
    <s v="ORD-00283"/>
    <x v="201"/>
    <s v="CUST-0025"/>
    <s v="PROD-044"/>
    <x v="19"/>
    <n v="1"/>
    <n v="1650"/>
    <n v="26.2"/>
    <n v="1217.7"/>
    <s v="Completed"/>
    <s v="Bengaluru"/>
    <x v="5"/>
    <s v="Retail"/>
    <n v="23"/>
    <x v="0"/>
  </r>
  <r>
    <s v="ORD-00284"/>
    <x v="151"/>
    <s v="CUST-0297"/>
    <s v="PROD-008"/>
    <x v="11"/>
    <n v="1"/>
    <n v="2660"/>
    <n v="21"/>
    <n v="2101.4"/>
    <s v="Completed"/>
    <s v="Hyderabad"/>
    <x v="4"/>
    <s v="Retail"/>
    <n v="50"/>
    <x v="0"/>
  </r>
  <r>
    <s v="ORD-00285"/>
    <x v="67"/>
    <s v="CUST-0108"/>
    <s v="PROD-029"/>
    <x v="11"/>
    <n v="6"/>
    <n v="2210"/>
    <n v="9.8000000000000007"/>
    <n v="11960.52"/>
    <s v="Pending"/>
    <s v="Bengaluru"/>
    <x v="2"/>
    <s v="Corporate"/>
    <n v="59"/>
    <x v="0"/>
  </r>
  <r>
    <s v="ORD-00286"/>
    <x v="202"/>
    <s v="CUST-0121"/>
    <s v="PROD-002"/>
    <x v="19"/>
    <n v="9"/>
    <n v="2600"/>
    <n v="15.7"/>
    <n v="19726.2"/>
    <s v="Completed"/>
    <s v="Delhi"/>
    <x v="4"/>
    <s v="SMB"/>
    <n v="55"/>
    <x v="0"/>
  </r>
  <r>
    <s v="ORD-00287"/>
    <x v="203"/>
    <s v="CUST-0160"/>
    <s v="PROD-045"/>
    <x v="5"/>
    <n v="3"/>
    <n v="3020"/>
    <n v="22.6"/>
    <n v="7012.44"/>
    <s v="Completed"/>
    <s v="Hyderabad"/>
    <x v="5"/>
    <s v="Retail"/>
    <n v="27"/>
    <x v="2"/>
  </r>
  <r>
    <s v="ORD-00288"/>
    <x v="61"/>
    <s v="CUST-0230"/>
    <s v="PROD-032"/>
    <x v="1"/>
    <n v="6"/>
    <n v="370"/>
    <n v="12.4"/>
    <n v="1944.72"/>
    <s v="Completed"/>
    <s v="Pune"/>
    <x v="3"/>
    <s v="Corporate"/>
    <n v="33"/>
    <x v="0"/>
  </r>
  <r>
    <s v="ORD-00289"/>
    <x v="42"/>
    <s v="CUST-0151"/>
    <s v="PROD-001"/>
    <x v="3"/>
    <n v="8"/>
    <n v="5330"/>
    <n v="16.2"/>
    <n v="35732.32"/>
    <s v="Completed"/>
    <s v="Mumbai"/>
    <x v="4"/>
    <s v="Retail"/>
    <n v="53"/>
    <x v="0"/>
  </r>
  <r>
    <s v="ORD-00290"/>
    <x v="66"/>
    <s v="CUST-0222"/>
    <s v="PROD-018"/>
    <x v="14"/>
    <n v="4"/>
    <n v="3560"/>
    <n v="10.5"/>
    <n v="12744.8"/>
    <s v="Completed"/>
    <s v="Chennai"/>
    <x v="0"/>
    <s v="Retail"/>
    <n v="37"/>
    <x v="2"/>
  </r>
  <r>
    <s v="ORD-00291"/>
    <x v="44"/>
    <s v="CUST-0055"/>
    <s v="PROD-054"/>
    <x v="14"/>
    <n v="10"/>
    <n v="1010"/>
    <n v="10.8"/>
    <n v="9009.2000000000007"/>
    <s v="Completed"/>
    <s v="Bengaluru"/>
    <x v="1"/>
    <s v="Retail"/>
    <n v="34"/>
    <x v="2"/>
  </r>
  <r>
    <s v="ORD-00292"/>
    <x v="204"/>
    <s v="CUST-0011"/>
    <s v="PROD-056"/>
    <x v="3"/>
    <n v="8"/>
    <n v="6940"/>
    <n v="3.2"/>
    <n v="53743.360000000001"/>
    <s v="Cancelled"/>
    <s v="Chennai"/>
    <x v="1"/>
    <s v="Corporate"/>
    <n v="41"/>
    <x v="0"/>
  </r>
  <r>
    <s v="ORD-00335"/>
    <x v="7"/>
    <s v="CUST-0020"/>
    <s v="PROD-012"/>
    <x v="15"/>
    <n v="7"/>
    <n v="3160"/>
    <n v="3.6"/>
    <n v="21323.68"/>
    <s v="Completed"/>
    <s v="Hyderabad"/>
    <x v="0"/>
    <s v="Retail"/>
    <n v="46"/>
    <x v="1"/>
  </r>
  <r>
    <s v="ORD-00294"/>
    <x v="93"/>
    <s v="CUST-0163"/>
    <s v="PROD-028"/>
    <x v="4"/>
    <n v="2"/>
    <n v="3660"/>
    <n v="30"/>
    <n v="5124"/>
    <s v="Pending"/>
    <s v="Pune"/>
    <x v="2"/>
    <s v="Retail"/>
    <n v="49"/>
    <x v="0"/>
  </r>
  <r>
    <s v="ORD-00295"/>
    <x v="24"/>
    <s v="CUST-0081"/>
    <s v="PROD-024"/>
    <x v="1"/>
    <n v="1"/>
    <n v="2270"/>
    <n v="4.8"/>
    <n v="2161.04"/>
    <s v="Cancelled"/>
    <s v="Mumbai"/>
    <x v="2"/>
    <s v="Retail"/>
    <n v="25"/>
    <x v="0"/>
  </r>
  <r>
    <s v="ORD-00296"/>
    <x v="171"/>
    <s v="CUST-0053"/>
    <s v="PROD-059"/>
    <x v="5"/>
    <n v="8"/>
    <n v="3780"/>
    <n v="13"/>
    <n v="26308.799999999999"/>
    <s v="Completed"/>
    <s v="Delhi"/>
    <x v="1"/>
    <s v="Retail"/>
    <n v="53"/>
    <x v="2"/>
  </r>
  <r>
    <s v="ORD-01770"/>
    <x v="205"/>
    <s v="CUST-0115"/>
    <s v="PROD-013"/>
    <x v="27"/>
    <n v="1"/>
    <n v="3640"/>
    <n v="15.3"/>
    <n v="3083.08"/>
    <s v="Pending"/>
    <s v="Mumbai"/>
    <x v="0"/>
    <s v="SMB"/>
    <n v="65"/>
    <x v="1"/>
  </r>
  <r>
    <s v="ORD-00298"/>
    <x v="206"/>
    <s v="CUST-0166"/>
    <s v="PROD-009"/>
    <x v="18"/>
    <n v="8"/>
    <n v="1220"/>
    <n v="28.2"/>
    <n v="7007.68"/>
    <s v="Completed"/>
    <s v="Hyderabad"/>
    <x v="4"/>
    <s v="Retail"/>
    <n v="31"/>
    <x v="1"/>
  </r>
  <r>
    <s v="ORD-00299"/>
    <x v="207"/>
    <s v="CUST-0263"/>
    <s v="PROD-017"/>
    <x v="14"/>
    <n v="3"/>
    <n v="2510"/>
    <n v="17.399999999999999"/>
    <n v="6219.78"/>
    <s v="Completed"/>
    <s v="Mumbai"/>
    <x v="0"/>
    <s v="Retail"/>
    <n v="40"/>
    <x v="2"/>
  </r>
  <r>
    <s v="ORD-00300"/>
    <x v="208"/>
    <s v="CUST-0010"/>
    <s v="PROD-040"/>
    <x v="10"/>
    <n v="1"/>
    <n v="1080"/>
    <n v="13.9"/>
    <n v="929.88"/>
    <s v="Completed"/>
    <s v="Mumbai"/>
    <x v="3"/>
    <s v="SMB"/>
    <n v="61"/>
    <x v="0"/>
  </r>
  <r>
    <s v="ORD-00301"/>
    <x v="183"/>
    <s v="CUST-0036"/>
    <s v="PROD-033"/>
    <x v="29"/>
    <n v="7"/>
    <n v="2030"/>
    <n v="29.2"/>
    <n v="10060.68"/>
    <s v="Completed"/>
    <s v="Mumbai"/>
    <x v="3"/>
    <s v="Retail"/>
    <n v="35"/>
    <x v="1"/>
  </r>
  <r>
    <s v="ORD-00302"/>
    <x v="209"/>
    <s v="CUST-0259"/>
    <s v="PROD-059"/>
    <x v="16"/>
    <n v="6"/>
    <n v="3780"/>
    <n v="20.9"/>
    <n v="17939.88"/>
    <s v="Refunded"/>
    <s v="Mumbai"/>
    <x v="1"/>
    <s v="Retail"/>
    <n v="34"/>
    <x v="3"/>
  </r>
  <r>
    <s v="ORD-00303"/>
    <x v="168"/>
    <s v="CUST-0247"/>
    <s v="PROD-012"/>
    <x v="29"/>
    <n v="1"/>
    <n v="3160"/>
    <n v="10.7"/>
    <n v="2821.88"/>
    <s v="Completed"/>
    <s v="Pune"/>
    <x v="0"/>
    <s v="SMB"/>
    <n v="35"/>
    <x v="1"/>
  </r>
  <r>
    <s v="ORD-00881"/>
    <x v="148"/>
    <s v="CUST-0191"/>
    <s v="PROD-046"/>
    <x v="9"/>
    <n v="5"/>
    <n v="4880"/>
    <n v="11.4"/>
    <n v="21618.400000000001"/>
    <s v="Completed"/>
    <s v="Hyderabad"/>
    <x v="5"/>
    <s v="SMB"/>
    <n v="43"/>
    <x v="1"/>
  </r>
  <r>
    <s v="ORD-00305"/>
    <x v="142"/>
    <s v="CUST-0167"/>
    <s v="PROD-031"/>
    <x v="18"/>
    <n v="9"/>
    <n v="3730"/>
    <n v="10"/>
    <n v="30213"/>
    <s v="Completed"/>
    <s v="Delhi"/>
    <x v="3"/>
    <s v="Retail"/>
    <n v="43"/>
    <x v="1"/>
  </r>
  <r>
    <s v="ORD-00306"/>
    <x v="119"/>
    <s v="CUST-0196"/>
    <s v="PROD-034"/>
    <x v="10"/>
    <n v="5"/>
    <n v="5080"/>
    <n v="15.3"/>
    <n v="21513.8"/>
    <s v="Completed"/>
    <s v="Chennai"/>
    <x v="3"/>
    <s v="Retail"/>
    <n v="26"/>
    <x v="0"/>
  </r>
  <r>
    <s v="ORD-00307"/>
    <x v="210"/>
    <s v="CUST-0182"/>
    <s v="PROD-042"/>
    <x v="22"/>
    <n v="9"/>
    <n v="2290"/>
    <n v="3.3"/>
    <n v="19929.87"/>
    <s v="Pending"/>
    <s v="Mumbai"/>
    <x v="5"/>
    <s v="Retail"/>
    <n v="54"/>
    <x v="1"/>
  </r>
  <r>
    <s v="ORD-00308"/>
    <x v="211"/>
    <s v="CUST-0246"/>
    <s v="PROD-008"/>
    <x v="9"/>
    <n v="5"/>
    <n v="2660"/>
    <n v="8.3000000000000007"/>
    <n v="12196.1"/>
    <s v="Completed"/>
    <s v="Delhi"/>
    <x v="4"/>
    <s v="SMB"/>
    <n v="29"/>
    <x v="1"/>
  </r>
  <r>
    <s v="ORD-00309"/>
    <x v="201"/>
    <s v="CUST-0132"/>
    <s v="PROD-027"/>
    <x v="5"/>
    <n v="6"/>
    <n v="3780"/>
    <n v="28.3"/>
    <n v="16261.56"/>
    <s v="Completed"/>
    <s v="Delhi"/>
    <x v="2"/>
    <s v="Retail"/>
    <n v="41"/>
    <x v="2"/>
  </r>
  <r>
    <s v="ORD-00310"/>
    <x v="212"/>
    <s v="CUST-0153"/>
    <s v="PROD-021"/>
    <x v="8"/>
    <n v="5"/>
    <n v="2760"/>
    <n v="4.9000000000000004"/>
    <n v="13123.8"/>
    <s v="Completed"/>
    <s v="Mumbai"/>
    <x v="2"/>
    <s v="Retail"/>
    <n v="35"/>
    <x v="2"/>
  </r>
  <r>
    <s v="ORD-00311"/>
    <x v="213"/>
    <s v="CUST-0139"/>
    <s v="PROD-041"/>
    <x v="3"/>
    <n v="8"/>
    <n v="1540"/>
    <n v="29.4"/>
    <n v="8697.92"/>
    <s v="Cancelled"/>
    <s v="Hyderabad"/>
    <x v="5"/>
    <s v="SMB"/>
    <n v="65"/>
    <x v="0"/>
  </r>
  <r>
    <s v="ORD-00312"/>
    <x v="163"/>
    <s v="CUST-0256"/>
    <s v="PROD-046"/>
    <x v="24"/>
    <n v="1"/>
    <n v="4880"/>
    <n v="18.100000000000001"/>
    <n v="3996.72"/>
    <s v="Completed"/>
    <s v="Hyderabad"/>
    <x v="5"/>
    <s v="Retail"/>
    <n v="28"/>
    <x v="3"/>
  </r>
  <r>
    <s v="ORD-00313"/>
    <x v="95"/>
    <s v="CUST-0027"/>
    <s v="PROD-024"/>
    <x v="15"/>
    <n v="8"/>
    <n v="2270"/>
    <n v="19.8"/>
    <n v="14564.32"/>
    <s v="Pending"/>
    <s v="Hyderabad"/>
    <x v="2"/>
    <s v="Corporate"/>
    <n v="52"/>
    <x v="1"/>
  </r>
  <r>
    <s v="ORD-00314"/>
    <x v="118"/>
    <s v="CUST-0151"/>
    <s v="PROD-019"/>
    <x v="9"/>
    <n v="10"/>
    <n v="2480"/>
    <n v="24.4"/>
    <n v="18748.8"/>
    <s v="Pending"/>
    <s v="Mumbai"/>
    <x v="0"/>
    <s v="Retail"/>
    <n v="53"/>
    <x v="1"/>
  </r>
  <r>
    <s v="ORD-00315"/>
    <x v="214"/>
    <s v="CUST-0204"/>
    <s v="PROD-045"/>
    <x v="2"/>
    <n v="8"/>
    <n v="3020"/>
    <n v="15.2"/>
    <n v="20487.68"/>
    <s v="Pending"/>
    <s v="Hyderabad"/>
    <x v="5"/>
    <s v="Retail"/>
    <n v="60"/>
    <x v="1"/>
  </r>
  <r>
    <s v="ORD-00316"/>
    <x v="25"/>
    <s v="CUST-0084"/>
    <s v="PROD-041"/>
    <x v="7"/>
    <n v="10"/>
    <n v="1540"/>
    <n v="0.6"/>
    <n v="15307.6"/>
    <s v="Completed"/>
    <s v="Chennai"/>
    <x v="5"/>
    <s v="Retail"/>
    <n v="28"/>
    <x v="3"/>
  </r>
  <r>
    <s v="ORD-00317"/>
    <x v="215"/>
    <s v="CUST-0048"/>
    <s v="PROD-012"/>
    <x v="19"/>
    <n v="7"/>
    <n v="3160"/>
    <n v="8.9"/>
    <n v="20151.32"/>
    <s v="Completed"/>
    <s v="Delhi"/>
    <x v="0"/>
    <s v="Retail"/>
    <n v="59"/>
    <x v="0"/>
  </r>
  <r>
    <s v="ORD-00318"/>
    <x v="95"/>
    <s v="CUST-0013"/>
    <s v="PROD-054"/>
    <x v="22"/>
    <n v="6"/>
    <n v="1010"/>
    <n v="12.9"/>
    <n v="5278.26"/>
    <s v="Completed"/>
    <s v="Delhi"/>
    <x v="1"/>
    <s v="Retail"/>
    <n v="41"/>
    <x v="1"/>
  </r>
  <r>
    <s v="ORD-00319"/>
    <x v="216"/>
    <s v="CUST-0245"/>
    <s v="PROD-039"/>
    <x v="16"/>
    <n v="4"/>
    <n v="4610"/>
    <n v="18.2"/>
    <n v="15083.92"/>
    <s v="Completed"/>
    <s v="Hyderabad"/>
    <x v="3"/>
    <s v="Retail"/>
    <n v="65"/>
    <x v="3"/>
  </r>
  <r>
    <s v="ORD-00320"/>
    <x v="30"/>
    <s v="CUST-0031"/>
    <s v="PROD-025"/>
    <x v="20"/>
    <n v="6"/>
    <n v="4060"/>
    <n v="24.3"/>
    <n v="18440.52"/>
    <s v="Completed"/>
    <s v="Hyderabad"/>
    <x v="2"/>
    <s v="Retail"/>
    <n v="53"/>
    <x v="2"/>
  </r>
  <r>
    <s v="ORD-00321"/>
    <x v="89"/>
    <s v="CUST-0212"/>
    <s v="PROD-016"/>
    <x v="19"/>
    <n v="5"/>
    <n v="620"/>
    <n v="10.7"/>
    <n v="2768.3"/>
    <s v="Refunded"/>
    <s v="Chennai"/>
    <x v="0"/>
    <s v="SMB"/>
    <n v="46"/>
    <x v="0"/>
  </r>
  <r>
    <s v="ORD-00322"/>
    <x v="191"/>
    <s v="CUST-0104"/>
    <s v="PROD-018"/>
    <x v="11"/>
    <n v="3"/>
    <n v="3560"/>
    <n v="4.0999999999999996"/>
    <n v="10242.120000000001"/>
    <s v="Completed"/>
    <s v="Hyderabad"/>
    <x v="0"/>
    <s v="Corporate"/>
    <n v="43"/>
    <x v="0"/>
  </r>
  <r>
    <s v="ORD-00323"/>
    <x v="66"/>
    <s v="CUST-0157"/>
    <s v="PROD-058"/>
    <x v="27"/>
    <n v="2"/>
    <n v="2400"/>
    <n v="13"/>
    <n v="4176"/>
    <s v="Completed"/>
    <s v="Pune"/>
    <x v="1"/>
    <s v="Corporate"/>
    <n v="52"/>
    <x v="1"/>
  </r>
  <r>
    <s v="ORD-00324"/>
    <x v="192"/>
    <s v="CUST-0004"/>
    <s v="PROD-056"/>
    <x v="3"/>
    <n v="9"/>
    <n v="6940"/>
    <n v="26.2"/>
    <n v="46095.48"/>
    <s v="Completed"/>
    <s v="Delhi"/>
    <x v="1"/>
    <s v="Retail"/>
    <n v="53"/>
    <x v="0"/>
  </r>
  <r>
    <s v="ORD-00325"/>
    <x v="217"/>
    <s v="CUST-0003"/>
    <s v="PROD-023"/>
    <x v="5"/>
    <n v="9"/>
    <n v="2380"/>
    <n v="22.7"/>
    <n v="16557.66"/>
    <s v="Completed"/>
    <s v="Mumbai"/>
    <x v="2"/>
    <s v="Retail"/>
    <n v="33"/>
    <x v="2"/>
  </r>
  <r>
    <s v="ORD-00326"/>
    <x v="176"/>
    <s v="CUST-0175"/>
    <s v="PROD-014"/>
    <x v="8"/>
    <n v="6"/>
    <n v="3620"/>
    <n v="9.1999999999999993"/>
    <n v="19721.759999999998"/>
    <s v="Completed"/>
    <s v="Delhi"/>
    <x v="0"/>
    <s v="Corporate"/>
    <n v="55"/>
    <x v="2"/>
  </r>
  <r>
    <s v="ORD-00327"/>
    <x v="124"/>
    <s v="CUST-0104"/>
    <s v="PROD-050"/>
    <x v="10"/>
    <n v="1"/>
    <n v="6080"/>
    <n v="29.4"/>
    <n v="4292.4799999999996"/>
    <s v="Cancelled"/>
    <s v="Hyderabad"/>
    <x v="5"/>
    <s v="Corporate"/>
    <n v="43"/>
    <x v="0"/>
  </r>
  <r>
    <s v="ORD-00328"/>
    <x v="30"/>
    <s v="CUST-0196"/>
    <s v="PROD-020"/>
    <x v="26"/>
    <n v="6"/>
    <n v="820"/>
    <n v="29.1"/>
    <n v="3488.28"/>
    <s v="Completed"/>
    <s v="Chennai"/>
    <x v="0"/>
    <s v="Retail"/>
    <n v="26"/>
    <x v="3"/>
  </r>
  <r>
    <s v="ORD-00329"/>
    <x v="34"/>
    <s v="CUST-0299"/>
    <s v="PROD-045"/>
    <x v="6"/>
    <n v="9"/>
    <n v="3020"/>
    <n v="7.9"/>
    <n v="25032.78"/>
    <s v="Completed"/>
    <s v="Mumbai"/>
    <x v="5"/>
    <s v="Corporate"/>
    <n v="51"/>
    <x v="2"/>
  </r>
  <r>
    <s v="ORD-00330"/>
    <x v="218"/>
    <s v="CUST-0066"/>
    <s v="PROD-004"/>
    <x v="20"/>
    <n v="8"/>
    <n v="3870"/>
    <n v="11.9"/>
    <n v="27275.759999999998"/>
    <s v="Completed"/>
    <s v="Delhi"/>
    <x v="4"/>
    <s v="Retail"/>
    <n v="24"/>
    <x v="2"/>
  </r>
  <r>
    <s v="ORD-00331"/>
    <x v="72"/>
    <s v="CUST-0080"/>
    <s v="PROD-047"/>
    <x v="14"/>
    <n v="6"/>
    <n v="3450"/>
    <n v="13.9"/>
    <n v="17822.7"/>
    <s v="Completed"/>
    <s v="Pune"/>
    <x v="5"/>
    <s v="SMB"/>
    <n v="30"/>
    <x v="2"/>
  </r>
  <r>
    <s v="ORD-00332"/>
    <x v="219"/>
    <s v="CUST-0138"/>
    <s v="PROD-048"/>
    <x v="4"/>
    <n v="9"/>
    <n v="5100"/>
    <n v="2.1"/>
    <n v="44936.1"/>
    <s v="Completed"/>
    <s v="Chennai"/>
    <x v="5"/>
    <s v="Retail"/>
    <n v="24"/>
    <x v="0"/>
  </r>
  <r>
    <s v="ORD-00333"/>
    <x v="79"/>
    <s v="CUST-0253"/>
    <s v="PROD-026"/>
    <x v="4"/>
    <n v="2"/>
    <n v="4070"/>
    <n v="28.6"/>
    <n v="5811.96"/>
    <s v="Completed"/>
    <s v="Delhi"/>
    <x v="2"/>
    <s v="SMB"/>
    <n v="53"/>
    <x v="0"/>
  </r>
  <r>
    <s v="ORD-00334"/>
    <x v="220"/>
    <s v="CUST-0247"/>
    <s v="PROD-001"/>
    <x v="0"/>
    <n v="9"/>
    <n v="5330"/>
    <n v="6.2"/>
    <n v="44995.86"/>
    <s v="Completed"/>
    <s v="Pune"/>
    <x v="4"/>
    <s v="SMB"/>
    <n v="35"/>
    <x v="0"/>
  </r>
  <r>
    <s v="ORD-00335"/>
    <x v="158"/>
    <s v="CUST-0269"/>
    <s v="PROD-024"/>
    <x v="16"/>
    <n v="6"/>
    <n v="2270"/>
    <n v="23.7"/>
    <n v="10392.06"/>
    <s v="Completed"/>
    <s v="Pune"/>
    <x v="2"/>
    <s v="Retail"/>
    <n v="48"/>
    <x v="3"/>
  </r>
  <r>
    <s v="ORD-00336"/>
    <x v="221"/>
    <s v="CUST-0008"/>
    <s v="PROD-017"/>
    <x v="6"/>
    <n v="5"/>
    <n v="2510"/>
    <n v="25"/>
    <n v="9412.5"/>
    <s v="Completed"/>
    <s v="Pune"/>
    <x v="0"/>
    <s v="SMB"/>
    <n v="39"/>
    <x v="2"/>
  </r>
  <r>
    <s v="ORD-00337"/>
    <x v="164"/>
    <s v="CUST-0134"/>
    <s v="PROD-023"/>
    <x v="7"/>
    <n v="9"/>
    <n v="2380"/>
    <n v="16.8"/>
    <n v="17821.439999999999"/>
    <s v="Completed"/>
    <s v="Delhi"/>
    <x v="2"/>
    <s v="Retail"/>
    <n v="40"/>
    <x v="3"/>
  </r>
  <r>
    <s v="ORD-00338"/>
    <x v="103"/>
    <s v="CUST-0016"/>
    <s v="PROD-011"/>
    <x v="4"/>
    <n v="1"/>
    <n v="3450"/>
    <n v="1.5"/>
    <n v="3398.25"/>
    <s v="Refunded"/>
    <s v="Delhi"/>
    <x v="0"/>
    <s v="SMB"/>
    <n v="26"/>
    <x v="0"/>
  </r>
  <r>
    <s v="ORD-00339"/>
    <x v="146"/>
    <s v="CUST-0281"/>
    <s v="PROD-003"/>
    <x v="25"/>
    <n v="5"/>
    <n v="3570"/>
    <n v="12.8"/>
    <n v="15565.2"/>
    <s v="Completed"/>
    <s v="Bengaluru"/>
    <x v="4"/>
    <s v="Corporate"/>
    <n v="57"/>
    <x v="0"/>
  </r>
  <r>
    <s v="ORD-00340"/>
    <x v="222"/>
    <s v="CUST-0267"/>
    <s v="PROD-001"/>
    <x v="20"/>
    <n v="3"/>
    <n v="5330"/>
    <n v="16.2"/>
    <n v="13399.62"/>
    <s v="Completed"/>
    <s v="Hyderabad"/>
    <x v="4"/>
    <s v="Retail"/>
    <n v="27"/>
    <x v="2"/>
  </r>
  <r>
    <s v="ORD-00341"/>
    <x v="123"/>
    <s v="CUST-0279"/>
    <s v="PROD-028"/>
    <x v="28"/>
    <n v="3"/>
    <n v="3660"/>
    <n v="25.3"/>
    <n v="8202.06"/>
    <s v="Completed"/>
    <s v="Mumbai"/>
    <x v="2"/>
    <s v="Retail"/>
    <n v="56"/>
    <x v="2"/>
  </r>
  <r>
    <s v="ORD-00342"/>
    <x v="77"/>
    <s v="CUST-0036"/>
    <s v="PROD-054"/>
    <x v="15"/>
    <n v="2"/>
    <n v="1010"/>
    <n v="29.2"/>
    <n v="1430.16"/>
    <s v="Completed"/>
    <s v="Mumbai"/>
    <x v="1"/>
    <s v="Retail"/>
    <n v="35"/>
    <x v="1"/>
  </r>
  <r>
    <s v="ORD-00343"/>
    <x v="47"/>
    <s v="CUST-0295"/>
    <s v="PROD-040"/>
    <x v="15"/>
    <n v="1"/>
    <n v="1080"/>
    <n v="1.8"/>
    <n v="1060.56"/>
    <s v="Completed"/>
    <s v="Delhi"/>
    <x v="3"/>
    <s v="SMB"/>
    <n v="48"/>
    <x v="1"/>
  </r>
  <r>
    <s v="ORD-00344"/>
    <x v="85"/>
    <s v="CUST-0106"/>
    <s v="PROD-051"/>
    <x v="9"/>
    <n v="8"/>
    <n v="3450"/>
    <n v="20.399999999999999"/>
    <n v="21969.599999999999"/>
    <s v="Completed"/>
    <s v="Pune"/>
    <x v="1"/>
    <s v="Retail"/>
    <n v="22"/>
    <x v="1"/>
  </r>
  <r>
    <s v="ORD-00593"/>
    <x v="223"/>
    <s v="CUST-0070"/>
    <s v="PROD-056"/>
    <x v="15"/>
    <n v="8"/>
    <n v="6940"/>
    <n v="19.399999999999999"/>
    <n v="44749.120000000003"/>
    <s v="Completed"/>
    <s v="Mumbai"/>
    <x v="1"/>
    <s v="Retail"/>
    <n v="42"/>
    <x v="1"/>
  </r>
  <r>
    <s v="ORD-00346"/>
    <x v="224"/>
    <s v="CUST-0062"/>
    <s v="PROD-041"/>
    <x v="11"/>
    <n v="2"/>
    <n v="1540"/>
    <n v="9.3000000000000007"/>
    <n v="2793.56"/>
    <s v="Completed"/>
    <s v="Pune"/>
    <x v="5"/>
    <s v="Retail"/>
    <n v="54"/>
    <x v="0"/>
  </r>
  <r>
    <s v="ORD-00347"/>
    <x v="225"/>
    <s v="CUST-0241"/>
    <s v="PROD-010"/>
    <x v="15"/>
    <n v="4"/>
    <n v="2640"/>
    <n v="23.2"/>
    <n v="8110.08"/>
    <s v="Refunded"/>
    <s v="Pune"/>
    <x v="4"/>
    <s v="Corporate"/>
    <n v="47"/>
    <x v="1"/>
  </r>
  <r>
    <s v="ORD-00348"/>
    <x v="17"/>
    <s v="CUST-0001"/>
    <s v="PROD-052"/>
    <x v="6"/>
    <n v="6"/>
    <n v="5410"/>
    <n v="29.4"/>
    <n v="22916.76"/>
    <s v="Completed"/>
    <s v="Pune"/>
    <x v="1"/>
    <s v="Retail"/>
    <n v="36"/>
    <x v="2"/>
  </r>
  <r>
    <s v="ORD-00349"/>
    <x v="61"/>
    <s v="CUST-0181"/>
    <s v="PROD-003"/>
    <x v="28"/>
    <n v="1"/>
    <n v="3570"/>
    <n v="4.3"/>
    <n v="3416.49"/>
    <s v="Completed"/>
    <s v="Delhi"/>
    <x v="4"/>
    <s v="SMB"/>
    <n v="38"/>
    <x v="2"/>
  </r>
  <r>
    <s v="ORD-00350"/>
    <x v="226"/>
    <s v="CUST-0044"/>
    <s v="PROD-032"/>
    <x v="8"/>
    <n v="2"/>
    <n v="370"/>
    <n v="7.2"/>
    <n v="686.72"/>
    <s v="Completed"/>
    <s v="Hyderabad"/>
    <x v="3"/>
    <s v="SMB"/>
    <n v="29"/>
    <x v="2"/>
  </r>
  <r>
    <s v="ORD-00351"/>
    <x v="203"/>
    <s v="CUST-0218"/>
    <s v="PROD-017"/>
    <x v="21"/>
    <n v="1"/>
    <n v="2510"/>
    <n v="2.4"/>
    <n v="2449.7600000000002"/>
    <s v="Completed"/>
    <s v="Mumbai"/>
    <x v="0"/>
    <s v="Retail"/>
    <n v="39"/>
    <x v="3"/>
  </r>
  <r>
    <s v="ORD-00352"/>
    <x v="178"/>
    <s v="CUST-0061"/>
    <s v="PROD-013"/>
    <x v="24"/>
    <n v="8"/>
    <n v="3640"/>
    <n v="28.7"/>
    <n v="20762.560000000001"/>
    <s v="Pending"/>
    <s v="Hyderabad"/>
    <x v="0"/>
    <s v="Retail"/>
    <n v="64"/>
    <x v="3"/>
  </r>
  <r>
    <s v="ORD-00353"/>
    <x v="226"/>
    <s v="CUST-0143"/>
    <s v="PROD-044"/>
    <x v="20"/>
    <n v="5"/>
    <n v="1650"/>
    <n v="13.4"/>
    <n v="7144.5"/>
    <s v="Pending"/>
    <s v="Chennai"/>
    <x v="5"/>
    <s v="SMB"/>
    <n v="52"/>
    <x v="2"/>
  </r>
  <r>
    <s v="ORD-00354"/>
    <x v="107"/>
    <s v="CUST-0164"/>
    <s v="PROD-049"/>
    <x v="6"/>
    <n v="9"/>
    <n v="960"/>
    <n v="28.6"/>
    <n v="6168.96"/>
    <s v="Pending"/>
    <s v="Chennai"/>
    <x v="5"/>
    <s v="Retail"/>
    <n v="60"/>
    <x v="2"/>
  </r>
  <r>
    <s v="ORD-00355"/>
    <x v="97"/>
    <s v="CUST-0152"/>
    <s v="PROD-027"/>
    <x v="13"/>
    <n v="4"/>
    <n v="3780"/>
    <n v="25.3"/>
    <n v="11294.64"/>
    <s v="Completed"/>
    <s v="Bengaluru"/>
    <x v="2"/>
    <s v="SMB"/>
    <n v="64"/>
    <x v="3"/>
  </r>
  <r>
    <s v="ORD-00356"/>
    <x v="227"/>
    <s v="CUST-0143"/>
    <s v="PROD-044"/>
    <x v="2"/>
    <n v="4"/>
    <n v="1650"/>
    <n v="13.7"/>
    <n v="5695.8"/>
    <s v="Cancelled"/>
    <s v="Chennai"/>
    <x v="5"/>
    <s v="SMB"/>
    <n v="52"/>
    <x v="1"/>
  </r>
  <r>
    <s v="ORD-00357"/>
    <x v="228"/>
    <s v="CUST-0232"/>
    <s v="PROD-014"/>
    <x v="27"/>
    <n v="6"/>
    <n v="3620"/>
    <n v="21.3"/>
    <n v="17093.64"/>
    <s v="Pending"/>
    <s v="Hyderabad"/>
    <x v="0"/>
    <s v="Retail"/>
    <n v="38"/>
    <x v="1"/>
  </r>
  <r>
    <s v="ORD-00358"/>
    <x v="42"/>
    <s v="CUST-0067"/>
    <s v="PROD-022"/>
    <x v="14"/>
    <n v="10"/>
    <n v="2270"/>
    <n v="17.7"/>
    <n v="18682.099999999999"/>
    <s v="Completed"/>
    <s v="Delhi"/>
    <x v="2"/>
    <s v="SMB"/>
    <n v="59"/>
    <x v="2"/>
  </r>
  <r>
    <s v="ORD-00359"/>
    <x v="130"/>
    <s v="CUST-0292"/>
    <s v="PROD-041"/>
    <x v="22"/>
    <n v="9"/>
    <n v="1540"/>
    <n v="10.7"/>
    <n v="12376.98"/>
    <s v="Completed"/>
    <s v="Bengaluru"/>
    <x v="5"/>
    <s v="Retail"/>
    <n v="32"/>
    <x v="1"/>
  </r>
  <r>
    <s v="ORD-00360"/>
    <x v="84"/>
    <s v="CUST-0118"/>
    <s v="PROD-055"/>
    <x v="13"/>
    <n v="9"/>
    <n v="2860"/>
    <n v="12.9"/>
    <n v="22419.54"/>
    <s v="Completed"/>
    <s v="Hyderabad"/>
    <x v="1"/>
    <s v="Retail"/>
    <n v="26"/>
    <x v="3"/>
  </r>
  <r>
    <s v="ORD-00361"/>
    <x v="229"/>
    <s v="CUST-0212"/>
    <s v="PROD-029"/>
    <x v="29"/>
    <n v="5"/>
    <n v="2210"/>
    <n v="5.0999999999999996"/>
    <n v="10486.45"/>
    <s v="Completed"/>
    <s v="Chennai"/>
    <x v="2"/>
    <s v="SMB"/>
    <n v="46"/>
    <x v="1"/>
  </r>
  <r>
    <s v="ORD-00362"/>
    <x v="157"/>
    <s v="CUST-0287"/>
    <s v="PROD-009"/>
    <x v="20"/>
    <n v="1"/>
    <n v="1220"/>
    <n v="16.100000000000001"/>
    <n v="1023.58"/>
    <s v="Completed"/>
    <s v="Chennai"/>
    <x v="4"/>
    <s v="SMB"/>
    <n v="53"/>
    <x v="2"/>
  </r>
  <r>
    <s v="ORD-00363"/>
    <x v="230"/>
    <s v="CUST-0030"/>
    <s v="PROD-003"/>
    <x v="3"/>
    <n v="2"/>
    <n v="3570"/>
    <n v="1.1000000000000001"/>
    <n v="7061.46"/>
    <s v="Completed"/>
    <s v="Bengaluru"/>
    <x v="4"/>
    <s v="Corporate"/>
    <n v="43"/>
    <x v="0"/>
  </r>
  <r>
    <s v="ORD-00364"/>
    <x v="231"/>
    <s v="CUST-0270"/>
    <s v="PROD-011"/>
    <x v="29"/>
    <n v="10"/>
    <n v="3450"/>
    <n v="12.6"/>
    <n v="30153"/>
    <s v="Completed"/>
    <s v="Bengaluru"/>
    <x v="0"/>
    <s v="Retail"/>
    <n v="29"/>
    <x v="1"/>
  </r>
  <r>
    <s v="ORD-00365"/>
    <x v="232"/>
    <s v="CUST-0001"/>
    <s v="PROD-029"/>
    <x v="13"/>
    <n v="4"/>
    <n v="2210"/>
    <n v="5.4"/>
    <n v="8362.64"/>
    <s v="Completed"/>
    <s v="Pune"/>
    <x v="2"/>
    <s v="Retail"/>
    <n v="36"/>
    <x v="3"/>
  </r>
  <r>
    <s v="ORD-00366"/>
    <x v="233"/>
    <s v="CUST-0215"/>
    <s v="PROD-035"/>
    <x v="2"/>
    <n v="6"/>
    <n v="1090"/>
    <n v="2.9"/>
    <n v="6350.34"/>
    <s v="Cancelled"/>
    <s v="Hyderabad"/>
    <x v="3"/>
    <s v="Retail"/>
    <n v="52"/>
    <x v="1"/>
  </r>
  <r>
    <s v="ORD-00367"/>
    <x v="234"/>
    <s v="CUST-0225"/>
    <s v="PROD-041"/>
    <x v="21"/>
    <n v="8"/>
    <n v="1540"/>
    <n v="17.899999999999999"/>
    <n v="10114.719999999999"/>
    <s v="Pending"/>
    <s v="Chennai"/>
    <x v="5"/>
    <s v="SMB"/>
    <n v="26"/>
    <x v="3"/>
  </r>
  <r>
    <s v="ORD-00368"/>
    <x v="2"/>
    <s v="CUST-0163"/>
    <s v="PROD-002"/>
    <x v="8"/>
    <n v="9"/>
    <n v="2600"/>
    <n v="4.0999999999999996"/>
    <n v="22440.6"/>
    <s v="Completed"/>
    <s v="Pune"/>
    <x v="4"/>
    <s v="Retail"/>
    <n v="49"/>
    <x v="2"/>
  </r>
  <r>
    <s v="ORD-00369"/>
    <x v="235"/>
    <s v="CUST-0196"/>
    <s v="PROD-060"/>
    <x v="0"/>
    <n v="2"/>
    <n v="190"/>
    <n v="4.8"/>
    <n v="361.76"/>
    <s v="Completed"/>
    <s v="Chennai"/>
    <x v="1"/>
    <s v="Retail"/>
    <n v="26"/>
    <x v="0"/>
  </r>
  <r>
    <s v="ORD-00370"/>
    <x v="236"/>
    <s v="CUST-0002"/>
    <s v="PROD-019"/>
    <x v="2"/>
    <n v="9"/>
    <n v="2480"/>
    <n v="28.3"/>
    <n v="16003.44"/>
    <s v="Completed"/>
    <s v="Pune"/>
    <x v="0"/>
    <s v="Corporate"/>
    <n v="42"/>
    <x v="1"/>
  </r>
  <r>
    <s v="ORD-00371"/>
    <x v="33"/>
    <s v="CUST-0057"/>
    <s v="PROD-042"/>
    <x v="3"/>
    <n v="7"/>
    <n v="2290"/>
    <n v="25"/>
    <n v="12022.5"/>
    <s v="Cancelled"/>
    <s v="Pune"/>
    <x v="5"/>
    <s v="Retail"/>
    <n v="35"/>
    <x v="0"/>
  </r>
  <r>
    <s v="ORD-00372"/>
    <x v="237"/>
    <s v="CUST-0112"/>
    <s v="PROD-041"/>
    <x v="15"/>
    <n v="9"/>
    <n v="1540"/>
    <n v="23.3"/>
    <n v="10630.62"/>
    <s v="Completed"/>
    <s v="Hyderabad"/>
    <x v="5"/>
    <s v="Retail"/>
    <n v="64"/>
    <x v="1"/>
  </r>
  <r>
    <s v="ORD-00373"/>
    <x v="168"/>
    <s v="CUST-0131"/>
    <s v="PROD-034"/>
    <x v="5"/>
    <n v="2"/>
    <n v="5080"/>
    <n v="2.5"/>
    <n v="9906"/>
    <s v="Cancelled"/>
    <s v="Delhi"/>
    <x v="3"/>
    <s v="SMB"/>
    <n v="28"/>
    <x v="2"/>
  </r>
  <r>
    <s v="ORD-00374"/>
    <x v="238"/>
    <s v="CUST-0124"/>
    <s v="PROD-017"/>
    <x v="29"/>
    <n v="4"/>
    <n v="2510"/>
    <n v="23.6"/>
    <n v="7670.56"/>
    <s v="Completed"/>
    <s v="Pune"/>
    <x v="0"/>
    <s v="Retail"/>
    <n v="57"/>
    <x v="1"/>
  </r>
  <r>
    <s v="ORD-00375"/>
    <x v="10"/>
    <s v="CUST-0131"/>
    <s v="PROD-042"/>
    <x v="23"/>
    <n v="5"/>
    <n v="2290"/>
    <n v="17"/>
    <n v="9503.5"/>
    <s v="Completed"/>
    <s v="Delhi"/>
    <x v="5"/>
    <s v="SMB"/>
    <n v="28"/>
    <x v="1"/>
  </r>
  <r>
    <s v="ORD-00376"/>
    <x v="1"/>
    <s v="CUST-0084"/>
    <s v="PROD-053"/>
    <x v="3"/>
    <n v="8"/>
    <n v="470"/>
    <n v="9.3000000000000007"/>
    <n v="3410.32"/>
    <s v="Completed"/>
    <s v="Chennai"/>
    <x v="1"/>
    <s v="Retail"/>
    <n v="28"/>
    <x v="0"/>
  </r>
  <r>
    <s v="ORD-00377"/>
    <x v="148"/>
    <s v="CUST-0082"/>
    <s v="PROD-048"/>
    <x v="18"/>
    <n v="8"/>
    <n v="5100"/>
    <n v="4.5999999999999996"/>
    <n v="38923.199999999997"/>
    <s v="Completed"/>
    <s v="Hyderabad"/>
    <x v="5"/>
    <s v="SMB"/>
    <n v="36"/>
    <x v="1"/>
  </r>
  <r>
    <s v="ORD-00378"/>
    <x v="197"/>
    <s v="CUST-0242"/>
    <s v="PROD-001"/>
    <x v="9"/>
    <n v="7"/>
    <n v="5330"/>
    <n v="2.5"/>
    <n v="36377.25"/>
    <s v="Completed"/>
    <s v="Chennai"/>
    <x v="4"/>
    <s v="SMB"/>
    <n v="59"/>
    <x v="1"/>
  </r>
  <r>
    <s v="ORD-00379"/>
    <x v="234"/>
    <s v="CUST-0074"/>
    <s v="PROD-033"/>
    <x v="8"/>
    <n v="10"/>
    <n v="2030"/>
    <n v="8.5"/>
    <n v="18574.5"/>
    <s v="Completed"/>
    <s v="Bengaluru"/>
    <x v="3"/>
    <s v="Retail"/>
    <n v="27"/>
    <x v="2"/>
  </r>
  <r>
    <s v="ORD-00380"/>
    <x v="9"/>
    <s v="CUST-0221"/>
    <s v="PROD-034"/>
    <x v="11"/>
    <n v="8"/>
    <n v="5080"/>
    <n v="9.6"/>
    <n v="36738.559999999998"/>
    <s v="Cancelled"/>
    <s v="Delhi"/>
    <x v="3"/>
    <s v="SMB"/>
    <n v="29"/>
    <x v="0"/>
  </r>
  <r>
    <s v="ORD-00381"/>
    <x v="239"/>
    <s v="CUST-0101"/>
    <s v="PROD-023"/>
    <x v="2"/>
    <n v="1"/>
    <n v="2380"/>
    <n v="11.6"/>
    <n v="2103.92"/>
    <s v="Pending"/>
    <s v="Hyderabad"/>
    <x v="2"/>
    <s v="SMB"/>
    <n v="40"/>
    <x v="1"/>
  </r>
  <r>
    <s v="ORD-00382"/>
    <x v="222"/>
    <s v="CUST-0203"/>
    <s v="PROD-041"/>
    <x v="28"/>
    <n v="8"/>
    <n v="1540"/>
    <n v="27.8"/>
    <n v="8895.0400000000009"/>
    <s v="Completed"/>
    <s v="Chennai"/>
    <x v="5"/>
    <s v="SMB"/>
    <n v="55"/>
    <x v="2"/>
  </r>
  <r>
    <s v="ORD-00383"/>
    <x v="157"/>
    <s v="CUST-0209"/>
    <s v="PROD-024"/>
    <x v="6"/>
    <n v="1"/>
    <n v="2270"/>
    <n v="6.5"/>
    <n v="2122.4499999999998"/>
    <s v="Pending"/>
    <s v="Pune"/>
    <x v="2"/>
    <s v="Retail"/>
    <n v="31"/>
    <x v="2"/>
  </r>
  <r>
    <s v="ORD-00384"/>
    <x v="240"/>
    <s v="CUST-0094"/>
    <s v="PROD-019"/>
    <x v="8"/>
    <n v="6"/>
    <n v="2480"/>
    <n v="25.9"/>
    <n v="11026.08"/>
    <s v="Completed"/>
    <s v="Pune"/>
    <x v="0"/>
    <s v="SMB"/>
    <n v="60"/>
    <x v="2"/>
  </r>
  <r>
    <s v="ORD-00385"/>
    <x v="170"/>
    <s v="CUST-0248"/>
    <s v="PROD-018"/>
    <x v="7"/>
    <n v="3"/>
    <n v="3560"/>
    <n v="0.4"/>
    <n v="10637.28"/>
    <s v="Refunded"/>
    <s v="Chennai"/>
    <x v="0"/>
    <s v="SMB"/>
    <n v="57"/>
    <x v="3"/>
  </r>
  <r>
    <s v="ORD-00386"/>
    <x v="124"/>
    <s v="CUST-0297"/>
    <s v="PROD-008"/>
    <x v="3"/>
    <n v="4"/>
    <n v="2660"/>
    <n v="19.7"/>
    <n v="8543.92"/>
    <s v="Cancelled"/>
    <s v="Hyderabad"/>
    <x v="4"/>
    <s v="Retail"/>
    <n v="50"/>
    <x v="0"/>
  </r>
  <r>
    <s v="ORD-00387"/>
    <x v="194"/>
    <s v="CUST-0107"/>
    <s v="PROD-009"/>
    <x v="22"/>
    <n v="10"/>
    <n v="1220"/>
    <n v="10.1"/>
    <n v="10967.8"/>
    <s v="Cancelled"/>
    <s v="Pune"/>
    <x v="4"/>
    <s v="Retail"/>
    <n v="50"/>
    <x v="1"/>
  </r>
  <r>
    <s v="ORD-00388"/>
    <x v="241"/>
    <s v="CUST-0247"/>
    <s v="PROD-002"/>
    <x v="2"/>
    <n v="8"/>
    <n v="2600"/>
    <n v="26.7"/>
    <n v="15246.4"/>
    <s v="Completed"/>
    <s v="Pune"/>
    <x v="4"/>
    <s v="SMB"/>
    <n v="35"/>
    <x v="1"/>
  </r>
  <r>
    <s v="ORD-00389"/>
    <x v="242"/>
    <s v="CUST-0047"/>
    <s v="PROD-011"/>
    <x v="16"/>
    <n v="10"/>
    <n v="3450"/>
    <n v="20.399999999999999"/>
    <n v="27462"/>
    <s v="Completed"/>
    <s v="Pune"/>
    <x v="0"/>
    <s v="Retail"/>
    <n v="49"/>
    <x v="3"/>
  </r>
  <r>
    <s v="ORD-00390"/>
    <x v="242"/>
    <s v="CUST-0118"/>
    <s v="PROD-056"/>
    <x v="7"/>
    <n v="1"/>
    <n v="6940"/>
    <n v="9.6999999999999993"/>
    <n v="6266.82"/>
    <s v="Completed"/>
    <s v="Hyderabad"/>
    <x v="1"/>
    <s v="Retail"/>
    <n v="26"/>
    <x v="3"/>
  </r>
  <r>
    <s v="ORD-00391"/>
    <x v="243"/>
    <s v="CUST-0019"/>
    <s v="PROD-043"/>
    <x v="3"/>
    <n v="10"/>
    <n v="3350"/>
    <n v="3.2"/>
    <n v="32428"/>
    <s v="Completed"/>
    <s v="Chennai"/>
    <x v="5"/>
    <s v="Retail"/>
    <n v="22"/>
    <x v="0"/>
  </r>
  <r>
    <s v="ORD-00392"/>
    <x v="244"/>
    <s v="CUST-0290"/>
    <s v="PROD-041"/>
    <x v="17"/>
    <n v="7"/>
    <n v="1540"/>
    <n v="0.5"/>
    <n v="10726.1"/>
    <s v="Completed"/>
    <s v="Delhi"/>
    <x v="5"/>
    <s v="Retail"/>
    <n v="63"/>
    <x v="2"/>
  </r>
  <r>
    <s v="ORD-00393"/>
    <x v="219"/>
    <s v="CUST-9557"/>
    <s v="PROD-014"/>
    <x v="17"/>
    <n v="10"/>
    <n v="3620"/>
    <n v="22"/>
    <n v="28236"/>
    <s v="Completed"/>
    <s v="Pune"/>
    <x v="0"/>
    <s v=""/>
    <s v=""/>
    <x v="2"/>
  </r>
  <r>
    <s v="ORD-00394"/>
    <x v="98"/>
    <s v="CUST-0291"/>
    <s v="PROD-053"/>
    <x v="17"/>
    <n v="2"/>
    <n v="470"/>
    <n v="26.5"/>
    <n v="690.9"/>
    <s v="Pending"/>
    <s v="Pune"/>
    <x v="1"/>
    <s v="SMB"/>
    <n v="29"/>
    <x v="2"/>
  </r>
  <r>
    <s v="ORD-00395"/>
    <x v="46"/>
    <s v="CUST-0045"/>
    <s v="PROD-028"/>
    <x v="9"/>
    <n v="6"/>
    <n v="3660"/>
    <n v="1.5"/>
    <n v="21630.6"/>
    <s v="Completed"/>
    <s v="Chennai"/>
    <x v="2"/>
    <s v="SMB"/>
    <n v="39"/>
    <x v="1"/>
  </r>
  <r>
    <s v="ORD-00396"/>
    <x v="39"/>
    <s v="CUST-0281"/>
    <s v="PROD-056"/>
    <x v="21"/>
    <n v="10"/>
    <n v="6940"/>
    <n v="1.9"/>
    <n v="68081.399999999994"/>
    <s v="Completed"/>
    <s v="Bengaluru"/>
    <x v="1"/>
    <s v="Corporate"/>
    <n v="57"/>
    <x v="3"/>
  </r>
  <r>
    <s v="ORD-00397"/>
    <x v="245"/>
    <s v="CUST-0073"/>
    <s v="PROD-042"/>
    <x v="1"/>
    <n v="8"/>
    <n v="2290"/>
    <n v="27.9"/>
    <n v="13208.72"/>
    <s v="Completed"/>
    <s v="Pune"/>
    <x v="5"/>
    <s v="Corporate"/>
    <n v="40"/>
    <x v="0"/>
  </r>
  <r>
    <s v="ORD-00398"/>
    <x v="52"/>
    <s v="CUST-0043"/>
    <s v="PROD-012"/>
    <x v="6"/>
    <n v="9"/>
    <n v="3160"/>
    <n v="10.199999999999999"/>
    <n v="25539.119999999999"/>
    <s v="Completed"/>
    <s v="Hyderabad"/>
    <x v="0"/>
    <s v="Retail"/>
    <n v="61"/>
    <x v="2"/>
  </r>
  <r>
    <s v="ORD-00399"/>
    <x v="246"/>
    <s v="CUST-0154"/>
    <s v="PROD-034"/>
    <x v="8"/>
    <n v="6"/>
    <n v="5080"/>
    <n v="25.4"/>
    <n v="22738.080000000002"/>
    <s v="Completed"/>
    <s v="Pune"/>
    <x v="3"/>
    <s v="Retail"/>
    <n v="36"/>
    <x v="2"/>
  </r>
  <r>
    <s v="ORD-00400"/>
    <x v="247"/>
    <s v="CUST-0061"/>
    <s v="PROD-021"/>
    <x v="27"/>
    <n v="6"/>
    <n v="2760"/>
    <n v="21.3"/>
    <n v="13032.72"/>
    <s v="Completed"/>
    <s v="Hyderabad"/>
    <x v="2"/>
    <s v="Retail"/>
    <n v="64"/>
    <x v="1"/>
  </r>
  <r>
    <s v="ORD-00401"/>
    <x v="32"/>
    <s v="CUST-9654"/>
    <s v="PROD-009"/>
    <x v="27"/>
    <n v="5"/>
    <n v="1220"/>
    <n v="7.6"/>
    <n v="5636.4"/>
    <s v="Completed"/>
    <s v="Mumbai"/>
    <x v="4"/>
    <s v=""/>
    <s v=""/>
    <x v="1"/>
  </r>
  <r>
    <s v="ORD-00402"/>
    <x v="81"/>
    <s v="CUST-0189"/>
    <s v="PROD-046"/>
    <x v="8"/>
    <n v="5"/>
    <n v="4880"/>
    <n v="8.5"/>
    <n v="22326"/>
    <s v="Completed"/>
    <s v="Chennai"/>
    <x v="5"/>
    <s v="Retail"/>
    <n v="41"/>
    <x v="2"/>
  </r>
  <r>
    <s v="ORD-00403"/>
    <x v="102"/>
    <s v="CUST-0152"/>
    <s v="PROD-026"/>
    <x v="24"/>
    <n v="7"/>
    <n v="4070"/>
    <n v="28"/>
    <n v="20512.8"/>
    <s v="Completed"/>
    <s v="Bengaluru"/>
    <x v="2"/>
    <s v="SMB"/>
    <n v="64"/>
    <x v="3"/>
  </r>
  <r>
    <s v="ORD-00404"/>
    <x v="47"/>
    <s v="CUST-0284"/>
    <s v="PROD-006"/>
    <x v="8"/>
    <n v="2"/>
    <n v="3970"/>
    <n v="14"/>
    <n v="6828.4"/>
    <s v="Completed"/>
    <s v="Hyderabad"/>
    <x v="4"/>
    <s v="SMB"/>
    <n v="65"/>
    <x v="2"/>
  </r>
  <r>
    <s v="ORD-00405"/>
    <x v="134"/>
    <s v="CUST-0175"/>
    <s v="PROD-008"/>
    <x v="26"/>
    <n v="9"/>
    <n v="2660"/>
    <n v="10.1"/>
    <n v="21522.06"/>
    <s v="Completed"/>
    <s v="Delhi"/>
    <x v="4"/>
    <s v="Corporate"/>
    <n v="55"/>
    <x v="3"/>
  </r>
  <r>
    <s v="ORD-00406"/>
    <x v="192"/>
    <s v="CUST-0093"/>
    <s v="PROD-055"/>
    <x v="24"/>
    <n v="9"/>
    <n v="2860"/>
    <n v="10.1"/>
    <n v="23140.26"/>
    <s v="Refunded"/>
    <s v="Pune"/>
    <x v="1"/>
    <s v="Retail"/>
    <n v="36"/>
    <x v="3"/>
  </r>
  <r>
    <s v="ORD-00407"/>
    <x v="157"/>
    <s v="CUST-0033"/>
    <s v="PROD-009"/>
    <x v="0"/>
    <n v="7"/>
    <n v="1220"/>
    <n v="23.5"/>
    <n v="6533.1"/>
    <s v="Refunded"/>
    <s v="Delhi"/>
    <x v="4"/>
    <s v="Retail"/>
    <n v="35"/>
    <x v="0"/>
  </r>
  <r>
    <s v="ORD-00408"/>
    <x v="241"/>
    <s v="CUST-0294"/>
    <s v="PROD-022"/>
    <x v="17"/>
    <n v="1"/>
    <n v="2270"/>
    <n v="5.8"/>
    <n v="2138.34"/>
    <s v="Cancelled"/>
    <s v="Delhi"/>
    <x v="2"/>
    <s v="Corporate"/>
    <n v="31"/>
    <x v="2"/>
  </r>
  <r>
    <s v="ORD-00409"/>
    <x v="248"/>
    <s v="CUST-0115"/>
    <s v="PROD-037"/>
    <x v="25"/>
    <n v="2"/>
    <n v="660"/>
    <n v="2.2999999999999998"/>
    <n v="1289.6400000000001"/>
    <s v="Completed"/>
    <s v="Mumbai"/>
    <x v="3"/>
    <s v="SMB"/>
    <n v="65"/>
    <x v="0"/>
  </r>
  <r>
    <s v="ORD-00410"/>
    <x v="236"/>
    <s v="CUST-0219"/>
    <s v="PROD-012"/>
    <x v="2"/>
    <n v="1"/>
    <n v="3160"/>
    <n v="5.6"/>
    <n v="2983.04"/>
    <s v="Completed"/>
    <s v="Chennai"/>
    <x v="0"/>
    <s v="Corporate"/>
    <n v="38"/>
    <x v="1"/>
  </r>
  <r>
    <s v="ORD-00411"/>
    <x v="199"/>
    <s v="CUST-0180"/>
    <s v="PROD-002"/>
    <x v="22"/>
    <n v="1"/>
    <n v="2600"/>
    <n v="1"/>
    <n v="2574"/>
    <s v="Completed"/>
    <s v="Chennai"/>
    <x v="4"/>
    <s v="Retail"/>
    <n v="36"/>
    <x v="1"/>
  </r>
  <r>
    <s v="ORD-00412"/>
    <x v="50"/>
    <s v="CUST-0148"/>
    <s v="PROD-039"/>
    <x v="2"/>
    <n v="4"/>
    <n v="4610"/>
    <n v="18.7"/>
    <n v="14991.72"/>
    <s v="Completed"/>
    <s v="Chennai"/>
    <x v="3"/>
    <s v="Retail"/>
    <n v="32"/>
    <x v="1"/>
  </r>
  <r>
    <s v="ORD-00413"/>
    <x v="249"/>
    <s v="CUST-0026"/>
    <s v="PROD-013"/>
    <x v="26"/>
    <n v="3"/>
    <n v="3640"/>
    <n v="9.6999999999999993"/>
    <n v="9860.76"/>
    <s v="Cancelled"/>
    <s v="Pune"/>
    <x v="0"/>
    <s v="Retail"/>
    <n v="62"/>
    <x v="3"/>
  </r>
  <r>
    <s v="ORD-00414"/>
    <x v="120"/>
    <s v="CUST-0246"/>
    <s v="PROD-015"/>
    <x v="10"/>
    <n v="6"/>
    <n v="2720"/>
    <n v="13"/>
    <n v="14198.4"/>
    <s v="Pending"/>
    <s v="Delhi"/>
    <x v="0"/>
    <s v="SMB"/>
    <n v="29"/>
    <x v="0"/>
  </r>
  <r>
    <s v="ORD-00415"/>
    <x v="128"/>
    <s v="CUST-0125"/>
    <s v="PROD-059"/>
    <x v="4"/>
    <n v="5"/>
    <n v="3780"/>
    <n v="15.2"/>
    <n v="16027.2"/>
    <s v="Completed"/>
    <s v="Delhi"/>
    <x v="1"/>
    <s v="Retail"/>
    <n v="45"/>
    <x v="0"/>
  </r>
  <r>
    <s v="ORD-00416"/>
    <x v="192"/>
    <s v="CUST-0190"/>
    <s v="PROD-035"/>
    <x v="14"/>
    <n v="9"/>
    <n v="1090"/>
    <n v="28.5"/>
    <n v="7014.15"/>
    <s v="Completed"/>
    <s v="Hyderabad"/>
    <x v="3"/>
    <s v="Retail"/>
    <n v="52"/>
    <x v="2"/>
  </r>
  <r>
    <s v="ORD-00417"/>
    <x v="248"/>
    <s v="CUST-0085"/>
    <s v="PROD-035"/>
    <x v="8"/>
    <n v="6"/>
    <n v="1090"/>
    <n v="28.7"/>
    <n v="4663.0200000000004"/>
    <s v="Completed"/>
    <s v="Chennai"/>
    <x v="3"/>
    <s v="Retail"/>
    <n v="26"/>
    <x v="2"/>
  </r>
  <r>
    <s v="ORD-00418"/>
    <x v="250"/>
    <s v="CUST-0249"/>
    <s v="PROD-017"/>
    <x v="14"/>
    <n v="5"/>
    <n v="2510"/>
    <n v="25"/>
    <n v="9412.5"/>
    <s v="Completed"/>
    <s v="Mumbai"/>
    <x v="0"/>
    <s v="Retail"/>
    <n v="44"/>
    <x v="2"/>
  </r>
  <r>
    <s v="ORD-00419"/>
    <x v="251"/>
    <s v="CUST-0012"/>
    <s v="PROD-006"/>
    <x v="9"/>
    <n v="5"/>
    <n v="3970"/>
    <n v="26"/>
    <n v="14689"/>
    <s v="Completed"/>
    <s v="Pune"/>
    <x v="4"/>
    <s v="Retail"/>
    <n v="43"/>
    <x v="1"/>
  </r>
  <r>
    <s v="ORD-00420"/>
    <x v="144"/>
    <s v="CUST-0251"/>
    <s v="PROD-026"/>
    <x v="19"/>
    <n v="9"/>
    <n v="4070"/>
    <n v="15.7"/>
    <n v="30879.09"/>
    <s v="Completed"/>
    <s v="Mumbai"/>
    <x v="2"/>
    <s v="Retail"/>
    <n v="44"/>
    <x v="0"/>
  </r>
  <r>
    <s v="ORD-00421"/>
    <x v="196"/>
    <s v="CUST-0088"/>
    <s v="PROD-038"/>
    <x v="10"/>
    <n v="6"/>
    <n v="5490"/>
    <n v="8.5"/>
    <n v="30140.1"/>
    <s v="Refunded"/>
    <s v="Chennai"/>
    <x v="3"/>
    <s v="Retail"/>
    <n v="24"/>
    <x v="0"/>
  </r>
  <r>
    <s v="ORD-00422"/>
    <x v="70"/>
    <s v="CUST-0037"/>
    <s v="PROD-054"/>
    <x v="24"/>
    <n v="9"/>
    <n v="1010"/>
    <n v="3.6"/>
    <n v="8762.76"/>
    <s v="Completed"/>
    <s v="Bengaluru"/>
    <x v="1"/>
    <s v="Retail"/>
    <n v="52"/>
    <x v="3"/>
  </r>
  <r>
    <s v="ORD-00423"/>
    <x v="252"/>
    <s v="CUST-0039"/>
    <s v="PROD-028"/>
    <x v="4"/>
    <n v="6"/>
    <n v="3660"/>
    <n v="10.8"/>
    <n v="19588.32"/>
    <s v="Completed"/>
    <s v="Bengaluru"/>
    <x v="2"/>
    <s v="Retail"/>
    <n v="37"/>
    <x v="0"/>
  </r>
  <r>
    <s v="ORD-00424"/>
    <x v="111"/>
    <s v="CUST-0106"/>
    <s v="PROD-047"/>
    <x v="29"/>
    <n v="6"/>
    <n v="3450"/>
    <n v="10.7"/>
    <n v="18485.099999999999"/>
    <s v="Completed"/>
    <s v="Pune"/>
    <x v="5"/>
    <s v="Retail"/>
    <n v="22"/>
    <x v="1"/>
  </r>
  <r>
    <s v="ORD-00425"/>
    <x v="229"/>
    <s v="CUST-0222"/>
    <s v="PROD-026"/>
    <x v="23"/>
    <n v="10"/>
    <n v="4070"/>
    <n v="23.4"/>
    <n v="31176.2"/>
    <s v="Refunded"/>
    <s v="Chennai"/>
    <x v="2"/>
    <s v="Retail"/>
    <n v="37"/>
    <x v="1"/>
  </r>
  <r>
    <s v="ORD-00426"/>
    <x v="253"/>
    <s v="CUST-0130"/>
    <s v="PROD-003"/>
    <x v="5"/>
    <n v="9"/>
    <n v="3570"/>
    <n v="15.2"/>
    <n v="27246.240000000002"/>
    <s v="Completed"/>
    <s v="Bengaluru"/>
    <x v="4"/>
    <s v="Corporate"/>
    <n v="41"/>
    <x v="2"/>
  </r>
  <r>
    <s v="ORD-00427"/>
    <x v="254"/>
    <s v="CUST-0281"/>
    <s v="PROD-056"/>
    <x v="1"/>
    <n v="10"/>
    <n v="6940"/>
    <n v="21.8"/>
    <n v="54270.8"/>
    <s v="Pending"/>
    <s v="Bengaluru"/>
    <x v="1"/>
    <s v="Corporate"/>
    <n v="57"/>
    <x v="0"/>
  </r>
  <r>
    <s v="ORD-00428"/>
    <x v="135"/>
    <s v="CUST-0094"/>
    <s v="PROD-044"/>
    <x v="2"/>
    <n v="9"/>
    <n v="1650"/>
    <n v="24.3"/>
    <n v="11241.45"/>
    <s v="Completed"/>
    <s v="Pune"/>
    <x v="5"/>
    <s v="SMB"/>
    <n v="60"/>
    <x v="1"/>
  </r>
  <r>
    <s v="ORD-00429"/>
    <x v="207"/>
    <s v="CUST-0271"/>
    <s v="PROD-007"/>
    <x v="2"/>
    <n v="10"/>
    <n v="1430"/>
    <n v="25.2"/>
    <n v="10696.4"/>
    <s v="Completed"/>
    <s v="Bengaluru"/>
    <x v="4"/>
    <s v="Corporate"/>
    <n v="41"/>
    <x v="1"/>
  </r>
  <r>
    <s v="ORD-00430"/>
    <x v="178"/>
    <s v="CUST-0110"/>
    <s v="PROD-025"/>
    <x v="9"/>
    <n v="4"/>
    <n v="4060"/>
    <n v="1.6"/>
    <n v="15980.16"/>
    <s v="Completed"/>
    <s v="Pune"/>
    <x v="2"/>
    <s v="Corporate"/>
    <n v="31"/>
    <x v="1"/>
  </r>
  <r>
    <s v="ORD-00431"/>
    <x v="103"/>
    <s v="CUST-0262"/>
    <s v="PROD-032"/>
    <x v="1"/>
    <n v="9"/>
    <n v="370"/>
    <n v="17"/>
    <n v="2763.9"/>
    <s v="Completed"/>
    <s v="Mumbai"/>
    <x v="3"/>
    <s v="Retail"/>
    <n v="52"/>
    <x v="0"/>
  </r>
  <r>
    <s v="ORD-00432"/>
    <x v="94"/>
    <s v="CUST-0157"/>
    <s v="PROD-041"/>
    <x v="9"/>
    <n v="1"/>
    <n v="1540"/>
    <n v="24"/>
    <n v="1170.4000000000001"/>
    <s v="Cancelled"/>
    <s v="Pune"/>
    <x v="5"/>
    <s v="Corporate"/>
    <n v="52"/>
    <x v="1"/>
  </r>
  <r>
    <s v="ORD-00433"/>
    <x v="143"/>
    <s v="CUST-0135"/>
    <s v="PROD-002"/>
    <x v="5"/>
    <n v="9"/>
    <n v="2600"/>
    <n v="7.7"/>
    <n v="21598.2"/>
    <s v="Completed"/>
    <s v="Pune"/>
    <x v="4"/>
    <s v="SMB"/>
    <n v="24"/>
    <x v="2"/>
  </r>
  <r>
    <s v="ORD-00434"/>
    <x v="255"/>
    <s v="CUST-0136"/>
    <s v="PROD-017"/>
    <x v="15"/>
    <n v="8"/>
    <n v="2510"/>
    <n v="3.7"/>
    <n v="19337.04"/>
    <s v="Completed"/>
    <s v="Chennai"/>
    <x v="0"/>
    <s v="SMB"/>
    <n v="26"/>
    <x v="1"/>
  </r>
  <r>
    <s v="ORD-00435"/>
    <x v="256"/>
    <s v="CUST-0110"/>
    <s v="PROD-001"/>
    <x v="11"/>
    <n v="6"/>
    <n v="5330"/>
    <n v="8.4"/>
    <n v="29293.68"/>
    <s v="Completed"/>
    <s v="Pune"/>
    <x v="4"/>
    <s v="Corporate"/>
    <n v="31"/>
    <x v="0"/>
  </r>
  <r>
    <s v="ORD-00436"/>
    <x v="190"/>
    <s v="CUST-0192"/>
    <s v="PROD-034"/>
    <x v="2"/>
    <n v="5"/>
    <n v="5080"/>
    <n v="10.3"/>
    <n v="22783.8"/>
    <s v="Completed"/>
    <s v="Bengaluru"/>
    <x v="3"/>
    <s v="Retail"/>
    <n v="55"/>
    <x v="1"/>
  </r>
  <r>
    <s v="ORD-00437"/>
    <x v="257"/>
    <s v="CUST-0169"/>
    <s v="PROD-026"/>
    <x v="5"/>
    <n v="3"/>
    <n v="4070"/>
    <n v="23.7"/>
    <n v="9316.23"/>
    <s v="Completed"/>
    <s v="Bengaluru"/>
    <x v="2"/>
    <s v="SMB"/>
    <n v="42"/>
    <x v="2"/>
  </r>
  <r>
    <s v="ORD-00438"/>
    <x v="187"/>
    <s v="CUST-0086"/>
    <s v="PROD-016"/>
    <x v="22"/>
    <n v="4"/>
    <n v="620"/>
    <n v="18.8"/>
    <n v="2013.76"/>
    <s v="Completed"/>
    <s v="Hyderabad"/>
    <x v="0"/>
    <s v="Corporate"/>
    <n v="56"/>
    <x v="1"/>
  </r>
  <r>
    <s v="ORD-00439"/>
    <x v="108"/>
    <s v="CUST-0217"/>
    <s v="PROD-010"/>
    <x v="21"/>
    <n v="10"/>
    <n v="2640"/>
    <n v="12.7"/>
    <n v="23047.200000000001"/>
    <s v="Completed"/>
    <s v="Pune"/>
    <x v="4"/>
    <s v="SMB"/>
    <n v="59"/>
    <x v="3"/>
  </r>
  <r>
    <s v="ORD-00440"/>
    <x v="179"/>
    <s v="CUST-0119"/>
    <s v="PROD-026"/>
    <x v="14"/>
    <n v="2"/>
    <n v="4070"/>
    <n v="29"/>
    <n v="5779.4"/>
    <s v="Completed"/>
    <s v="Bengaluru"/>
    <x v="2"/>
    <s v="SMB"/>
    <n v="43"/>
    <x v="2"/>
  </r>
  <r>
    <s v="ORD-00441"/>
    <x v="230"/>
    <s v="CUST-0011"/>
    <s v="PROD-054"/>
    <x v="0"/>
    <n v="8"/>
    <n v="1010"/>
    <n v="25.4"/>
    <n v="6027.68"/>
    <s v="Completed"/>
    <s v="Chennai"/>
    <x v="1"/>
    <s v="Corporate"/>
    <n v="41"/>
    <x v="0"/>
  </r>
  <r>
    <s v="ORD-00442"/>
    <x v="98"/>
    <s v="CUST-0059"/>
    <s v="PROD-036"/>
    <x v="1"/>
    <n v="8"/>
    <n v="3250"/>
    <n v="5.4"/>
    <n v="24596"/>
    <s v="Completed"/>
    <s v="Pune"/>
    <x v="3"/>
    <s v="Corporate"/>
    <n v="29"/>
    <x v="0"/>
  </r>
  <r>
    <s v="ORD-00443"/>
    <x v="151"/>
    <s v="CUST-0210"/>
    <s v="PROD-007"/>
    <x v="18"/>
    <n v="7"/>
    <n v="1430"/>
    <n v="19.3"/>
    <n v="8078.07"/>
    <s v="Completed"/>
    <s v="Pune"/>
    <x v="4"/>
    <s v="Corporate"/>
    <n v="48"/>
    <x v="1"/>
  </r>
  <r>
    <s v="ORD-00444"/>
    <x v="100"/>
    <s v="CUST-0145"/>
    <s v="PROD-045"/>
    <x v="26"/>
    <n v="9"/>
    <n v="3020"/>
    <n v="15"/>
    <n v="23103"/>
    <s v="Completed"/>
    <s v="Bengaluru"/>
    <x v="5"/>
    <s v="SMB"/>
    <n v="44"/>
    <x v="3"/>
  </r>
  <r>
    <s v="ORD-00445"/>
    <x v="258"/>
    <s v="CUST-9626"/>
    <s v="PROD-008"/>
    <x v="25"/>
    <n v="2"/>
    <n v="2660"/>
    <n v="21.4"/>
    <n v="4181.5200000000004"/>
    <s v="Completed"/>
    <s v="Chennai"/>
    <x v="4"/>
    <s v=""/>
    <s v=""/>
    <x v="0"/>
  </r>
  <r>
    <s v="ORD-00446"/>
    <x v="156"/>
    <s v="CUST-0250"/>
    <s v="PROD-003"/>
    <x v="7"/>
    <n v="10"/>
    <n v="3570"/>
    <n v="20.3"/>
    <n v="28452.9"/>
    <s v="Completed"/>
    <s v="Delhi"/>
    <x v="4"/>
    <s v="Retail"/>
    <n v="31"/>
    <x v="3"/>
  </r>
  <r>
    <s v="ORD-00447"/>
    <x v="259"/>
    <s v="CUST-0241"/>
    <s v="PROD-043"/>
    <x v="9"/>
    <n v="4"/>
    <n v="3350"/>
    <n v="28.1"/>
    <n v="9634.6"/>
    <s v="Completed"/>
    <s v="Pune"/>
    <x v="5"/>
    <s v="Corporate"/>
    <n v="47"/>
    <x v="1"/>
  </r>
  <r>
    <s v="ORD-00448"/>
    <x v="260"/>
    <s v="CUST-0071"/>
    <s v="PROD-019"/>
    <x v="13"/>
    <n v="1"/>
    <n v="2480"/>
    <n v="13.5"/>
    <n v="2145.1999999999998"/>
    <s v="Completed"/>
    <s v="Delhi"/>
    <x v="0"/>
    <s v="Corporate"/>
    <n v="46"/>
    <x v="3"/>
  </r>
  <r>
    <s v="ORD-00449"/>
    <x v="51"/>
    <s v="CUST-0017"/>
    <s v="PROD-052"/>
    <x v="15"/>
    <n v="10"/>
    <n v="5410"/>
    <n v="26.1"/>
    <n v="39979.9"/>
    <s v="Completed"/>
    <s v="Delhi"/>
    <x v="1"/>
    <s v="SMB"/>
    <n v="38"/>
    <x v="1"/>
  </r>
  <r>
    <s v="ORD-00450"/>
    <x v="261"/>
    <s v="CUST-0007"/>
    <s v="PROD-037"/>
    <x v="12"/>
    <n v="2"/>
    <n v="660"/>
    <n v="5"/>
    <n v="1254"/>
    <s v="Completed"/>
    <s v="Bengaluru"/>
    <x v="3"/>
    <s v="Retail"/>
    <n v="47"/>
    <x v="3"/>
  </r>
  <r>
    <s v="ORD-00451"/>
    <x v="262"/>
    <s v="CUST-0054"/>
    <s v="PROD-054"/>
    <x v="0"/>
    <n v="10"/>
    <n v="1010"/>
    <n v="10"/>
    <n v="9090"/>
    <s v="Completed"/>
    <s v="Mumbai"/>
    <x v="1"/>
    <s v="Corporate"/>
    <n v="62"/>
    <x v="0"/>
  </r>
  <r>
    <s v="ORD-00452"/>
    <x v="263"/>
    <s v="CUST-0038"/>
    <s v="PROD-042"/>
    <x v="19"/>
    <n v="3"/>
    <n v="2290"/>
    <n v="8.9"/>
    <n v="6258.57"/>
    <s v="Completed"/>
    <s v="Mumbai"/>
    <x v="5"/>
    <s v="Retail"/>
    <n v="57"/>
    <x v="0"/>
  </r>
  <r>
    <s v="ORD-00453"/>
    <x v="264"/>
    <s v="CUST-0066"/>
    <s v="PROD-047"/>
    <x v="19"/>
    <n v="9"/>
    <n v="3450"/>
    <n v="24.3"/>
    <n v="23504.85"/>
    <s v="Completed"/>
    <s v="Delhi"/>
    <x v="5"/>
    <s v="Retail"/>
    <n v="24"/>
    <x v="0"/>
  </r>
  <r>
    <s v="ORD-00454"/>
    <x v="44"/>
    <s v="CUST-0161"/>
    <s v="PROD-013"/>
    <x v="11"/>
    <n v="10"/>
    <n v="3640"/>
    <n v="21.4"/>
    <n v="28610.400000000001"/>
    <s v="Cancelled"/>
    <s v="Chennai"/>
    <x v="0"/>
    <s v="Retail"/>
    <n v="38"/>
    <x v="0"/>
  </r>
  <r>
    <s v="ORD-00455"/>
    <x v="260"/>
    <s v="CUST-0072"/>
    <s v="PROD-023"/>
    <x v="15"/>
    <n v="5"/>
    <n v="2380"/>
    <n v="12.2"/>
    <n v="10448.200000000001"/>
    <s v="Completed"/>
    <s v="Mumbai"/>
    <x v="2"/>
    <s v="Corporate"/>
    <n v="62"/>
    <x v="1"/>
  </r>
  <r>
    <s v="ORD-00456"/>
    <x v="265"/>
    <s v="CUST-0232"/>
    <s v="PROD-052"/>
    <x v="21"/>
    <n v="10"/>
    <n v="5410"/>
    <n v="29.8"/>
    <n v="37978.199999999997"/>
    <s v="Completed"/>
    <s v="Hyderabad"/>
    <x v="1"/>
    <s v="Retail"/>
    <n v="38"/>
    <x v="3"/>
  </r>
  <r>
    <s v="ORD-00457"/>
    <x v="67"/>
    <s v="CUST-0054"/>
    <s v="PROD-044"/>
    <x v="13"/>
    <n v="3"/>
    <n v="1650"/>
    <n v="9.4"/>
    <n v="4484.7"/>
    <s v="Cancelled"/>
    <s v="Mumbai"/>
    <x v="5"/>
    <s v="Corporate"/>
    <n v="62"/>
    <x v="3"/>
  </r>
  <r>
    <s v="ORD-00458"/>
    <x v="266"/>
    <s v="CUST-0214"/>
    <s v="PROD-002"/>
    <x v="24"/>
    <n v="7"/>
    <n v="2600"/>
    <n v="19.899999999999999"/>
    <n v="14578.2"/>
    <s v="Pending"/>
    <s v="Mumbai"/>
    <x v="4"/>
    <s v="Retail"/>
    <n v="22"/>
    <x v="3"/>
  </r>
  <r>
    <s v="ORD-00135"/>
    <x v="267"/>
    <s v="CUST-0236"/>
    <s v="PROD-039"/>
    <x v="25"/>
    <n v="4"/>
    <n v="4610"/>
    <n v="13.2"/>
    <n v="16005.92"/>
    <s v="Completed"/>
    <s v="Hyderabad"/>
    <x v="3"/>
    <s v="SMB"/>
    <n v="28"/>
    <x v="0"/>
  </r>
  <r>
    <s v="ORD-00460"/>
    <x v="268"/>
    <s v="CUST-0031"/>
    <s v="PROD-039"/>
    <x v="13"/>
    <n v="9"/>
    <n v="4610"/>
    <n v="25.8"/>
    <n v="30785.58"/>
    <s v="Completed"/>
    <s v="Hyderabad"/>
    <x v="3"/>
    <s v="Retail"/>
    <n v="53"/>
    <x v="3"/>
  </r>
  <r>
    <s v="ORD-00461"/>
    <x v="269"/>
    <s v="CUST-0123"/>
    <s v="PROD-005"/>
    <x v="2"/>
    <n v="5"/>
    <n v="300"/>
    <n v="11.8"/>
    <n v="1323"/>
    <s v="Completed"/>
    <s v="Chennai"/>
    <x v="4"/>
    <s v="Corporate"/>
    <n v="44"/>
    <x v="1"/>
  </r>
  <r>
    <s v="ORD-00462"/>
    <x v="270"/>
    <s v="CUST-0019"/>
    <s v="PROD-011"/>
    <x v="16"/>
    <n v="3"/>
    <n v="3450"/>
    <n v="14.2"/>
    <n v="8880.2999999999993"/>
    <s v="Completed"/>
    <s v="Chennai"/>
    <x v="0"/>
    <s v="Retail"/>
    <n v="22"/>
    <x v="3"/>
  </r>
  <r>
    <s v="ORD-00463"/>
    <x v="271"/>
    <s v="CUST-0171"/>
    <s v="PROD-015"/>
    <x v="8"/>
    <n v="2"/>
    <n v="2720"/>
    <n v="14.6"/>
    <n v="4645.76"/>
    <s v="Cancelled"/>
    <s v="Chennai"/>
    <x v="0"/>
    <s v="Corporate"/>
    <n v="30"/>
    <x v="2"/>
  </r>
  <r>
    <s v="ORD-00464"/>
    <x v="17"/>
    <s v="CUST-0166"/>
    <s v="PROD-008"/>
    <x v="21"/>
    <n v="7"/>
    <n v="2660"/>
    <n v="27.4"/>
    <n v="13518.12"/>
    <s v="Cancelled"/>
    <s v="Hyderabad"/>
    <x v="4"/>
    <s v="Retail"/>
    <n v="31"/>
    <x v="3"/>
  </r>
  <r>
    <s v="ORD-00465"/>
    <x v="272"/>
    <s v="CUST-0151"/>
    <s v="PROD-051"/>
    <x v="1"/>
    <n v="8"/>
    <n v="3450"/>
    <n v="20.399999999999999"/>
    <n v="21969.599999999999"/>
    <s v="Completed"/>
    <s v="Mumbai"/>
    <x v="1"/>
    <s v="Retail"/>
    <n v="53"/>
    <x v="0"/>
  </r>
  <r>
    <s v="ORD-00466"/>
    <x v="273"/>
    <s v="CUST-0027"/>
    <s v="PROD-052"/>
    <x v="29"/>
    <n v="2"/>
    <n v="5410"/>
    <n v="7.2"/>
    <n v="10040.959999999999"/>
    <s v="Completed"/>
    <s v="Hyderabad"/>
    <x v="1"/>
    <s v="Corporate"/>
    <n v="52"/>
    <x v="1"/>
  </r>
  <r>
    <s v="ORD-00467"/>
    <x v="162"/>
    <s v="CUST-0171"/>
    <s v="PROD-004"/>
    <x v="22"/>
    <n v="3"/>
    <n v="3870"/>
    <n v="4.2"/>
    <n v="11122.38"/>
    <s v="Completed"/>
    <s v="Chennai"/>
    <x v="4"/>
    <s v="Corporate"/>
    <n v="30"/>
    <x v="1"/>
  </r>
  <r>
    <s v="ORD-00468"/>
    <x v="60"/>
    <s v="CUST-0094"/>
    <s v="PROD-024"/>
    <x v="1"/>
    <n v="10"/>
    <n v="2270"/>
    <n v="17.3"/>
    <n v="18772.900000000001"/>
    <s v="Completed"/>
    <s v="Pune"/>
    <x v="2"/>
    <s v="SMB"/>
    <n v="60"/>
    <x v="0"/>
  </r>
  <r>
    <s v="ORD-00469"/>
    <x v="18"/>
    <s v="CUST-0223"/>
    <s v="PROD-001"/>
    <x v="5"/>
    <n v="1"/>
    <n v="5330"/>
    <n v="24.2"/>
    <n v="4040.14"/>
    <s v="Completed"/>
    <s v="Bengaluru"/>
    <x v="4"/>
    <s v="Retail"/>
    <n v="46"/>
    <x v="2"/>
  </r>
  <r>
    <s v="ORD-00470"/>
    <x v="85"/>
    <s v="CUST-0281"/>
    <s v="PROD-043"/>
    <x v="15"/>
    <n v="2"/>
    <n v="3350"/>
    <n v="23.4"/>
    <n v="5132.2"/>
    <s v="Completed"/>
    <s v="Bengaluru"/>
    <x v="5"/>
    <s v="Corporate"/>
    <n v="57"/>
    <x v="1"/>
  </r>
  <r>
    <s v="ORD-00471"/>
    <x v="274"/>
    <s v="CUST-0148"/>
    <s v="PROD-045"/>
    <x v="3"/>
    <n v="7"/>
    <n v="3020"/>
    <n v="23.7"/>
    <n v="16129.82"/>
    <s v="Completed"/>
    <s v="Chennai"/>
    <x v="5"/>
    <s v="Retail"/>
    <n v="32"/>
    <x v="0"/>
  </r>
  <r>
    <s v="ORD-00472"/>
    <x v="275"/>
    <s v="CUST-0010"/>
    <s v="PROD-012"/>
    <x v="16"/>
    <n v="7"/>
    <n v="3160"/>
    <n v="22.8"/>
    <n v="17076.64"/>
    <s v="Completed"/>
    <s v="Mumbai"/>
    <x v="0"/>
    <s v="SMB"/>
    <n v="61"/>
    <x v="3"/>
  </r>
  <r>
    <s v="ORD-00473"/>
    <x v="110"/>
    <s v="CUST-0254"/>
    <s v="PROD-053"/>
    <x v="16"/>
    <n v="2"/>
    <n v="470"/>
    <n v="28.8"/>
    <n v="669.28"/>
    <s v="Cancelled"/>
    <s v="Bengaluru"/>
    <x v="1"/>
    <s v="Retail"/>
    <n v="35"/>
    <x v="3"/>
  </r>
  <r>
    <s v="ORD-00474"/>
    <x v="253"/>
    <s v="CUST-0126"/>
    <s v="PROD-036"/>
    <x v="13"/>
    <n v="2"/>
    <n v="3250"/>
    <n v="24.7"/>
    <n v="4894.5"/>
    <s v="Completed"/>
    <s v="Mumbai"/>
    <x v="3"/>
    <s v="Retail"/>
    <n v="37"/>
    <x v="3"/>
  </r>
  <r>
    <s v="ORD-00475"/>
    <x v="252"/>
    <s v="CUST-0018"/>
    <s v="PROD-054"/>
    <x v="12"/>
    <n v="2"/>
    <n v="1010"/>
    <n v="5.2"/>
    <n v="1914.96"/>
    <s v="Cancelled"/>
    <s v="Pune"/>
    <x v="1"/>
    <s v="SMB"/>
    <n v="54"/>
    <x v="3"/>
  </r>
  <r>
    <s v="ORD-00476"/>
    <x v="276"/>
    <s v="CUST-0089"/>
    <s v="PROD-005"/>
    <x v="19"/>
    <n v="9"/>
    <n v="300"/>
    <n v="7.9"/>
    <n v="2486.6999999999998"/>
    <s v="Completed"/>
    <s v="Mumbai"/>
    <x v="4"/>
    <s v="SMB"/>
    <n v="43"/>
    <x v="0"/>
  </r>
  <r>
    <s v="ORD-00477"/>
    <x v="277"/>
    <s v="CUST-0157"/>
    <s v="PROD-048"/>
    <x v="3"/>
    <n v="10"/>
    <n v="5100"/>
    <n v="26.3"/>
    <n v="37587"/>
    <s v="Pending"/>
    <s v="Pune"/>
    <x v="5"/>
    <s v="Corporate"/>
    <n v="52"/>
    <x v="0"/>
  </r>
  <r>
    <s v="ORD-00478"/>
    <x v="278"/>
    <s v="CUST-0201"/>
    <s v="PROD-043"/>
    <x v="8"/>
    <n v="1"/>
    <n v="3350"/>
    <n v="8.5"/>
    <n v="3065.25"/>
    <s v="Cancelled"/>
    <s v="Hyderabad"/>
    <x v="5"/>
    <s v="Retail"/>
    <n v="31"/>
    <x v="2"/>
  </r>
  <r>
    <s v="ORD-01195"/>
    <x v="211"/>
    <s v="CUST-0091"/>
    <s v="PROD-036"/>
    <x v="24"/>
    <n v="2"/>
    <n v="3250"/>
    <n v="25.7"/>
    <n v="4829.5"/>
    <s v="Refunded"/>
    <s v="Delhi"/>
    <x v="3"/>
    <s v="Retail"/>
    <n v="55"/>
    <x v="3"/>
  </r>
  <r>
    <s v="ORD-00480"/>
    <x v="279"/>
    <s v="CUST-0052"/>
    <s v="PROD-028"/>
    <x v="4"/>
    <n v="10"/>
    <n v="3660"/>
    <n v="12"/>
    <n v="32208"/>
    <s v="Completed"/>
    <s v="Pune"/>
    <x v="2"/>
    <s v="Retail"/>
    <n v="38"/>
    <x v="0"/>
  </r>
  <r>
    <s v="ORD-00481"/>
    <x v="126"/>
    <s v="CUST-0069"/>
    <s v="PROD-058"/>
    <x v="18"/>
    <n v="1"/>
    <n v="2400"/>
    <n v="24.5"/>
    <n v="1812"/>
    <s v="Completed"/>
    <s v="Chennai"/>
    <x v="1"/>
    <s v="Retail"/>
    <n v="51"/>
    <x v="1"/>
  </r>
  <r>
    <s v="ORD-00482"/>
    <x v="263"/>
    <s v="CUST-0294"/>
    <s v="PROD-035"/>
    <x v="9"/>
    <n v="1"/>
    <n v="1090"/>
    <n v="18.399999999999999"/>
    <n v="889.44"/>
    <s v="Completed"/>
    <s v="Delhi"/>
    <x v="3"/>
    <s v="Corporate"/>
    <n v="31"/>
    <x v="1"/>
  </r>
  <r>
    <s v="ORD-00483"/>
    <x v="280"/>
    <s v="CUST-0019"/>
    <s v="PROD-059"/>
    <x v="15"/>
    <n v="6"/>
    <n v="3780"/>
    <n v="15.9"/>
    <n v="19073.88"/>
    <s v="Completed"/>
    <s v="Chennai"/>
    <x v="1"/>
    <s v="Retail"/>
    <n v="22"/>
    <x v="1"/>
  </r>
  <r>
    <s v="ORD-00484"/>
    <x v="259"/>
    <s v="CUST-0087"/>
    <s v="PROD-043"/>
    <x v="7"/>
    <n v="3"/>
    <n v="3350"/>
    <n v="18.8"/>
    <n v="8160.6"/>
    <s v="Refunded"/>
    <s v="Pune"/>
    <x v="5"/>
    <s v="SMB"/>
    <n v="49"/>
    <x v="3"/>
  </r>
  <r>
    <s v="ORD-00485"/>
    <x v="46"/>
    <s v="CUST-0281"/>
    <s v="PROD-040"/>
    <x v="14"/>
    <n v="3"/>
    <n v="1080"/>
    <n v="3.4"/>
    <n v="3129.84"/>
    <s v="Completed"/>
    <s v="Bengaluru"/>
    <x v="3"/>
    <s v="Corporate"/>
    <n v="57"/>
    <x v="2"/>
  </r>
  <r>
    <s v="ORD-00486"/>
    <x v="281"/>
    <s v="CUST-0248"/>
    <s v="PROD-026"/>
    <x v="24"/>
    <n v="6"/>
    <n v="4070"/>
    <n v="27.7"/>
    <n v="17655.66"/>
    <s v="Pending"/>
    <s v="Chennai"/>
    <x v="2"/>
    <s v="SMB"/>
    <n v="57"/>
    <x v="3"/>
  </r>
  <r>
    <s v="ORD-00487"/>
    <x v="282"/>
    <s v="CUST-0019"/>
    <s v="PROD-041"/>
    <x v="17"/>
    <n v="5"/>
    <n v="1540"/>
    <n v="24.9"/>
    <n v="5782.7"/>
    <s v="Completed"/>
    <s v="Chennai"/>
    <x v="5"/>
    <s v="Retail"/>
    <n v="22"/>
    <x v="2"/>
  </r>
  <r>
    <s v="ORD-00488"/>
    <x v="255"/>
    <s v="CUST-0092"/>
    <s v="PROD-021"/>
    <x v="8"/>
    <n v="6"/>
    <n v="2760"/>
    <n v="29.9"/>
    <n v="11608.56"/>
    <s v="Completed"/>
    <s v="Bengaluru"/>
    <x v="2"/>
    <s v="SMB"/>
    <n v="28"/>
    <x v="2"/>
  </r>
  <r>
    <s v="ORD-00489"/>
    <x v="167"/>
    <s v="CUST-0195"/>
    <s v="PROD-006"/>
    <x v="24"/>
    <n v="8"/>
    <n v="3970"/>
    <n v="23.7"/>
    <n v="24232.880000000001"/>
    <s v="Completed"/>
    <s v="Bengaluru"/>
    <x v="4"/>
    <s v="Retail"/>
    <n v="28"/>
    <x v="3"/>
  </r>
  <r>
    <s v="ORD-00490"/>
    <x v="254"/>
    <s v="CUST-0126"/>
    <s v="PROD-011"/>
    <x v="13"/>
    <n v="1"/>
    <n v="3450"/>
    <n v="7.4"/>
    <n v="3194.7"/>
    <s v="Completed"/>
    <s v="Mumbai"/>
    <x v="0"/>
    <s v="Retail"/>
    <n v="37"/>
    <x v="3"/>
  </r>
  <r>
    <s v="ORD-00491"/>
    <x v="231"/>
    <s v="CUST-0274"/>
    <s v="PROD-018"/>
    <x v="1"/>
    <n v="3"/>
    <n v="3560"/>
    <n v="15.2"/>
    <n v="9056.64"/>
    <s v="Completed"/>
    <s v="Bengaluru"/>
    <x v="0"/>
    <s v="Corporate"/>
    <n v="36"/>
    <x v="0"/>
  </r>
  <r>
    <s v="ORD-00492"/>
    <x v="49"/>
    <s v="CUST-0059"/>
    <s v="PROD-003"/>
    <x v="14"/>
    <n v="4"/>
    <n v="3570"/>
    <n v="18.899999999999999"/>
    <n v="11581.08"/>
    <s v="Completed"/>
    <s v="Pune"/>
    <x v="4"/>
    <s v="Corporate"/>
    <n v="29"/>
    <x v="2"/>
  </r>
  <r>
    <s v="ORD-00493"/>
    <x v="22"/>
    <s v="CUST-0264"/>
    <s v="PROD-057"/>
    <x v="5"/>
    <n v="9"/>
    <n v="960"/>
    <n v="14"/>
    <n v="7430.4"/>
    <s v="Refunded"/>
    <s v="Pune"/>
    <x v="1"/>
    <s v="Retail"/>
    <n v="59"/>
    <x v="2"/>
  </r>
  <r>
    <s v="ORD-00494"/>
    <x v="5"/>
    <s v="CUST-0157"/>
    <s v="PROD-047"/>
    <x v="29"/>
    <n v="9"/>
    <n v="3450"/>
    <n v="6"/>
    <n v="29187"/>
    <s v="Cancelled"/>
    <s v="Pune"/>
    <x v="5"/>
    <s v="Corporate"/>
    <n v="52"/>
    <x v="1"/>
  </r>
  <r>
    <s v="ORD-00495"/>
    <x v="136"/>
    <s v="CUST-0028"/>
    <s v="PROD-043"/>
    <x v="27"/>
    <n v="7"/>
    <n v="3350"/>
    <n v="14"/>
    <n v="20167"/>
    <s v="Cancelled"/>
    <s v="Bengaluru"/>
    <x v="5"/>
    <s v="Retail"/>
    <n v="59"/>
    <x v="1"/>
  </r>
  <r>
    <s v="ORD-00496"/>
    <x v="129"/>
    <s v="CUST-0033"/>
    <s v="PROD-049"/>
    <x v="10"/>
    <n v="6"/>
    <n v="960"/>
    <n v="10.1"/>
    <n v="5178.24"/>
    <s v="Completed"/>
    <s v="Delhi"/>
    <x v="5"/>
    <s v="Retail"/>
    <n v="35"/>
    <x v="0"/>
  </r>
  <r>
    <s v="ORD-00497"/>
    <x v="186"/>
    <s v="CUST-0280"/>
    <s v="PROD-005"/>
    <x v="29"/>
    <n v="7"/>
    <n v="300"/>
    <n v="21.9"/>
    <n v="1640.1"/>
    <s v="Completed"/>
    <s v="Delhi"/>
    <x v="4"/>
    <s v="SMB"/>
    <n v="27"/>
    <x v="1"/>
  </r>
  <r>
    <s v="ORD-00498"/>
    <x v="44"/>
    <s v="CUST-0232"/>
    <s v="PROD-023"/>
    <x v="7"/>
    <n v="2"/>
    <n v="2380"/>
    <n v="6.8"/>
    <n v="4436.32"/>
    <s v="Completed"/>
    <s v="Hyderabad"/>
    <x v="2"/>
    <s v="Retail"/>
    <n v="38"/>
    <x v="3"/>
  </r>
  <r>
    <s v="ORD-00499"/>
    <x v="129"/>
    <s v="CUST-0270"/>
    <s v="PROD-057"/>
    <x v="6"/>
    <n v="5"/>
    <n v="960"/>
    <n v="15"/>
    <n v="4080"/>
    <s v="Cancelled"/>
    <s v="Bengaluru"/>
    <x v="1"/>
    <s v="Retail"/>
    <n v="29"/>
    <x v="2"/>
  </r>
  <r>
    <s v="ORD-00500"/>
    <x v="251"/>
    <s v="CUST-0203"/>
    <s v="PROD-059"/>
    <x v="27"/>
    <n v="10"/>
    <n v="3780"/>
    <n v="24.1"/>
    <n v="28690.2"/>
    <s v="Refunded"/>
    <s v="Chennai"/>
    <x v="1"/>
    <s v="SMB"/>
    <n v="55"/>
    <x v="1"/>
  </r>
  <r>
    <s v="ORD-00501"/>
    <x v="36"/>
    <s v="CUST-0069"/>
    <s v="PROD-041"/>
    <x v="16"/>
    <n v="4"/>
    <n v="1540"/>
    <n v="14.2"/>
    <n v="5285.28"/>
    <s v="Cancelled"/>
    <s v="Chennai"/>
    <x v="5"/>
    <s v="Retail"/>
    <n v="51"/>
    <x v="3"/>
  </r>
  <r>
    <s v="ORD-00502"/>
    <x v="113"/>
    <s v="CUST-0037"/>
    <s v="PROD-017"/>
    <x v="1"/>
    <n v="10"/>
    <n v="2510"/>
    <n v="20.8"/>
    <n v="19879.2"/>
    <s v="Completed"/>
    <s v="Bengaluru"/>
    <x v="0"/>
    <s v="Retail"/>
    <n v="52"/>
    <x v="0"/>
  </r>
  <r>
    <s v="ORD-00503"/>
    <x v="163"/>
    <s v="CUST-0149"/>
    <s v="PROD-025"/>
    <x v="2"/>
    <n v="9"/>
    <n v="4060"/>
    <n v="27.1"/>
    <n v="26637.66"/>
    <s v="Completed"/>
    <s v="Hyderabad"/>
    <x v="2"/>
    <s v="Retail"/>
    <n v="44"/>
    <x v="1"/>
  </r>
  <r>
    <s v="ORD-00504"/>
    <x v="198"/>
    <s v="CUST-0131"/>
    <s v="PROD-058"/>
    <x v="5"/>
    <n v="4"/>
    <n v="2400"/>
    <n v="19.100000000000001"/>
    <n v="7766.4"/>
    <s v="Completed"/>
    <s v="Delhi"/>
    <x v="1"/>
    <s v="SMB"/>
    <n v="28"/>
    <x v="2"/>
  </r>
  <r>
    <s v="ORD-00505"/>
    <x v="283"/>
    <s v="CUST-0071"/>
    <s v="PROD-046"/>
    <x v="24"/>
    <n v="8"/>
    <n v="4880"/>
    <n v="9.1999999999999993"/>
    <n v="35448.32"/>
    <s v="Cancelled"/>
    <s v="Delhi"/>
    <x v="5"/>
    <s v="Corporate"/>
    <n v="46"/>
    <x v="3"/>
  </r>
  <r>
    <s v="ORD-00506"/>
    <x v="261"/>
    <s v="CUST-0249"/>
    <s v="PROD-048"/>
    <x v="7"/>
    <n v="9"/>
    <n v="5100"/>
    <n v="11.1"/>
    <n v="40805.1"/>
    <s v="Cancelled"/>
    <s v="Mumbai"/>
    <x v="5"/>
    <s v="Retail"/>
    <n v="44"/>
    <x v="3"/>
  </r>
  <r>
    <s v="ORD-00507"/>
    <x v="161"/>
    <s v="CUST-0181"/>
    <s v="PROD-005"/>
    <x v="8"/>
    <n v="4"/>
    <n v="300"/>
    <n v="16.7"/>
    <n v="999.6"/>
    <s v="Completed"/>
    <s v="Delhi"/>
    <x v="4"/>
    <s v="SMB"/>
    <n v="38"/>
    <x v="2"/>
  </r>
  <r>
    <s v="ORD-00508"/>
    <x v="68"/>
    <s v="CUST-0085"/>
    <s v="PROD-019"/>
    <x v="2"/>
    <n v="6"/>
    <n v="2480"/>
    <n v="3.3"/>
    <n v="14388.96"/>
    <s v="Completed"/>
    <s v="Chennai"/>
    <x v="0"/>
    <s v="Retail"/>
    <n v="26"/>
    <x v="1"/>
  </r>
  <r>
    <s v="ORD-00509"/>
    <x v="28"/>
    <s v="CUST-0180"/>
    <s v="PROD-044"/>
    <x v="12"/>
    <n v="10"/>
    <n v="1650"/>
    <n v="22.9"/>
    <n v="12721.5"/>
    <s v="Refunded"/>
    <s v="Chennai"/>
    <x v="5"/>
    <s v="Retail"/>
    <n v="36"/>
    <x v="3"/>
  </r>
  <r>
    <s v="ORD-00510"/>
    <x v="158"/>
    <s v="CUST-0103"/>
    <s v="PROD-029"/>
    <x v="27"/>
    <n v="3"/>
    <n v="2210"/>
    <n v="11.1"/>
    <n v="5894.07"/>
    <s v="Completed"/>
    <s v="Hyderabad"/>
    <x v="2"/>
    <s v="Corporate"/>
    <n v="54"/>
    <x v="1"/>
  </r>
  <r>
    <s v="ORD-00511"/>
    <x v="5"/>
    <s v="CUST-0174"/>
    <s v="PROD-019"/>
    <x v="1"/>
    <n v="10"/>
    <n v="2480"/>
    <n v="13"/>
    <n v="21576"/>
    <s v="Pending"/>
    <s v="Pune"/>
    <x v="0"/>
    <s v="Retail"/>
    <n v="54"/>
    <x v="0"/>
  </r>
  <r>
    <s v="ORD-00512"/>
    <x v="98"/>
    <s v="CUST-0071"/>
    <s v="PROD-001"/>
    <x v="12"/>
    <n v="10"/>
    <n v="5330"/>
    <n v="0.7"/>
    <n v="52926.9"/>
    <s v="Completed"/>
    <s v="Delhi"/>
    <x v="4"/>
    <s v="Corporate"/>
    <n v="46"/>
    <x v="3"/>
  </r>
  <r>
    <s v="ORD-00513"/>
    <x v="109"/>
    <s v="CUST-0266"/>
    <s v="PROD-026"/>
    <x v="27"/>
    <n v="9"/>
    <n v="4070"/>
    <n v="15.6"/>
    <n v="30915.72"/>
    <s v="Completed"/>
    <s v="Pune"/>
    <x v="2"/>
    <s v="Retail"/>
    <n v="65"/>
    <x v="1"/>
  </r>
  <r>
    <s v="ORD-00514"/>
    <x v="284"/>
    <s v="CUST-0148"/>
    <s v="PROD-015"/>
    <x v="19"/>
    <n v="5"/>
    <n v="2720"/>
    <n v="10.3"/>
    <n v="12199.2"/>
    <s v="Cancelled"/>
    <s v="Chennai"/>
    <x v="0"/>
    <s v="Retail"/>
    <n v="32"/>
    <x v="0"/>
  </r>
  <r>
    <s v="ORD-00515"/>
    <x v="285"/>
    <s v="CUST-0030"/>
    <s v="PROD-055"/>
    <x v="20"/>
    <n v="6"/>
    <n v="2860"/>
    <n v="28.9"/>
    <n v="12200.76"/>
    <s v="Completed"/>
    <s v="Bengaluru"/>
    <x v="1"/>
    <s v="Corporate"/>
    <n v="43"/>
    <x v="2"/>
  </r>
  <r>
    <s v="ORD-00516"/>
    <x v="165"/>
    <s v="CUST-0128"/>
    <s v="PROD-014"/>
    <x v="27"/>
    <n v="5"/>
    <n v="3620"/>
    <n v="18.2"/>
    <n v="14805.8"/>
    <s v="Completed"/>
    <s v="Hyderabad"/>
    <x v="0"/>
    <s v="Retail"/>
    <n v="35"/>
    <x v="1"/>
  </r>
  <r>
    <s v="ORD-00517"/>
    <x v="39"/>
    <s v="CUST-0056"/>
    <s v="PROD-044"/>
    <x v="26"/>
    <n v="3"/>
    <n v="1650"/>
    <n v="10.7"/>
    <n v="4420.3500000000004"/>
    <s v="Completed"/>
    <s v="Bengaluru"/>
    <x v="5"/>
    <s v="SMB"/>
    <n v="46"/>
    <x v="3"/>
  </r>
  <r>
    <s v="ORD-00518"/>
    <x v="185"/>
    <s v="CUST-0178"/>
    <s v="PROD-060"/>
    <x v="20"/>
    <n v="8"/>
    <n v="190"/>
    <n v="18"/>
    <n v="1246.4000000000001"/>
    <s v="Pending"/>
    <s v="Hyderabad"/>
    <x v="1"/>
    <s v="Retail"/>
    <n v="25"/>
    <x v="2"/>
  </r>
  <r>
    <s v="ORD-00519"/>
    <x v="68"/>
    <s v="CUST-0237"/>
    <s v="PROD-042"/>
    <x v="20"/>
    <n v="7"/>
    <n v="2290"/>
    <n v="12.5"/>
    <n v="14026.25"/>
    <s v="Completed"/>
    <s v="Mumbai"/>
    <x v="5"/>
    <s v="Retail"/>
    <n v="49"/>
    <x v="2"/>
  </r>
  <r>
    <s v="ORD-00520"/>
    <x v="198"/>
    <s v="CUST-0143"/>
    <s v="PROD-001"/>
    <x v="21"/>
    <n v="2"/>
    <n v="5330"/>
    <n v="26.5"/>
    <n v="7835.1"/>
    <s v="Completed"/>
    <s v="Chennai"/>
    <x v="4"/>
    <s v="SMB"/>
    <n v="52"/>
    <x v="3"/>
  </r>
  <r>
    <s v="ORD-00521"/>
    <x v="233"/>
    <s v="CUST-0233"/>
    <s v="PROD-001"/>
    <x v="15"/>
    <n v="4"/>
    <n v="5330"/>
    <n v="25.6"/>
    <n v="15862.08"/>
    <s v="Completed"/>
    <s v="Mumbai"/>
    <x v="4"/>
    <s v="SMB"/>
    <n v="65"/>
    <x v="1"/>
  </r>
  <r>
    <s v="ORD-00522"/>
    <x v="286"/>
    <s v="CUST-0161"/>
    <s v="PROD-034"/>
    <x v="3"/>
    <n v="4"/>
    <n v="5080"/>
    <n v="28.6"/>
    <n v="14508.48"/>
    <s v="Completed"/>
    <s v="Chennai"/>
    <x v="3"/>
    <s v="Retail"/>
    <n v="38"/>
    <x v="0"/>
  </r>
  <r>
    <s v="ORD-00523"/>
    <x v="40"/>
    <s v="CUST-0087"/>
    <s v="PROD-032"/>
    <x v="25"/>
    <n v="4"/>
    <n v="370"/>
    <n v="12.6"/>
    <n v="1293.52"/>
    <s v="Pending"/>
    <s v="Pune"/>
    <x v="3"/>
    <s v="SMB"/>
    <n v="49"/>
    <x v="0"/>
  </r>
  <r>
    <s v="ORD-00524"/>
    <x v="230"/>
    <s v="CUST-0235"/>
    <s v="PROD-053"/>
    <x v="22"/>
    <n v="9"/>
    <n v="470"/>
    <n v="3.6"/>
    <n v="4077.72"/>
    <s v="Completed"/>
    <s v="Chennai"/>
    <x v="1"/>
    <s v="Retail"/>
    <n v="31"/>
    <x v="1"/>
  </r>
  <r>
    <s v="ORD-00525"/>
    <x v="287"/>
    <s v="CUST-0183"/>
    <s v="PROD-052"/>
    <x v="28"/>
    <n v="4"/>
    <n v="5410"/>
    <n v="11.3"/>
    <n v="19194.68"/>
    <s v="Refunded"/>
    <s v="Mumbai"/>
    <x v="1"/>
    <s v="SMB"/>
    <n v="27"/>
    <x v="2"/>
  </r>
  <r>
    <s v="ORD-00526"/>
    <x v="288"/>
    <s v="CUST-0199"/>
    <s v="PROD-014"/>
    <x v="0"/>
    <n v="10"/>
    <n v="3620"/>
    <n v="2.5"/>
    <n v="35295"/>
    <s v="Completed"/>
    <s v="Hyderabad"/>
    <x v="0"/>
    <s v="SMB"/>
    <n v="31"/>
    <x v="0"/>
  </r>
  <r>
    <s v="ORD-00527"/>
    <x v="82"/>
    <s v="CUST-0034"/>
    <s v="PROD-021"/>
    <x v="14"/>
    <n v="1"/>
    <n v="2760"/>
    <n v="22.2"/>
    <n v="2147.2800000000002"/>
    <s v="Completed"/>
    <s v="Delhi"/>
    <x v="2"/>
    <s v="Retail"/>
    <n v="47"/>
    <x v="2"/>
  </r>
  <r>
    <s v="ORD-00528"/>
    <x v="0"/>
    <s v="CUST-0206"/>
    <s v="PROD-047"/>
    <x v="19"/>
    <n v="7"/>
    <n v="3450"/>
    <n v="8.6"/>
    <n v="22073.1"/>
    <s v="Completed"/>
    <s v="Mumbai"/>
    <x v="5"/>
    <s v="Retail"/>
    <n v="40"/>
    <x v="0"/>
  </r>
  <r>
    <s v="ORD-00529"/>
    <x v="196"/>
    <s v="CUST-0246"/>
    <s v="PROD-028"/>
    <x v="8"/>
    <n v="6"/>
    <n v="3660"/>
    <n v="10.6"/>
    <n v="19632.240000000002"/>
    <s v="Completed"/>
    <s v="Delhi"/>
    <x v="2"/>
    <s v="SMB"/>
    <n v="29"/>
    <x v="2"/>
  </r>
  <r>
    <s v="ORD-00530"/>
    <x v="147"/>
    <s v="CUST-0075"/>
    <s v="PROD-003"/>
    <x v="8"/>
    <n v="10"/>
    <n v="3570"/>
    <n v="1.2"/>
    <n v="35271.599999999999"/>
    <s v="Completed"/>
    <s v="Mumbai"/>
    <x v="4"/>
    <s v="Corporate"/>
    <n v="55"/>
    <x v="2"/>
  </r>
  <r>
    <s v="ORD-00531"/>
    <x v="176"/>
    <s v="CUST-0298"/>
    <s v="PROD-035"/>
    <x v="18"/>
    <n v="8"/>
    <n v="1090"/>
    <n v="13.2"/>
    <n v="7568.96"/>
    <s v="Refunded"/>
    <s v="Delhi"/>
    <x v="3"/>
    <s v="Retail"/>
    <n v="44"/>
    <x v="1"/>
  </r>
  <r>
    <s v="ORD-00532"/>
    <x v="153"/>
    <s v="CUST-0165"/>
    <s v="PROD-014"/>
    <x v="26"/>
    <n v="8"/>
    <n v="3620"/>
    <n v="29"/>
    <n v="20561.599999999999"/>
    <s v="Completed"/>
    <s v="Pune"/>
    <x v="0"/>
    <s v="Retail"/>
    <n v="29"/>
    <x v="3"/>
  </r>
  <r>
    <s v="ORD-00533"/>
    <x v="289"/>
    <s v="CUST-0033"/>
    <s v="PROD-046"/>
    <x v="9"/>
    <n v="7"/>
    <n v="4880"/>
    <n v="25.6"/>
    <n v="25415.040000000001"/>
    <s v="Refunded"/>
    <s v="Delhi"/>
    <x v="5"/>
    <s v="Retail"/>
    <n v="35"/>
    <x v="1"/>
  </r>
  <r>
    <s v="ORD-00534"/>
    <x v="224"/>
    <s v="CUST-0205"/>
    <s v="PROD-053"/>
    <x v="8"/>
    <n v="2"/>
    <n v="470"/>
    <n v="9.6999999999999993"/>
    <n v="848.82"/>
    <s v="Completed"/>
    <s v="Pune"/>
    <x v="1"/>
    <s v="Corporate"/>
    <n v="29"/>
    <x v="2"/>
  </r>
  <r>
    <s v="ORD-00535"/>
    <x v="149"/>
    <s v="CUST-0037"/>
    <s v="PROD-042"/>
    <x v="24"/>
    <n v="6"/>
    <n v="2290"/>
    <n v="8.9"/>
    <n v="12517.14"/>
    <s v="Completed"/>
    <s v="Bengaluru"/>
    <x v="5"/>
    <s v="Retail"/>
    <n v="52"/>
    <x v="3"/>
  </r>
  <r>
    <s v="ORD-00536"/>
    <x v="290"/>
    <s v="CUST-0228"/>
    <s v="PROD-023"/>
    <x v="9"/>
    <n v="3"/>
    <n v="2380"/>
    <n v="2.7"/>
    <n v="6947.22"/>
    <s v="Pending"/>
    <s v="Pune"/>
    <x v="2"/>
    <s v="Corporate"/>
    <n v="37"/>
    <x v="1"/>
  </r>
  <r>
    <s v="ORD-00537"/>
    <x v="270"/>
    <s v="CUST-0279"/>
    <s v="PROD-023"/>
    <x v="4"/>
    <n v="9"/>
    <n v="2380"/>
    <n v="20.100000000000001"/>
    <n v="17114.580000000002"/>
    <s v="Completed"/>
    <s v="Mumbai"/>
    <x v="2"/>
    <s v="Retail"/>
    <n v="56"/>
    <x v="0"/>
  </r>
  <r>
    <s v="ORD-00538"/>
    <x v="291"/>
    <s v="CUST-0271"/>
    <s v="PROD-052"/>
    <x v="2"/>
    <n v="8"/>
    <n v="5410"/>
    <n v="11.2"/>
    <n v="38432.639999999999"/>
    <s v="Completed"/>
    <s v="Bengaluru"/>
    <x v="1"/>
    <s v="Corporate"/>
    <n v="41"/>
    <x v="1"/>
  </r>
  <r>
    <s v="ORD-00539"/>
    <x v="150"/>
    <s v="CUST-0127"/>
    <s v="PROD-007"/>
    <x v="4"/>
    <n v="1"/>
    <n v="1430"/>
    <n v="19.600000000000001"/>
    <n v="1149.72"/>
    <s v="Completed"/>
    <s v="Bengaluru"/>
    <x v="4"/>
    <s v="SMB"/>
    <n v="36"/>
    <x v="0"/>
  </r>
  <r>
    <s v="ORD-00540"/>
    <x v="292"/>
    <s v="CUST-0007"/>
    <s v="PROD-058"/>
    <x v="28"/>
    <n v="9"/>
    <n v="2400"/>
    <n v="5"/>
    <n v="20520"/>
    <s v="Completed"/>
    <s v="Bengaluru"/>
    <x v="1"/>
    <s v="Retail"/>
    <n v="47"/>
    <x v="2"/>
  </r>
  <r>
    <s v="ORD-00541"/>
    <x v="293"/>
    <s v="CUST-0005"/>
    <s v="PROD-027"/>
    <x v="19"/>
    <n v="1"/>
    <n v="3780"/>
    <n v="4.7"/>
    <n v="3602.34"/>
    <s v="Completed"/>
    <s v="Chennai"/>
    <x v="2"/>
    <s v="Corporate"/>
    <n v="52"/>
    <x v="0"/>
  </r>
  <r>
    <s v="ORD-00542"/>
    <x v="95"/>
    <s v="CUST-0072"/>
    <s v="PROD-016"/>
    <x v="7"/>
    <n v="2"/>
    <n v="620"/>
    <n v="8"/>
    <n v="1140.8"/>
    <s v="Completed"/>
    <s v="Mumbai"/>
    <x v="0"/>
    <s v="Corporate"/>
    <n v="62"/>
    <x v="3"/>
  </r>
  <r>
    <s v="ORD-00543"/>
    <x v="229"/>
    <s v="CUST-0167"/>
    <s v="PROD-060"/>
    <x v="0"/>
    <n v="3"/>
    <n v="190"/>
    <n v="17.899999999999999"/>
    <n v="467.97"/>
    <s v="Pending"/>
    <s v="Delhi"/>
    <x v="1"/>
    <s v="Retail"/>
    <n v="43"/>
    <x v="0"/>
  </r>
  <r>
    <s v="ORD-00544"/>
    <x v="10"/>
    <s v="CUST-0244"/>
    <s v="PROD-014"/>
    <x v="7"/>
    <n v="2"/>
    <n v="3620"/>
    <n v="15.5"/>
    <n v="6117.8"/>
    <s v="Completed"/>
    <s v="Bengaluru"/>
    <x v="0"/>
    <s v="Retail"/>
    <n v="61"/>
    <x v="3"/>
  </r>
  <r>
    <s v="ORD-00545"/>
    <x v="294"/>
    <s v="CUST-0086"/>
    <s v="PROD-055"/>
    <x v="26"/>
    <n v="5"/>
    <n v="2860"/>
    <n v="26.8"/>
    <n v="10467.6"/>
    <s v="Completed"/>
    <s v="Hyderabad"/>
    <x v="1"/>
    <s v="Corporate"/>
    <n v="56"/>
    <x v="3"/>
  </r>
  <r>
    <s v="ORD-00546"/>
    <x v="198"/>
    <s v="CUST-0091"/>
    <s v="PROD-058"/>
    <x v="12"/>
    <n v="6"/>
    <n v="2400"/>
    <n v="19.2"/>
    <n v="11635.2"/>
    <s v="Cancelled"/>
    <s v="Delhi"/>
    <x v="1"/>
    <s v="Retail"/>
    <n v="55"/>
    <x v="3"/>
  </r>
  <r>
    <s v="ORD-00547"/>
    <x v="14"/>
    <s v="CUST-0169"/>
    <s v="PROD-034"/>
    <x v="18"/>
    <n v="7"/>
    <n v="5080"/>
    <n v="16.600000000000001"/>
    <n v="29657.040000000001"/>
    <s v="Pending"/>
    <s v="Bengaluru"/>
    <x v="3"/>
    <s v="SMB"/>
    <n v="42"/>
    <x v="1"/>
  </r>
  <r>
    <s v="ORD-00548"/>
    <x v="295"/>
    <s v="CUST-0273"/>
    <s v="PROD-034"/>
    <x v="15"/>
    <n v="10"/>
    <n v="5080"/>
    <n v="24.6"/>
    <n v="38303.199999999997"/>
    <s v="Completed"/>
    <s v="Hyderabad"/>
    <x v="3"/>
    <s v="Corporate"/>
    <n v="32"/>
    <x v="1"/>
  </r>
  <r>
    <s v="ORD-00549"/>
    <x v="147"/>
    <s v="CUST-0233"/>
    <s v="PROD-057"/>
    <x v="4"/>
    <n v="7"/>
    <n v="960"/>
    <n v="16.600000000000001"/>
    <n v="5604.48"/>
    <s v="Completed"/>
    <s v="Mumbai"/>
    <x v="1"/>
    <s v="SMB"/>
    <n v="65"/>
    <x v="0"/>
  </r>
  <r>
    <s v="ORD-00550"/>
    <x v="296"/>
    <s v="CUST-0175"/>
    <s v="PROD-028"/>
    <x v="8"/>
    <n v="3"/>
    <n v="3660"/>
    <n v="3.2"/>
    <n v="10628.64"/>
    <s v="Pending"/>
    <s v="Delhi"/>
    <x v="2"/>
    <s v="Corporate"/>
    <n v="55"/>
    <x v="2"/>
  </r>
  <r>
    <s v="ORD-00551"/>
    <x v="160"/>
    <s v="CUST-0241"/>
    <s v="PROD-010"/>
    <x v="18"/>
    <n v="6"/>
    <n v="2640"/>
    <n v="26.3"/>
    <n v="11674.08"/>
    <s v="Completed"/>
    <s v="Pune"/>
    <x v="4"/>
    <s v="Corporate"/>
    <n v="47"/>
    <x v="1"/>
  </r>
  <r>
    <s v="ORD-00552"/>
    <x v="254"/>
    <s v="CUST-0024"/>
    <s v="PROD-009"/>
    <x v="18"/>
    <n v="6"/>
    <n v="1220"/>
    <n v="22.3"/>
    <n v="5687.64"/>
    <s v="Cancelled"/>
    <s v="Chennai"/>
    <x v="4"/>
    <s v="SMB"/>
    <n v="64"/>
    <x v="1"/>
  </r>
  <r>
    <s v="ORD-00553"/>
    <x v="138"/>
    <s v="CUST-0252"/>
    <s v="PROD-005"/>
    <x v="22"/>
    <n v="1"/>
    <n v="300"/>
    <n v="0.7"/>
    <n v="297.89999999999998"/>
    <s v="Completed"/>
    <s v="Bengaluru"/>
    <x v="4"/>
    <s v="Retail"/>
    <n v="27"/>
    <x v="1"/>
  </r>
  <r>
    <s v="ORD-00554"/>
    <x v="43"/>
    <s v="CUST-0245"/>
    <s v="PROD-054"/>
    <x v="16"/>
    <n v="2"/>
    <n v="1010"/>
    <n v="28"/>
    <n v="1454.4"/>
    <s v="Completed"/>
    <s v="Hyderabad"/>
    <x v="1"/>
    <s v="Retail"/>
    <n v="65"/>
    <x v="3"/>
  </r>
  <r>
    <s v="ORD-00555"/>
    <x v="192"/>
    <s v="CUST-0046"/>
    <s v="PROD-002"/>
    <x v="23"/>
    <n v="5"/>
    <n v="2600"/>
    <n v="0.8"/>
    <n v="12896"/>
    <s v="Cancelled"/>
    <s v="Delhi"/>
    <x v="4"/>
    <s v="SMB"/>
    <n v="45"/>
    <x v="1"/>
  </r>
  <r>
    <s v="ORD-00556"/>
    <x v="186"/>
    <s v="CUST-0050"/>
    <s v="PROD-056"/>
    <x v="17"/>
    <n v="3"/>
    <n v="6940"/>
    <n v="10.7"/>
    <n v="18592.259999999998"/>
    <s v="Cancelled"/>
    <s v="Mumbai"/>
    <x v="1"/>
    <s v="Retail"/>
    <n v="37"/>
    <x v="2"/>
  </r>
  <r>
    <s v="ORD-00557"/>
    <x v="297"/>
    <s v="CUST-0227"/>
    <s v="PROD-032"/>
    <x v="23"/>
    <n v="1"/>
    <n v="370"/>
    <n v="10.3"/>
    <n v="331.89"/>
    <s v="Refunded"/>
    <s v="Bengaluru"/>
    <x v="3"/>
    <s v="SMB"/>
    <n v="44"/>
    <x v="1"/>
  </r>
  <r>
    <s v="ORD-00558"/>
    <x v="298"/>
    <s v="CUST-0218"/>
    <s v="PROD-027"/>
    <x v="20"/>
    <n v="2"/>
    <n v="3780"/>
    <n v="29.4"/>
    <n v="5337.36"/>
    <s v="Completed"/>
    <s v="Mumbai"/>
    <x v="2"/>
    <s v="Retail"/>
    <n v="39"/>
    <x v="2"/>
  </r>
  <r>
    <s v="ORD-00559"/>
    <x v="39"/>
    <s v="CUST-0087"/>
    <s v="PROD-030"/>
    <x v="24"/>
    <n v="5"/>
    <n v="970"/>
    <n v="14.6"/>
    <n v="4141.8999999999996"/>
    <s v="Completed"/>
    <s v="Pune"/>
    <x v="2"/>
    <s v="SMB"/>
    <n v="49"/>
    <x v="3"/>
  </r>
  <r>
    <s v="ORD-00560"/>
    <x v="117"/>
    <s v="CUST-0209"/>
    <s v="PROD-022"/>
    <x v="25"/>
    <n v="3"/>
    <n v="2270"/>
    <n v="6.5"/>
    <n v="6367.35"/>
    <s v="Completed"/>
    <s v="Pune"/>
    <x v="2"/>
    <s v="Retail"/>
    <n v="31"/>
    <x v="0"/>
  </r>
  <r>
    <s v="ORD-00561"/>
    <x v="299"/>
    <s v="CUST-0212"/>
    <s v="PROD-041"/>
    <x v="20"/>
    <n v="10"/>
    <n v="1540"/>
    <n v="16.5"/>
    <n v="12859"/>
    <s v="Completed"/>
    <s v="Chennai"/>
    <x v="5"/>
    <s v="SMB"/>
    <n v="46"/>
    <x v="2"/>
  </r>
  <r>
    <s v="ORD-00562"/>
    <x v="51"/>
    <s v="CUST-0180"/>
    <s v="PROD-021"/>
    <x v="21"/>
    <n v="4"/>
    <n v="2760"/>
    <n v="19.8"/>
    <n v="8854.08"/>
    <s v="Completed"/>
    <s v="Chennai"/>
    <x v="2"/>
    <s v="Retail"/>
    <n v="36"/>
    <x v="3"/>
  </r>
  <r>
    <s v="ORD-00563"/>
    <x v="10"/>
    <s v="CUST-0025"/>
    <s v="PROD-024"/>
    <x v="14"/>
    <n v="3"/>
    <n v="2270"/>
    <n v="29.5"/>
    <n v="4801.05"/>
    <s v="Refunded"/>
    <s v="Bengaluru"/>
    <x v="2"/>
    <s v="Retail"/>
    <n v="23"/>
    <x v="2"/>
  </r>
  <r>
    <s v="ORD-00564"/>
    <x v="196"/>
    <s v="CUST-0271"/>
    <s v="PROD-045"/>
    <x v="15"/>
    <n v="8"/>
    <n v="3020"/>
    <n v="1.2"/>
    <n v="23870.080000000002"/>
    <s v="Completed"/>
    <s v="Bengaluru"/>
    <x v="5"/>
    <s v="Corporate"/>
    <n v="41"/>
    <x v="1"/>
  </r>
  <r>
    <s v="ORD-00565"/>
    <x v="156"/>
    <s v="CUST-0026"/>
    <s v="PROD-023"/>
    <x v="26"/>
    <n v="6"/>
    <n v="2380"/>
    <n v="20.399999999999999"/>
    <n v="11366.88"/>
    <s v="Completed"/>
    <s v="Pune"/>
    <x v="2"/>
    <s v="Retail"/>
    <n v="62"/>
    <x v="3"/>
  </r>
  <r>
    <s v="ORD-00566"/>
    <x v="19"/>
    <s v="CUST-0058"/>
    <s v="PROD-056"/>
    <x v="8"/>
    <n v="1"/>
    <n v="6940"/>
    <n v="15"/>
    <n v="5899"/>
    <s v="Cancelled"/>
    <s v="Bengaluru"/>
    <x v="1"/>
    <s v="SMB"/>
    <n v="49"/>
    <x v="2"/>
  </r>
  <r>
    <s v="ORD-00567"/>
    <x v="16"/>
    <s v="CUST-0033"/>
    <s v="PROD-008"/>
    <x v="9"/>
    <n v="1"/>
    <n v="2660"/>
    <n v="11.6"/>
    <n v="2351.44"/>
    <s v="Completed"/>
    <s v="Delhi"/>
    <x v="4"/>
    <s v="Retail"/>
    <n v="35"/>
    <x v="1"/>
  </r>
  <r>
    <s v="ORD-00568"/>
    <x v="289"/>
    <s v="CUST-0057"/>
    <s v="PROD-030"/>
    <x v="22"/>
    <n v="4"/>
    <n v="970"/>
    <n v="11.6"/>
    <n v="3429.92"/>
    <s v="Completed"/>
    <s v="Pune"/>
    <x v="2"/>
    <s v="Retail"/>
    <n v="35"/>
    <x v="1"/>
  </r>
  <r>
    <s v="ORD-00569"/>
    <x v="215"/>
    <s v="CUST-0231"/>
    <s v="PROD-022"/>
    <x v="25"/>
    <n v="7"/>
    <n v="2270"/>
    <n v="27.9"/>
    <n v="11456.69"/>
    <s v="Completed"/>
    <s v="Chennai"/>
    <x v="2"/>
    <s v="Retail"/>
    <n v="61"/>
    <x v="0"/>
  </r>
  <r>
    <s v="ORD-00570"/>
    <x v="300"/>
    <s v="CUST-0031"/>
    <s v="PROD-054"/>
    <x v="29"/>
    <n v="8"/>
    <n v="1010"/>
    <n v="13.7"/>
    <n v="6973.04"/>
    <s v="Cancelled"/>
    <s v="Hyderabad"/>
    <x v="1"/>
    <s v="Retail"/>
    <n v="53"/>
    <x v="1"/>
  </r>
  <r>
    <s v="ORD-00571"/>
    <x v="259"/>
    <s v="CUST-0228"/>
    <s v="PROD-023"/>
    <x v="19"/>
    <n v="8"/>
    <n v="2380"/>
    <n v="15.3"/>
    <n v="16126.88"/>
    <s v="Cancelled"/>
    <s v="Pune"/>
    <x v="2"/>
    <s v="Corporate"/>
    <n v="37"/>
    <x v="0"/>
  </r>
  <r>
    <s v="ORD-00572"/>
    <x v="142"/>
    <s v="CUST-0127"/>
    <s v="PROD-053"/>
    <x v="26"/>
    <n v="10"/>
    <n v="470"/>
    <n v="2.1"/>
    <n v="4601.3"/>
    <s v="Completed"/>
    <s v="Bengaluru"/>
    <x v="1"/>
    <s v="SMB"/>
    <n v="36"/>
    <x v="3"/>
  </r>
  <r>
    <s v="ORD-00573"/>
    <x v="178"/>
    <s v="CUST-0117"/>
    <s v="PROD-048"/>
    <x v="5"/>
    <n v="5"/>
    <n v="5100"/>
    <n v="9.6999999999999993"/>
    <n v="23026.5"/>
    <s v="Completed"/>
    <s v="Delhi"/>
    <x v="5"/>
    <s v="SMB"/>
    <n v="34"/>
    <x v="2"/>
  </r>
  <r>
    <s v="ORD-00574"/>
    <x v="73"/>
    <s v="CUST-0159"/>
    <s v="PROD-049"/>
    <x v="17"/>
    <n v="9"/>
    <n v="960"/>
    <n v="17.7"/>
    <n v="7110.72"/>
    <s v="Completed"/>
    <s v="Hyderabad"/>
    <x v="5"/>
    <s v="Retail"/>
    <n v="32"/>
    <x v="2"/>
  </r>
  <r>
    <s v="ORD-00575"/>
    <x v="35"/>
    <s v="CUST-0064"/>
    <s v="PROD-026"/>
    <x v="0"/>
    <n v="2"/>
    <n v="4070"/>
    <n v="2.1"/>
    <n v="7969.06"/>
    <s v="Completed"/>
    <s v="Hyderabad"/>
    <x v="2"/>
    <s v="SMB"/>
    <n v="40"/>
    <x v="0"/>
  </r>
  <r>
    <s v="ORD-00576"/>
    <x v="243"/>
    <s v="CUST-0272"/>
    <s v="PROD-031"/>
    <x v="13"/>
    <n v="5"/>
    <n v="3730"/>
    <n v="16.5"/>
    <n v="15572.75"/>
    <s v="Completed"/>
    <s v="Mumbai"/>
    <x v="3"/>
    <s v="SMB"/>
    <n v="47"/>
    <x v="3"/>
  </r>
  <r>
    <s v="ORD-00577"/>
    <x v="55"/>
    <s v="CUST-0071"/>
    <s v="PROD-055"/>
    <x v="24"/>
    <n v="1"/>
    <n v="2860"/>
    <n v="10.4"/>
    <n v="2562.56"/>
    <s v="Cancelled"/>
    <s v="Delhi"/>
    <x v="1"/>
    <s v="Corporate"/>
    <n v="46"/>
    <x v="3"/>
  </r>
  <r>
    <s v="ORD-00578"/>
    <x v="11"/>
    <s v="CUST-0045"/>
    <s v="PROD-046"/>
    <x v="26"/>
    <n v="4"/>
    <n v="4880"/>
    <n v="27.5"/>
    <n v="14152"/>
    <s v="Pending"/>
    <s v="Chennai"/>
    <x v="5"/>
    <s v="SMB"/>
    <n v="39"/>
    <x v="3"/>
  </r>
  <r>
    <s v="ORD-00579"/>
    <x v="19"/>
    <s v="CUST-0148"/>
    <s v="PROD-022"/>
    <x v="24"/>
    <n v="3"/>
    <n v="2270"/>
    <n v="6.7"/>
    <n v="6353.73"/>
    <s v="Completed"/>
    <s v="Chennai"/>
    <x v="2"/>
    <s v="Retail"/>
    <n v="32"/>
    <x v="3"/>
  </r>
  <r>
    <s v="ORD-00580"/>
    <x v="55"/>
    <s v="CUST-0097"/>
    <s v="PROD-025"/>
    <x v="0"/>
    <n v="10"/>
    <n v="4060"/>
    <n v="3.6"/>
    <n v="39138.400000000001"/>
    <s v="Pending"/>
    <s v="Mumbai"/>
    <x v="2"/>
    <s v="Retail"/>
    <n v="65"/>
    <x v="0"/>
  </r>
  <r>
    <s v="ORD-00581"/>
    <x v="301"/>
    <s v="CUST-0151"/>
    <s v="PROD-010"/>
    <x v="10"/>
    <n v="8"/>
    <n v="2640"/>
    <n v="28.8"/>
    <n v="15037.44"/>
    <s v="Completed"/>
    <s v="Mumbai"/>
    <x v="4"/>
    <s v="Retail"/>
    <n v="53"/>
    <x v="0"/>
  </r>
  <r>
    <s v="ORD-00582"/>
    <x v="302"/>
    <s v="CUST-0048"/>
    <s v="PROD-031"/>
    <x v="27"/>
    <n v="6"/>
    <n v="3730"/>
    <n v="21.9"/>
    <n v="17478.78"/>
    <s v="Completed"/>
    <s v="Delhi"/>
    <x v="3"/>
    <s v="Retail"/>
    <n v="59"/>
    <x v="1"/>
  </r>
  <r>
    <s v="ORD-00583"/>
    <x v="68"/>
    <s v="CUST-0048"/>
    <s v="PROD-001"/>
    <x v="3"/>
    <n v="9"/>
    <n v="5330"/>
    <n v="29.4"/>
    <n v="33866.82"/>
    <s v="Cancelled"/>
    <s v="Delhi"/>
    <x v="4"/>
    <s v="Retail"/>
    <n v="59"/>
    <x v="0"/>
  </r>
  <r>
    <s v="ORD-00584"/>
    <x v="94"/>
    <s v="CUST-0156"/>
    <s v="PROD-011"/>
    <x v="28"/>
    <n v="1"/>
    <n v="3450"/>
    <n v="23.3"/>
    <n v="2646.15"/>
    <s v="Completed"/>
    <s v="Mumbai"/>
    <x v="0"/>
    <s v="Retail"/>
    <n v="33"/>
    <x v="2"/>
  </r>
  <r>
    <s v="ORD-00585"/>
    <x v="227"/>
    <s v="CUST-0022"/>
    <s v="PROD-050"/>
    <x v="21"/>
    <n v="3"/>
    <n v="6080"/>
    <n v="14.5"/>
    <n v="15595.2"/>
    <s v="Completed"/>
    <s v="Bengaluru"/>
    <x v="5"/>
    <s v="Corporate"/>
    <n v="55"/>
    <x v="3"/>
  </r>
  <r>
    <s v="ORD-00586"/>
    <x v="303"/>
    <s v="CUST-0193"/>
    <s v="PROD-031"/>
    <x v="25"/>
    <n v="4"/>
    <n v="3730"/>
    <n v="3.4"/>
    <n v="14412.72"/>
    <s v="Cancelled"/>
    <s v="Bengaluru"/>
    <x v="3"/>
    <s v="Retail"/>
    <n v="42"/>
    <x v="0"/>
  </r>
  <r>
    <s v="ORD-00587"/>
    <x v="304"/>
    <s v="CUST-0189"/>
    <s v="PROD-008"/>
    <x v="24"/>
    <n v="10"/>
    <n v="2660"/>
    <n v="2.1"/>
    <n v="26041.4"/>
    <s v="Completed"/>
    <s v="Chennai"/>
    <x v="4"/>
    <s v="Retail"/>
    <n v="41"/>
    <x v="3"/>
  </r>
  <r>
    <s v="ORD-00588"/>
    <x v="41"/>
    <s v="CUST-0101"/>
    <s v="PROD-029"/>
    <x v="13"/>
    <n v="7"/>
    <n v="2210"/>
    <n v="17.100000000000001"/>
    <n v="12824.63"/>
    <s v="Completed"/>
    <s v="Hyderabad"/>
    <x v="2"/>
    <s v="SMB"/>
    <n v="40"/>
    <x v="3"/>
  </r>
  <r>
    <s v="ORD-00589"/>
    <x v="84"/>
    <s v="CUST-0006"/>
    <s v="PROD-059"/>
    <x v="22"/>
    <n v="6"/>
    <n v="3780"/>
    <n v="12.7"/>
    <n v="19799.64"/>
    <s v="Completed"/>
    <s v="Pune"/>
    <x v="1"/>
    <s v="SMB"/>
    <n v="44"/>
    <x v="1"/>
  </r>
  <r>
    <s v="ORD-00590"/>
    <x v="249"/>
    <s v="CUST-0235"/>
    <s v="PROD-038"/>
    <x v="20"/>
    <n v="4"/>
    <n v="5490"/>
    <n v="26.9"/>
    <n v="16052.76"/>
    <s v="Completed"/>
    <s v="Chennai"/>
    <x v="3"/>
    <s v="Retail"/>
    <n v="31"/>
    <x v="2"/>
  </r>
  <r>
    <s v="ORD-00591"/>
    <x v="116"/>
    <s v="CUST-0045"/>
    <s v="PROD-008"/>
    <x v="22"/>
    <n v="9"/>
    <n v="2660"/>
    <n v="21.9"/>
    <n v="18697.14"/>
    <s v="Completed"/>
    <s v="Chennai"/>
    <x v="4"/>
    <s v="SMB"/>
    <n v="39"/>
    <x v="1"/>
  </r>
  <r>
    <s v="ORD-00592"/>
    <x v="160"/>
    <s v="CUST-0028"/>
    <s v="PROD-056"/>
    <x v="8"/>
    <n v="9"/>
    <n v="6940"/>
    <n v="8"/>
    <n v="57463.199999999997"/>
    <s v="Completed"/>
    <s v="Bengaluru"/>
    <x v="1"/>
    <s v="Retail"/>
    <n v="59"/>
    <x v="2"/>
  </r>
  <r>
    <s v="ORD-00593"/>
    <x v="73"/>
    <s v="CUST-0241"/>
    <s v="PROD-004"/>
    <x v="3"/>
    <n v="1"/>
    <n v="3870"/>
    <n v="22.6"/>
    <n v="2995.38"/>
    <s v="Completed"/>
    <s v="Pune"/>
    <x v="4"/>
    <s v="Corporate"/>
    <n v="47"/>
    <x v="0"/>
  </r>
  <r>
    <s v="ORD-00594"/>
    <x v="240"/>
    <s v="CUST-0278"/>
    <s v="PROD-035"/>
    <x v="4"/>
    <n v="3"/>
    <n v="1090"/>
    <n v="28.1"/>
    <n v="2351.13"/>
    <s v="Completed"/>
    <s v="Hyderabad"/>
    <x v="3"/>
    <s v="Retail"/>
    <n v="41"/>
    <x v="0"/>
  </r>
  <r>
    <s v="ORD-00595"/>
    <x v="111"/>
    <s v="CUST-0009"/>
    <s v="PROD-002"/>
    <x v="19"/>
    <n v="2"/>
    <n v="2600"/>
    <n v="5.6"/>
    <n v="4908.8"/>
    <s v="Completed"/>
    <s v="Mumbai"/>
    <x v="4"/>
    <s v="Retail"/>
    <n v="61"/>
    <x v="0"/>
  </r>
  <r>
    <s v="ORD-00596"/>
    <x v="54"/>
    <s v="CUST-0217"/>
    <s v="PROD-057"/>
    <x v="16"/>
    <n v="4"/>
    <n v="960"/>
    <n v="21.7"/>
    <n v="3006.72"/>
    <s v="Completed"/>
    <s v="Pune"/>
    <x v="1"/>
    <s v="SMB"/>
    <n v="59"/>
    <x v="3"/>
  </r>
  <r>
    <s v="ORD-00597"/>
    <x v="80"/>
    <s v="CUST-0289"/>
    <s v="PROD-032"/>
    <x v="17"/>
    <n v="6"/>
    <n v="370"/>
    <n v="22.5"/>
    <n v="1720.5"/>
    <s v="Completed"/>
    <s v="Mumbai"/>
    <x v="3"/>
    <s v="Retail"/>
    <n v="54"/>
    <x v="2"/>
  </r>
  <r>
    <s v="ORD-00598"/>
    <x v="51"/>
    <s v="CUST-0176"/>
    <s v="PROD-034"/>
    <x v="3"/>
    <n v="5"/>
    <n v="5080"/>
    <n v="23.8"/>
    <n v="19354.8"/>
    <s v="Completed"/>
    <s v="Bengaluru"/>
    <x v="3"/>
    <s v="SMB"/>
    <n v="34"/>
    <x v="0"/>
  </r>
  <r>
    <s v="ORD-00599"/>
    <x v="67"/>
    <s v="CUST-0026"/>
    <s v="PROD-041"/>
    <x v="11"/>
    <n v="5"/>
    <n v="1540"/>
    <n v="6.1"/>
    <n v="7230.3"/>
    <s v="Completed"/>
    <s v="Pune"/>
    <x v="5"/>
    <s v="Retail"/>
    <n v="62"/>
    <x v="0"/>
  </r>
  <r>
    <s v="ORD-00600"/>
    <x v="305"/>
    <s v="CUST-0213"/>
    <s v="PROD-024"/>
    <x v="15"/>
    <n v="7"/>
    <n v="2270"/>
    <n v="0.4"/>
    <n v="15826.44"/>
    <s v="Completed"/>
    <s v="Mumbai"/>
    <x v="2"/>
    <s v="Retail"/>
    <n v="37"/>
    <x v="1"/>
  </r>
  <r>
    <s v="ORD-00601"/>
    <x v="236"/>
    <s v="CUST-0190"/>
    <s v="PROD-057"/>
    <x v="15"/>
    <n v="2"/>
    <n v="960"/>
    <n v="3.7"/>
    <n v="1848.96"/>
    <s v="Completed"/>
    <s v="Hyderabad"/>
    <x v="1"/>
    <s v="Retail"/>
    <n v="52"/>
    <x v="1"/>
  </r>
  <r>
    <s v="ORD-00602"/>
    <x v="306"/>
    <s v="CUST-0150"/>
    <s v="PROD-007"/>
    <x v="28"/>
    <n v="6"/>
    <n v="1430"/>
    <n v="2"/>
    <n v="8408.4"/>
    <s v="Pending"/>
    <s v="Pune"/>
    <x v="4"/>
    <s v="SMB"/>
    <n v="53"/>
    <x v="2"/>
  </r>
  <r>
    <s v="ORD-00603"/>
    <x v="276"/>
    <s v="CUST-0129"/>
    <s v="PROD-047"/>
    <x v="3"/>
    <n v="10"/>
    <n v="3450"/>
    <n v="19.100000000000001"/>
    <n v="27910.5"/>
    <s v="Completed"/>
    <s v="Hyderabad"/>
    <x v="5"/>
    <s v="Retail"/>
    <n v="29"/>
    <x v="0"/>
  </r>
  <r>
    <s v="ORD-00604"/>
    <x v="249"/>
    <s v="CUST-0080"/>
    <s v="PROD-009"/>
    <x v="17"/>
    <n v="8"/>
    <n v="1220"/>
    <n v="16.899999999999999"/>
    <n v="8110.56"/>
    <s v="Completed"/>
    <s v="Pune"/>
    <x v="4"/>
    <s v="SMB"/>
    <n v="30"/>
    <x v="2"/>
  </r>
  <r>
    <s v="ORD-00605"/>
    <x v="96"/>
    <s v="CUST-0034"/>
    <s v="PROD-021"/>
    <x v="16"/>
    <n v="9"/>
    <n v="2760"/>
    <n v="16.899999999999999"/>
    <n v="20642.04"/>
    <s v="Completed"/>
    <s v="Delhi"/>
    <x v="2"/>
    <s v="Retail"/>
    <n v="47"/>
    <x v="3"/>
  </r>
  <r>
    <s v="ORD-00606"/>
    <x v="106"/>
    <s v="CUST-0179"/>
    <s v="PROD-043"/>
    <x v="21"/>
    <n v="6"/>
    <n v="3350"/>
    <n v="11.8"/>
    <n v="17728.2"/>
    <s v="Pending"/>
    <s v="Mumbai"/>
    <x v="5"/>
    <s v="SMB"/>
    <n v="54"/>
    <x v="3"/>
  </r>
  <r>
    <s v="ORD-00607"/>
    <x v="23"/>
    <s v="CUST-0176"/>
    <s v="PROD-048"/>
    <x v="22"/>
    <n v="6"/>
    <n v="5100"/>
    <n v="13.2"/>
    <n v="26560.799999999999"/>
    <s v="Completed"/>
    <s v="Bengaluru"/>
    <x v="5"/>
    <s v="SMB"/>
    <n v="34"/>
    <x v="1"/>
  </r>
  <r>
    <s v="ORD-00608"/>
    <x v="267"/>
    <s v="CUST-0144"/>
    <s v="PROD-010"/>
    <x v="28"/>
    <n v="6"/>
    <n v="2640"/>
    <n v="26.2"/>
    <n v="11689.92"/>
    <s v="Completed"/>
    <s v="Chennai"/>
    <x v="4"/>
    <s v="Retail"/>
    <n v="49"/>
    <x v="2"/>
  </r>
  <r>
    <s v="ORD-00609"/>
    <x v="111"/>
    <s v="CUST-0218"/>
    <s v="PROD-028"/>
    <x v="29"/>
    <n v="1"/>
    <n v="3660"/>
    <n v="19.7"/>
    <n v="2938.98"/>
    <s v="Completed"/>
    <s v="Mumbai"/>
    <x v="2"/>
    <s v="Retail"/>
    <n v="39"/>
    <x v="1"/>
  </r>
  <r>
    <s v="ORD-00610"/>
    <x v="290"/>
    <s v="CUST-0249"/>
    <s v="PROD-032"/>
    <x v="28"/>
    <n v="5"/>
    <n v="370"/>
    <n v="21.7"/>
    <n v="1448.55"/>
    <s v="Completed"/>
    <s v="Mumbai"/>
    <x v="3"/>
    <s v="Retail"/>
    <n v="44"/>
    <x v="2"/>
  </r>
  <r>
    <s v="ORD-00611"/>
    <x v="260"/>
    <s v="CUST-0092"/>
    <s v="PROD-016"/>
    <x v="5"/>
    <n v="5"/>
    <n v="620"/>
    <n v="10.199999999999999"/>
    <n v="2783.8"/>
    <s v="Completed"/>
    <s v="Bengaluru"/>
    <x v="0"/>
    <s v="SMB"/>
    <n v="28"/>
    <x v="2"/>
  </r>
  <r>
    <s v="ORD-00612"/>
    <x v="40"/>
    <s v="CUST-0245"/>
    <s v="PROD-053"/>
    <x v="26"/>
    <n v="8"/>
    <n v="470"/>
    <n v="2.4"/>
    <n v="3669.76"/>
    <s v="Completed"/>
    <s v="Hyderabad"/>
    <x v="1"/>
    <s v="Retail"/>
    <n v="65"/>
    <x v="3"/>
  </r>
  <r>
    <s v="ORD-00613"/>
    <x v="294"/>
    <s v="CUST-0134"/>
    <s v="PROD-042"/>
    <x v="1"/>
    <n v="3"/>
    <n v="2290"/>
    <n v="20.8"/>
    <n v="5441.04"/>
    <s v="Completed"/>
    <s v="Delhi"/>
    <x v="5"/>
    <s v="Retail"/>
    <n v="40"/>
    <x v="0"/>
  </r>
  <r>
    <s v="ORD-00614"/>
    <x v="92"/>
    <s v="CUST-0063"/>
    <s v="PROD-057"/>
    <x v="6"/>
    <n v="4"/>
    <n v="960"/>
    <n v="28.8"/>
    <n v="2734.08"/>
    <s v="Pending"/>
    <s v="Mumbai"/>
    <x v="1"/>
    <s v="SMB"/>
    <n v="53"/>
    <x v="2"/>
  </r>
  <r>
    <s v="ORD-00615"/>
    <x v="307"/>
    <s v="CUST-0172"/>
    <s v="PROD-028"/>
    <x v="9"/>
    <n v="5"/>
    <n v="3660"/>
    <n v="11.9"/>
    <n v="16122.3"/>
    <s v="Pending"/>
    <s v="Pune"/>
    <x v="2"/>
    <s v="Retail"/>
    <n v="65"/>
    <x v="1"/>
  </r>
  <r>
    <s v="ORD-00616"/>
    <x v="173"/>
    <s v="CUST-0139"/>
    <s v="PROD-003"/>
    <x v="7"/>
    <n v="5"/>
    <n v="3570"/>
    <n v="12.4"/>
    <n v="15636.6"/>
    <s v="Completed"/>
    <s v="Hyderabad"/>
    <x v="4"/>
    <s v="SMB"/>
    <n v="65"/>
    <x v="3"/>
  </r>
  <r>
    <s v="ORD-00617"/>
    <x v="246"/>
    <s v="CUST-0275"/>
    <s v="PROD-033"/>
    <x v="21"/>
    <n v="9"/>
    <n v="2030"/>
    <n v="23.4"/>
    <n v="13994.82"/>
    <s v="Completed"/>
    <s v="Mumbai"/>
    <x v="3"/>
    <s v="Retail"/>
    <n v="36"/>
    <x v="3"/>
  </r>
  <r>
    <s v="ORD-00618"/>
    <x v="60"/>
    <s v="CUST-0006"/>
    <s v="PROD-015"/>
    <x v="6"/>
    <n v="7"/>
    <n v="2720"/>
    <n v="11.2"/>
    <n v="16907.52"/>
    <s v="Refunded"/>
    <s v="Pune"/>
    <x v="0"/>
    <s v="SMB"/>
    <n v="44"/>
    <x v="2"/>
  </r>
  <r>
    <s v="ORD-00619"/>
    <x v="180"/>
    <s v="CUST-0279"/>
    <s v="PROD-003"/>
    <x v="4"/>
    <n v="2"/>
    <n v="3570"/>
    <n v="6.1"/>
    <n v="6704.46"/>
    <s v="Cancelled"/>
    <s v="Mumbai"/>
    <x v="4"/>
    <s v="Retail"/>
    <n v="56"/>
    <x v="0"/>
  </r>
  <r>
    <s v="ORD-00620"/>
    <x v="308"/>
    <s v="CUST-0093"/>
    <s v="PROD-058"/>
    <x v="19"/>
    <n v="5"/>
    <n v="2400"/>
    <n v="16.100000000000001"/>
    <n v="10068"/>
    <s v="Completed"/>
    <s v="Pune"/>
    <x v="1"/>
    <s v="Retail"/>
    <n v="36"/>
    <x v="0"/>
  </r>
  <r>
    <s v="ORD-00621"/>
    <x v="95"/>
    <s v="CUST-0063"/>
    <s v="PROD-024"/>
    <x v="25"/>
    <n v="4"/>
    <n v="2270"/>
    <n v="27.5"/>
    <n v="6583"/>
    <s v="Pending"/>
    <s v="Mumbai"/>
    <x v="2"/>
    <s v="SMB"/>
    <n v="53"/>
    <x v="0"/>
  </r>
  <r>
    <s v="ORD-00622"/>
    <x v="89"/>
    <s v="CUST-0071"/>
    <s v="PROD-030"/>
    <x v="27"/>
    <n v="1"/>
    <n v="970"/>
    <n v="12.7"/>
    <n v="846.81"/>
    <s v="Completed"/>
    <s v="Delhi"/>
    <x v="2"/>
    <s v="Corporate"/>
    <n v="46"/>
    <x v="1"/>
  </r>
  <r>
    <s v="ORD-00623"/>
    <x v="246"/>
    <s v="CUST-0119"/>
    <s v="PROD-056"/>
    <x v="26"/>
    <n v="5"/>
    <n v="6940"/>
    <n v="16.2"/>
    <n v="29078.6"/>
    <s v="Completed"/>
    <s v="Bengaluru"/>
    <x v="1"/>
    <s v="SMB"/>
    <n v="43"/>
    <x v="3"/>
  </r>
  <r>
    <s v="ORD-00624"/>
    <x v="261"/>
    <s v="CUST-0035"/>
    <s v="PROD-056"/>
    <x v="18"/>
    <n v="4"/>
    <n v="6940"/>
    <n v="15.1"/>
    <n v="23568.240000000002"/>
    <s v="Completed"/>
    <s v="Hyderabad"/>
    <x v="1"/>
    <s v="Retail"/>
    <n v="53"/>
    <x v="1"/>
  </r>
  <r>
    <s v="ORD-00625"/>
    <x v="78"/>
    <s v="CUST-0042"/>
    <s v="PROD-054"/>
    <x v="3"/>
    <n v="1"/>
    <n v="1010"/>
    <n v="1.7"/>
    <n v="992.83"/>
    <s v="Completed"/>
    <s v="Pune"/>
    <x v="1"/>
    <s v="Retail"/>
    <n v="25"/>
    <x v="0"/>
  </r>
  <r>
    <s v="ORD-00626"/>
    <x v="303"/>
    <s v="CUST-0033"/>
    <s v="PROD-004"/>
    <x v="0"/>
    <n v="6"/>
    <n v="3870"/>
    <n v="12.2"/>
    <n v="20387.16"/>
    <s v="Completed"/>
    <s v="Delhi"/>
    <x v="4"/>
    <s v="Retail"/>
    <n v="35"/>
    <x v="0"/>
  </r>
  <r>
    <s v="ORD-00627"/>
    <x v="309"/>
    <s v="CUST-0077"/>
    <s v="PROD-048"/>
    <x v="23"/>
    <n v="9"/>
    <n v="5100"/>
    <n v="26.4"/>
    <n v="33782.400000000001"/>
    <s v="Completed"/>
    <s v="Hyderabad"/>
    <x v="5"/>
    <s v="SMB"/>
    <n v="48"/>
    <x v="1"/>
  </r>
  <r>
    <s v="ORD-00628"/>
    <x v="310"/>
    <s v="CUST-0266"/>
    <s v="PROD-012"/>
    <x v="4"/>
    <n v="2"/>
    <n v="3160"/>
    <n v="13.4"/>
    <n v="5473.12"/>
    <s v="Refunded"/>
    <s v="Pune"/>
    <x v="0"/>
    <s v="Retail"/>
    <n v="65"/>
    <x v="0"/>
  </r>
  <r>
    <s v="ORD-00629"/>
    <x v="211"/>
    <s v="CUST-0272"/>
    <s v="PROD-029"/>
    <x v="23"/>
    <n v="8"/>
    <n v="2210"/>
    <n v="26"/>
    <n v="13083.2"/>
    <s v="Completed"/>
    <s v="Mumbai"/>
    <x v="2"/>
    <s v="SMB"/>
    <n v="47"/>
    <x v="1"/>
  </r>
  <r>
    <s v="ORD-00630"/>
    <x v="237"/>
    <s v="CUST-0253"/>
    <s v="PROD-018"/>
    <x v="17"/>
    <n v="5"/>
    <n v="3560"/>
    <n v="15"/>
    <n v="15130"/>
    <s v="Completed"/>
    <s v="Delhi"/>
    <x v="0"/>
    <s v="SMB"/>
    <n v="53"/>
    <x v="2"/>
  </r>
  <r>
    <s v="ORD-00631"/>
    <x v="142"/>
    <s v="CUST-0252"/>
    <s v="PROD-016"/>
    <x v="9"/>
    <n v="10"/>
    <n v="620"/>
    <n v="15.8"/>
    <n v="5220.3999999999996"/>
    <s v="Refunded"/>
    <s v="Bengaluru"/>
    <x v="0"/>
    <s v="Retail"/>
    <n v="27"/>
    <x v="1"/>
  </r>
  <r>
    <s v="ORD-00632"/>
    <x v="276"/>
    <s v="CUST-0097"/>
    <s v="PROD-021"/>
    <x v="25"/>
    <n v="3"/>
    <n v="2760"/>
    <n v="1.9"/>
    <n v="8122.68"/>
    <s v="Cancelled"/>
    <s v="Mumbai"/>
    <x v="2"/>
    <s v="Retail"/>
    <n v="65"/>
    <x v="0"/>
  </r>
  <r>
    <s v="ORD-00633"/>
    <x v="287"/>
    <s v="CUST-0283"/>
    <s v="PROD-054"/>
    <x v="1"/>
    <n v="10"/>
    <n v="1010"/>
    <n v="28.9"/>
    <n v="7181.1"/>
    <s v="Completed"/>
    <s v="Delhi"/>
    <x v="1"/>
    <s v="SMB"/>
    <n v="50"/>
    <x v="0"/>
  </r>
  <r>
    <s v="ORD-00634"/>
    <x v="279"/>
    <s v="CUST-0064"/>
    <s v="PROD-013"/>
    <x v="25"/>
    <n v="1"/>
    <n v="3640"/>
    <n v="9.6999999999999993"/>
    <n v="3286.92"/>
    <s v="Completed"/>
    <s v="Hyderabad"/>
    <x v="0"/>
    <s v="SMB"/>
    <n v="40"/>
    <x v="0"/>
  </r>
  <r>
    <s v="ORD-00635"/>
    <x v="135"/>
    <s v="CUST-0143"/>
    <s v="PROD-020"/>
    <x v="9"/>
    <n v="1"/>
    <n v="820"/>
    <n v="15"/>
    <n v="697"/>
    <s v="Completed"/>
    <s v="Chennai"/>
    <x v="0"/>
    <s v="SMB"/>
    <n v="52"/>
    <x v="1"/>
  </r>
  <r>
    <s v="ORD-00636"/>
    <x v="305"/>
    <s v="CUST-0265"/>
    <s v="PROD-013"/>
    <x v="23"/>
    <n v="4"/>
    <n v="3640"/>
    <n v="17"/>
    <n v="12084.8"/>
    <s v="Completed"/>
    <s v="Chennai"/>
    <x v="0"/>
    <s v="Retail"/>
    <n v="49"/>
    <x v="1"/>
  </r>
  <r>
    <s v="ORD-00637"/>
    <x v="54"/>
    <s v="CUST-0158"/>
    <s v="PROD-023"/>
    <x v="25"/>
    <n v="7"/>
    <n v="2380"/>
    <n v="25.5"/>
    <n v="12411.7"/>
    <s v="Completed"/>
    <s v="Pune"/>
    <x v="2"/>
    <s v="Corporate"/>
    <n v="42"/>
    <x v="0"/>
  </r>
  <r>
    <s v="ORD-00638"/>
    <x v="311"/>
    <s v="CUST-0154"/>
    <s v="PROD-037"/>
    <x v="4"/>
    <n v="1"/>
    <n v="660"/>
    <n v="2.5"/>
    <n v="643.5"/>
    <s v="Completed"/>
    <s v="Pune"/>
    <x v="3"/>
    <s v="Retail"/>
    <n v="36"/>
    <x v="0"/>
  </r>
  <r>
    <s v="ORD-00639"/>
    <x v="177"/>
    <s v="CUST-0057"/>
    <s v="PROD-004"/>
    <x v="16"/>
    <n v="7"/>
    <n v="3870"/>
    <n v="20.3"/>
    <n v="21590.73"/>
    <s v="Pending"/>
    <s v="Pune"/>
    <x v="4"/>
    <s v="Retail"/>
    <n v="35"/>
    <x v="3"/>
  </r>
  <r>
    <s v="ORD-00640"/>
    <x v="176"/>
    <s v="CUST-0088"/>
    <s v="PROD-032"/>
    <x v="29"/>
    <n v="10"/>
    <n v="370"/>
    <n v="1.3"/>
    <n v="3651.9"/>
    <s v="Refunded"/>
    <s v="Chennai"/>
    <x v="3"/>
    <s v="Retail"/>
    <n v="24"/>
    <x v="1"/>
  </r>
  <r>
    <s v="ORD-00641"/>
    <x v="13"/>
    <s v="CUST-0064"/>
    <s v="PROD-014"/>
    <x v="26"/>
    <n v="1"/>
    <n v="3620"/>
    <n v="1.4"/>
    <n v="3569.32"/>
    <s v="Completed"/>
    <s v="Hyderabad"/>
    <x v="0"/>
    <s v="SMB"/>
    <n v="40"/>
    <x v="3"/>
  </r>
  <r>
    <s v="ORD-00642"/>
    <x v="308"/>
    <s v="CUST-0192"/>
    <s v="PROD-008"/>
    <x v="1"/>
    <n v="10"/>
    <n v="2660"/>
    <n v="20.2"/>
    <n v="21226.799999999999"/>
    <s v="Completed"/>
    <s v="Bengaluru"/>
    <x v="4"/>
    <s v="Retail"/>
    <n v="55"/>
    <x v="0"/>
  </r>
  <r>
    <s v="ORD-00643"/>
    <x v="105"/>
    <s v="CUST-0175"/>
    <s v="PROD-051"/>
    <x v="15"/>
    <n v="10"/>
    <n v="3450"/>
    <n v="25.1"/>
    <n v="25840.5"/>
    <s v="Completed"/>
    <s v="Delhi"/>
    <x v="1"/>
    <s v="Corporate"/>
    <n v="55"/>
    <x v="1"/>
  </r>
  <r>
    <s v="ORD-00644"/>
    <x v="98"/>
    <s v="CUST-0083"/>
    <s v="PROD-025"/>
    <x v="22"/>
    <n v="3"/>
    <n v="4060"/>
    <n v="2.5"/>
    <n v="11875.5"/>
    <s v="Refunded"/>
    <s v="Bengaluru"/>
    <x v="2"/>
    <s v="Corporate"/>
    <n v="31"/>
    <x v="1"/>
  </r>
  <r>
    <s v="ORD-00645"/>
    <x v="137"/>
    <s v="CUST-0142"/>
    <s v="PROD-057"/>
    <x v="13"/>
    <n v="3"/>
    <n v="960"/>
    <n v="6.6"/>
    <n v="2689.92"/>
    <s v="Cancelled"/>
    <s v="Chennai"/>
    <x v="1"/>
    <s v="Corporate"/>
    <n v="55"/>
    <x v="3"/>
  </r>
  <r>
    <s v="ORD-00646"/>
    <x v="196"/>
    <s v="CUST-0185"/>
    <s v="PROD-008"/>
    <x v="4"/>
    <n v="4"/>
    <n v="2660"/>
    <n v="16.899999999999999"/>
    <n v="8841.84"/>
    <s v="Completed"/>
    <s v="Hyderabad"/>
    <x v="4"/>
    <s v="SMB"/>
    <n v="43"/>
    <x v="0"/>
  </r>
  <r>
    <s v="ORD-00647"/>
    <x v="264"/>
    <s v="CUST-0284"/>
    <s v="PROD-024"/>
    <x v="26"/>
    <n v="6"/>
    <n v="2270"/>
    <n v="16.7"/>
    <n v="11345.46"/>
    <s v="Completed"/>
    <s v="Hyderabad"/>
    <x v="2"/>
    <s v="SMB"/>
    <n v="65"/>
    <x v="3"/>
  </r>
  <r>
    <s v="ORD-00648"/>
    <x v="0"/>
    <s v="CUST-0092"/>
    <s v="PROD-027"/>
    <x v="5"/>
    <n v="5"/>
    <n v="3780"/>
    <n v="21.5"/>
    <n v="14836.5"/>
    <s v="Completed"/>
    <s v="Bengaluru"/>
    <x v="2"/>
    <s v="SMB"/>
    <n v="28"/>
    <x v="2"/>
  </r>
  <r>
    <s v="ORD-00649"/>
    <x v="265"/>
    <s v="CUST-0091"/>
    <s v="PROD-037"/>
    <x v="7"/>
    <n v="10"/>
    <n v="660"/>
    <n v="18.8"/>
    <n v="5359.2"/>
    <s v="Completed"/>
    <s v="Delhi"/>
    <x v="3"/>
    <s v="Retail"/>
    <n v="55"/>
    <x v="3"/>
  </r>
  <r>
    <s v="ORD-00650"/>
    <x v="3"/>
    <s v="CUST-0155"/>
    <s v="PROD-031"/>
    <x v="6"/>
    <n v="10"/>
    <n v="3730"/>
    <n v="15.1"/>
    <n v="31667.7"/>
    <s v="Completed"/>
    <s v="Pune"/>
    <x v="3"/>
    <s v="Corporate"/>
    <n v="40"/>
    <x v="2"/>
  </r>
  <r>
    <s v="ORD-00651"/>
    <x v="115"/>
    <s v="CUST-0280"/>
    <s v="PROD-025"/>
    <x v="13"/>
    <n v="6"/>
    <n v="4060"/>
    <n v="20.100000000000001"/>
    <n v="19463.64"/>
    <s v="Pending"/>
    <s v="Delhi"/>
    <x v="2"/>
    <s v="SMB"/>
    <n v="27"/>
    <x v="3"/>
  </r>
  <r>
    <s v="ORD-00652"/>
    <x v="283"/>
    <s v="CUST-0127"/>
    <s v="PROD-024"/>
    <x v="11"/>
    <n v="2"/>
    <n v="2270"/>
    <n v="17.7"/>
    <n v="3736.42"/>
    <s v="Completed"/>
    <s v="Bengaluru"/>
    <x v="2"/>
    <s v="SMB"/>
    <n v="36"/>
    <x v="0"/>
  </r>
  <r>
    <s v="ORD-00653"/>
    <x v="294"/>
    <s v="CUST-0077"/>
    <s v="PROD-003"/>
    <x v="8"/>
    <n v="9"/>
    <n v="3570"/>
    <n v="29.9"/>
    <n v="22523.13"/>
    <s v="Completed"/>
    <s v="Hyderabad"/>
    <x v="4"/>
    <s v="SMB"/>
    <n v="48"/>
    <x v="2"/>
  </r>
  <r>
    <s v="ORD-00654"/>
    <x v="126"/>
    <s v="CUST-0190"/>
    <s v="PROD-029"/>
    <x v="10"/>
    <n v="7"/>
    <n v="2210"/>
    <n v="25"/>
    <n v="11602.5"/>
    <s v="Completed"/>
    <s v="Hyderabad"/>
    <x v="2"/>
    <s v="Retail"/>
    <n v="52"/>
    <x v="0"/>
  </r>
  <r>
    <s v="ORD-00655"/>
    <x v="257"/>
    <s v="CUST-0089"/>
    <s v="PROD-057"/>
    <x v="17"/>
    <n v="2"/>
    <n v="960"/>
    <n v="8.1999999999999993"/>
    <n v="1762.56"/>
    <s v="Cancelled"/>
    <s v="Mumbai"/>
    <x v="1"/>
    <s v="SMB"/>
    <n v="43"/>
    <x v="2"/>
  </r>
  <r>
    <s v="ORD-00656"/>
    <x v="24"/>
    <s v="CUST-0141"/>
    <s v="PROD-059"/>
    <x v="17"/>
    <n v="9"/>
    <n v="3780"/>
    <n v="28.4"/>
    <n v="24358.32"/>
    <s v="Pending"/>
    <s v="Hyderabad"/>
    <x v="1"/>
    <s v="Corporate"/>
    <n v="22"/>
    <x v="2"/>
  </r>
  <r>
    <s v="ORD-00657"/>
    <x v="248"/>
    <s v="CUST-0123"/>
    <s v="PROD-048"/>
    <x v="2"/>
    <n v="2"/>
    <n v="5100"/>
    <n v="8.6"/>
    <n v="9322.7999999999993"/>
    <s v="Completed"/>
    <s v="Chennai"/>
    <x v="5"/>
    <s v="Corporate"/>
    <n v="44"/>
    <x v="1"/>
  </r>
  <r>
    <s v="ORD-00658"/>
    <x v="85"/>
    <s v="CUST-0041"/>
    <s v="PROD-019"/>
    <x v="13"/>
    <n v="4"/>
    <n v="2480"/>
    <n v="16.600000000000001"/>
    <n v="8273.2800000000007"/>
    <s v="Completed"/>
    <s v="Bengaluru"/>
    <x v="0"/>
    <s v="SMB"/>
    <n v="26"/>
    <x v="3"/>
  </r>
  <r>
    <s v="ORD-00659"/>
    <x v="68"/>
    <s v="CUST-0257"/>
    <s v="PROD-040"/>
    <x v="26"/>
    <n v="10"/>
    <n v="1080"/>
    <n v="14.5"/>
    <n v="9234"/>
    <s v="Completed"/>
    <s v="Mumbai"/>
    <x v="3"/>
    <s v="Corporate"/>
    <n v="46"/>
    <x v="3"/>
  </r>
  <r>
    <s v="ORD-00660"/>
    <x v="312"/>
    <s v="CUST-0134"/>
    <s v="PROD-002"/>
    <x v="20"/>
    <n v="7"/>
    <n v="2600"/>
    <n v="21"/>
    <n v="14378"/>
    <s v="Completed"/>
    <s v="Delhi"/>
    <x v="4"/>
    <s v="Retail"/>
    <n v="40"/>
    <x v="2"/>
  </r>
  <r>
    <s v="ORD-00661"/>
    <x v="81"/>
    <s v="CUST-0180"/>
    <s v="PROD-002"/>
    <x v="15"/>
    <n v="7"/>
    <n v="2600"/>
    <n v="6.7"/>
    <n v="16980.599999999999"/>
    <s v="Pending"/>
    <s v="Chennai"/>
    <x v="4"/>
    <s v="Retail"/>
    <n v="36"/>
    <x v="1"/>
  </r>
  <r>
    <s v="ORD-00662"/>
    <x v="210"/>
    <s v="CUST-0283"/>
    <s v="PROD-020"/>
    <x v="12"/>
    <n v="8"/>
    <n v="820"/>
    <n v="17.8"/>
    <n v="5392.32"/>
    <s v="Pending"/>
    <s v="Delhi"/>
    <x v="0"/>
    <s v="SMB"/>
    <n v="50"/>
    <x v="3"/>
  </r>
  <r>
    <s v="ORD-00663"/>
    <x v="147"/>
    <s v="CUST-0047"/>
    <s v="PROD-057"/>
    <x v="18"/>
    <n v="3"/>
    <n v="960"/>
    <n v="17.8"/>
    <n v="2367.36"/>
    <s v="Completed"/>
    <s v="Pune"/>
    <x v="1"/>
    <s v="Retail"/>
    <n v="49"/>
    <x v="1"/>
  </r>
  <r>
    <s v="ORD-00664"/>
    <x v="114"/>
    <s v="CUST-0175"/>
    <s v="PROD-041"/>
    <x v="12"/>
    <n v="2"/>
    <n v="1540"/>
    <n v="1.8"/>
    <n v="3024.56"/>
    <s v="Cancelled"/>
    <s v="Delhi"/>
    <x v="5"/>
    <s v="Corporate"/>
    <n v="55"/>
    <x v="3"/>
  </r>
  <r>
    <s v="ORD-00665"/>
    <x v="81"/>
    <s v="CUST-0227"/>
    <s v="PROD-056"/>
    <x v="14"/>
    <n v="5"/>
    <n v="6940"/>
    <n v="2.9"/>
    <n v="33693.699999999997"/>
    <s v="Completed"/>
    <s v="Bengaluru"/>
    <x v="1"/>
    <s v="SMB"/>
    <n v="44"/>
    <x v="2"/>
  </r>
  <r>
    <s v="ORD-00666"/>
    <x v="101"/>
    <s v="CUST-0287"/>
    <s v="PROD-041"/>
    <x v="22"/>
    <n v="5"/>
    <n v="1540"/>
    <n v="28.8"/>
    <n v="5482.4"/>
    <s v="Completed"/>
    <s v="Chennai"/>
    <x v="5"/>
    <s v="SMB"/>
    <n v="53"/>
    <x v="1"/>
  </r>
  <r>
    <s v="ORD-00667"/>
    <x v="179"/>
    <s v="CUST-0004"/>
    <s v="PROD-031"/>
    <x v="27"/>
    <n v="8"/>
    <n v="3730"/>
    <n v="21.1"/>
    <n v="23543.759999999998"/>
    <s v="Completed"/>
    <s v="Delhi"/>
    <x v="3"/>
    <s v="Retail"/>
    <n v="53"/>
    <x v="1"/>
  </r>
  <r>
    <s v="ORD-00668"/>
    <x v="208"/>
    <s v="CUST-0234"/>
    <s v="PROD-021"/>
    <x v="12"/>
    <n v="7"/>
    <n v="2760"/>
    <n v="1.2"/>
    <n v="19088.16"/>
    <s v="Cancelled"/>
    <s v="Bengaluru"/>
    <x v="2"/>
    <s v="Retail"/>
    <n v="34"/>
    <x v="3"/>
  </r>
  <r>
    <s v="ORD-00669"/>
    <x v="313"/>
    <s v="CUST-0255"/>
    <s v="PROD-006"/>
    <x v="16"/>
    <n v="3"/>
    <n v="3970"/>
    <n v="18.3"/>
    <n v="9730.4699999999993"/>
    <s v="Completed"/>
    <s v="Chennai"/>
    <x v="4"/>
    <s v="Corporate"/>
    <n v="51"/>
    <x v="3"/>
  </r>
  <r>
    <s v="ORD-00670"/>
    <x v="274"/>
    <s v="CUST-0092"/>
    <s v="PROD-027"/>
    <x v="12"/>
    <n v="4"/>
    <n v="3780"/>
    <n v="24.6"/>
    <n v="11400.48"/>
    <s v="Completed"/>
    <s v="Bengaluru"/>
    <x v="2"/>
    <s v="SMB"/>
    <n v="28"/>
    <x v="3"/>
  </r>
  <r>
    <s v="ORD-00671"/>
    <x v="146"/>
    <s v="CUST-0037"/>
    <s v="PROD-015"/>
    <x v="4"/>
    <n v="10"/>
    <n v="2720"/>
    <n v="12.8"/>
    <n v="23718.400000000001"/>
    <s v="Completed"/>
    <s v="Bengaluru"/>
    <x v="0"/>
    <s v="Retail"/>
    <n v="52"/>
    <x v="0"/>
  </r>
  <r>
    <s v="ORD-00672"/>
    <x v="2"/>
    <s v="CUST-0208"/>
    <s v="PROD-006"/>
    <x v="21"/>
    <n v="5"/>
    <n v="3970"/>
    <n v="5.9"/>
    <n v="18678.849999999999"/>
    <s v="Completed"/>
    <s v="Mumbai"/>
    <x v="4"/>
    <s v="Retail"/>
    <n v="49"/>
    <x v="3"/>
  </r>
  <r>
    <s v="ORD-00673"/>
    <x v="131"/>
    <s v="CUST-0008"/>
    <s v="PROD-020"/>
    <x v="23"/>
    <n v="3"/>
    <n v="820"/>
    <n v="19.399999999999999"/>
    <n v="1982.76"/>
    <s v="Completed"/>
    <s v="Pune"/>
    <x v="0"/>
    <s v="SMB"/>
    <n v="39"/>
    <x v="1"/>
  </r>
  <r>
    <s v="ORD-00674"/>
    <x v="314"/>
    <s v="CUST-0050"/>
    <s v="PROD-016"/>
    <x v="9"/>
    <n v="7"/>
    <n v="620"/>
    <n v="9.9"/>
    <n v="3910.34"/>
    <s v="Completed"/>
    <s v="Mumbai"/>
    <x v="0"/>
    <s v="Retail"/>
    <n v="37"/>
    <x v="1"/>
  </r>
  <r>
    <s v="ORD-00675"/>
    <x v="125"/>
    <s v="CUST-0166"/>
    <s v="PROD-042"/>
    <x v="28"/>
    <n v="8"/>
    <n v="2290"/>
    <n v="18.3"/>
    <n v="14967.44"/>
    <s v="Completed"/>
    <s v="Hyderabad"/>
    <x v="5"/>
    <s v="Retail"/>
    <n v="31"/>
    <x v="2"/>
  </r>
  <r>
    <s v="ORD-00676"/>
    <x v="234"/>
    <s v="CUST-0271"/>
    <s v="PROD-030"/>
    <x v="5"/>
    <n v="3"/>
    <n v="970"/>
    <n v="18.399999999999999"/>
    <n v="2374.56"/>
    <s v="Completed"/>
    <s v="Bengaluru"/>
    <x v="2"/>
    <s v="Corporate"/>
    <n v="41"/>
    <x v="2"/>
  </r>
  <r>
    <s v="ORD-00677"/>
    <x v="140"/>
    <s v="CUST-0034"/>
    <s v="PROD-032"/>
    <x v="2"/>
    <n v="2"/>
    <n v="370"/>
    <n v="8.9"/>
    <n v="674.14"/>
    <s v="Completed"/>
    <s v="Delhi"/>
    <x v="3"/>
    <s v="Retail"/>
    <n v="47"/>
    <x v="1"/>
  </r>
  <r>
    <s v="ORD-00678"/>
    <x v="215"/>
    <s v="CUST-0016"/>
    <s v="PROD-007"/>
    <x v="0"/>
    <n v="1"/>
    <n v="1430"/>
    <n v="5.9"/>
    <n v="1345.63"/>
    <s v="Cancelled"/>
    <s v="Delhi"/>
    <x v="4"/>
    <s v="SMB"/>
    <n v="26"/>
    <x v="0"/>
  </r>
  <r>
    <s v="ORD-00679"/>
    <x v="315"/>
    <s v="CUST-0039"/>
    <s v="PROD-058"/>
    <x v="14"/>
    <n v="2"/>
    <n v="2400"/>
    <n v="29.1"/>
    <n v="3403.2"/>
    <s v="Completed"/>
    <s v="Bengaluru"/>
    <x v="1"/>
    <s v="Retail"/>
    <n v="37"/>
    <x v="2"/>
  </r>
  <r>
    <s v="ORD-00680"/>
    <x v="186"/>
    <s v="CUST-0253"/>
    <s v="PROD-007"/>
    <x v="23"/>
    <n v="9"/>
    <n v="1430"/>
    <n v="6"/>
    <n v="12097.8"/>
    <s v="Completed"/>
    <s v="Delhi"/>
    <x v="4"/>
    <s v="SMB"/>
    <n v="53"/>
    <x v="1"/>
  </r>
  <r>
    <s v="ORD-00681"/>
    <x v="256"/>
    <s v="CUST-0295"/>
    <s v="PROD-015"/>
    <x v="0"/>
    <n v="8"/>
    <n v="2720"/>
    <n v="25.7"/>
    <n v="16167.68"/>
    <s v="Completed"/>
    <s v="Delhi"/>
    <x v="0"/>
    <s v="SMB"/>
    <n v="48"/>
    <x v="0"/>
  </r>
  <r>
    <s v="ORD-00682"/>
    <x v="160"/>
    <s v="CUST-0138"/>
    <s v="PROD-056"/>
    <x v="28"/>
    <n v="6"/>
    <n v="6940"/>
    <n v="25.7"/>
    <n v="30938.52"/>
    <s v="Completed"/>
    <s v="Chennai"/>
    <x v="1"/>
    <s v="Retail"/>
    <n v="24"/>
    <x v="2"/>
  </r>
  <r>
    <s v="ORD-00683"/>
    <x v="22"/>
    <s v="CUST-0002"/>
    <s v="PROD-014"/>
    <x v="0"/>
    <n v="3"/>
    <n v="3620"/>
    <n v="29.7"/>
    <n v="7634.58"/>
    <s v="Completed"/>
    <s v="Pune"/>
    <x v="0"/>
    <s v="Corporate"/>
    <n v="42"/>
    <x v="0"/>
  </r>
  <r>
    <s v="ORD-00684"/>
    <x v="70"/>
    <s v="CUST-0287"/>
    <s v="PROD-010"/>
    <x v="5"/>
    <n v="8"/>
    <n v="2640"/>
    <n v="24.4"/>
    <n v="15966.72"/>
    <s v="Completed"/>
    <s v="Chennai"/>
    <x v="4"/>
    <s v="SMB"/>
    <n v="53"/>
    <x v="2"/>
  </r>
  <r>
    <s v="ORD-00685"/>
    <x v="134"/>
    <s v="CUST-0279"/>
    <s v="PROD-038"/>
    <x v="3"/>
    <n v="3"/>
    <n v="5490"/>
    <n v="13.5"/>
    <n v="14246.55"/>
    <s v="Completed"/>
    <s v="Mumbai"/>
    <x v="3"/>
    <s v="Retail"/>
    <n v="56"/>
    <x v="0"/>
  </r>
  <r>
    <s v="ORD-00686"/>
    <x v="3"/>
    <s v="CUST-0008"/>
    <s v="PROD-034"/>
    <x v="21"/>
    <n v="3"/>
    <n v="5080"/>
    <n v="9.3000000000000007"/>
    <n v="13822.68"/>
    <s v="Completed"/>
    <s v="Pune"/>
    <x v="3"/>
    <s v="SMB"/>
    <n v="39"/>
    <x v="3"/>
  </r>
  <r>
    <s v="ORD-00687"/>
    <x v="50"/>
    <s v="CUST-0092"/>
    <s v="PROD-042"/>
    <x v="14"/>
    <n v="4"/>
    <n v="2290"/>
    <n v="24.4"/>
    <n v="6924.96"/>
    <s v="Completed"/>
    <s v="Bengaluru"/>
    <x v="5"/>
    <s v="SMB"/>
    <n v="28"/>
    <x v="2"/>
  </r>
  <r>
    <s v="ORD-00688"/>
    <x v="113"/>
    <s v="CUST-0106"/>
    <s v="PROD-033"/>
    <x v="23"/>
    <n v="10"/>
    <n v="2030"/>
    <n v="13.6"/>
    <n v="17539.2"/>
    <s v="Pending"/>
    <s v="Pune"/>
    <x v="3"/>
    <s v="Retail"/>
    <n v="22"/>
    <x v="1"/>
  </r>
  <r>
    <s v="ORD-00689"/>
    <x v="84"/>
    <s v="CUST-0010"/>
    <s v="PROD-007"/>
    <x v="27"/>
    <n v="10"/>
    <n v="1430"/>
    <n v="16.100000000000001"/>
    <n v="11997.7"/>
    <s v="Cancelled"/>
    <s v="Mumbai"/>
    <x v="4"/>
    <s v="SMB"/>
    <n v="61"/>
    <x v="1"/>
  </r>
  <r>
    <s v="ORD-00690"/>
    <x v="298"/>
    <s v="CUST-0179"/>
    <s v="PROD-027"/>
    <x v="18"/>
    <n v="1"/>
    <n v="3780"/>
    <n v="22.7"/>
    <n v="2921.94"/>
    <s v="Completed"/>
    <s v="Mumbai"/>
    <x v="2"/>
    <s v="SMB"/>
    <n v="54"/>
    <x v="1"/>
  </r>
  <r>
    <s v="ORD-00691"/>
    <x v="68"/>
    <s v="CUST-0216"/>
    <s v="PROD-012"/>
    <x v="13"/>
    <n v="10"/>
    <n v="3160"/>
    <n v="13.4"/>
    <n v="27365.599999999999"/>
    <s v="Completed"/>
    <s v="Mumbai"/>
    <x v="0"/>
    <s v="Retail"/>
    <n v="50"/>
    <x v="3"/>
  </r>
  <r>
    <s v="ORD-00692"/>
    <x v="124"/>
    <s v="CUST-0172"/>
    <s v="PROD-007"/>
    <x v="11"/>
    <n v="2"/>
    <n v="1430"/>
    <n v="7.4"/>
    <n v="2648.36"/>
    <s v="Completed"/>
    <s v="Pune"/>
    <x v="4"/>
    <s v="Retail"/>
    <n v="65"/>
    <x v="0"/>
  </r>
  <r>
    <s v="ORD-00693"/>
    <x v="93"/>
    <s v="CUST-0152"/>
    <s v="PROD-012"/>
    <x v="3"/>
    <n v="5"/>
    <n v="3160"/>
    <n v="3.6"/>
    <n v="15231.2"/>
    <s v="Pending"/>
    <s v="Bengaluru"/>
    <x v="0"/>
    <s v="SMB"/>
    <n v="64"/>
    <x v="0"/>
  </r>
  <r>
    <s v="ORD-00694"/>
    <x v="126"/>
    <s v="CUST-0154"/>
    <s v="PROD-042"/>
    <x v="10"/>
    <n v="2"/>
    <n v="2290"/>
    <n v="28.2"/>
    <n v="3288.44"/>
    <s v="Completed"/>
    <s v="Pune"/>
    <x v="5"/>
    <s v="Retail"/>
    <n v="36"/>
    <x v="0"/>
  </r>
  <r>
    <s v="ORD-00695"/>
    <x v="250"/>
    <s v="CUST-0001"/>
    <s v="PROD-011"/>
    <x v="15"/>
    <n v="5"/>
    <n v="3450"/>
    <n v="18.100000000000001"/>
    <n v="14127.75"/>
    <s v="Cancelled"/>
    <s v="Pune"/>
    <x v="0"/>
    <s v="Retail"/>
    <n v="36"/>
    <x v="1"/>
  </r>
  <r>
    <s v="ORD-00696"/>
    <x v="96"/>
    <s v="CUST-0069"/>
    <s v="PROD-018"/>
    <x v="19"/>
    <n v="1"/>
    <n v="3560"/>
    <n v="18.7"/>
    <n v="2894.28"/>
    <s v="Completed"/>
    <s v="Chennai"/>
    <x v="0"/>
    <s v="Retail"/>
    <n v="51"/>
    <x v="0"/>
  </r>
  <r>
    <s v="ORD-00697"/>
    <x v="87"/>
    <s v="CUST-0200"/>
    <s v="PROD-058"/>
    <x v="18"/>
    <n v="9"/>
    <n v="2400"/>
    <n v="18.5"/>
    <n v="17604"/>
    <s v="Completed"/>
    <s v="Hyderabad"/>
    <x v="1"/>
    <s v="Corporate"/>
    <n v="46"/>
    <x v="1"/>
  </r>
  <r>
    <s v="ORD-00698"/>
    <x v="209"/>
    <s v="CUST-0164"/>
    <s v="PROD-004"/>
    <x v="12"/>
    <n v="9"/>
    <n v="3870"/>
    <n v="6.9"/>
    <n v="32426.73"/>
    <s v="Refunded"/>
    <s v="Chennai"/>
    <x v="4"/>
    <s v="Retail"/>
    <n v="60"/>
    <x v="3"/>
  </r>
  <r>
    <s v="ORD-00699"/>
    <x v="247"/>
    <s v="CUST-0004"/>
    <s v="PROD-028"/>
    <x v="24"/>
    <n v="5"/>
    <n v="3660"/>
    <n v="11.7"/>
    <n v="16158.9"/>
    <s v="Completed"/>
    <s v="Delhi"/>
    <x v="2"/>
    <s v="Retail"/>
    <n v="53"/>
    <x v="3"/>
  </r>
  <r>
    <s v="ORD-00700"/>
    <x v="63"/>
    <s v="CUST-0224"/>
    <s v="PROD-040"/>
    <x v="14"/>
    <n v="4"/>
    <n v="1080"/>
    <n v="17.5"/>
    <n v="3564"/>
    <s v="Completed"/>
    <s v="Chennai"/>
    <x v="3"/>
    <s v="Corporate"/>
    <n v="24"/>
    <x v="2"/>
  </r>
  <r>
    <s v="ORD-01185"/>
    <x v="92"/>
    <s v="CUST-0037"/>
    <s v="PROD-059"/>
    <x v="3"/>
    <n v="6"/>
    <n v="3780"/>
    <n v="27.8"/>
    <n v="16374.96"/>
    <s v="Completed"/>
    <s v="Bengaluru"/>
    <x v="1"/>
    <s v="Retail"/>
    <n v="52"/>
    <x v="0"/>
  </r>
  <r>
    <s v="ORD-00702"/>
    <x v="126"/>
    <s v="CUST-0179"/>
    <s v="PROD-019"/>
    <x v="24"/>
    <n v="8"/>
    <n v="2480"/>
    <n v="15.7"/>
    <n v="16725.12"/>
    <s v="Pending"/>
    <s v="Mumbai"/>
    <x v="0"/>
    <s v="SMB"/>
    <n v="54"/>
    <x v="3"/>
  </r>
  <r>
    <s v="ORD-00703"/>
    <x v="132"/>
    <s v="CUST-0018"/>
    <s v="PROD-054"/>
    <x v="2"/>
    <n v="10"/>
    <n v="1010"/>
    <n v="0.1"/>
    <n v="10089.9"/>
    <s v="Pending"/>
    <s v="Pune"/>
    <x v="1"/>
    <s v="SMB"/>
    <n v="54"/>
    <x v="1"/>
  </r>
  <r>
    <s v="ORD-00704"/>
    <x v="5"/>
    <s v="CUST-0184"/>
    <s v="PROD-053"/>
    <x v="15"/>
    <n v="3"/>
    <n v="470"/>
    <n v="1.1000000000000001"/>
    <n v="1394.49"/>
    <s v="Completed"/>
    <s v="Pune"/>
    <x v="1"/>
    <s v="Retail"/>
    <n v="63"/>
    <x v="1"/>
  </r>
  <r>
    <s v="ORD-00705"/>
    <x v="267"/>
    <s v="CUST-0066"/>
    <s v="PROD-024"/>
    <x v="7"/>
    <n v="4"/>
    <n v="2270"/>
    <n v="17.100000000000001"/>
    <n v="7527.32"/>
    <s v="Completed"/>
    <s v="Delhi"/>
    <x v="2"/>
    <s v="Retail"/>
    <n v="24"/>
    <x v="3"/>
  </r>
  <r>
    <s v="ORD-00706"/>
    <x v="276"/>
    <s v="CUST-0053"/>
    <s v="PROD-021"/>
    <x v="9"/>
    <n v="7"/>
    <n v="2760"/>
    <n v="17.100000000000001"/>
    <n v="16016.28"/>
    <s v="Completed"/>
    <s v="Delhi"/>
    <x v="2"/>
    <s v="Retail"/>
    <n v="53"/>
    <x v="1"/>
  </r>
  <r>
    <s v="ORD-00707"/>
    <x v="21"/>
    <s v="CUST-0278"/>
    <s v="PROD-051"/>
    <x v="4"/>
    <n v="6"/>
    <n v="3450"/>
    <n v="6.6"/>
    <n v="19333.8"/>
    <s v="Refunded"/>
    <s v="Hyderabad"/>
    <x v="1"/>
    <s v="Retail"/>
    <n v="41"/>
    <x v="0"/>
  </r>
  <r>
    <s v="ORD-00708"/>
    <x v="316"/>
    <s v="CUST-0285"/>
    <s v="PROD-028"/>
    <x v="0"/>
    <n v="8"/>
    <n v="3660"/>
    <n v="7.2"/>
    <n v="27171.84"/>
    <s v="Completed"/>
    <s v="Hyderabad"/>
    <x v="2"/>
    <s v="Retail"/>
    <n v="22"/>
    <x v="0"/>
  </r>
  <r>
    <s v="ORD-00709"/>
    <x v="317"/>
    <s v="CUST-0060"/>
    <s v="PROD-009"/>
    <x v="14"/>
    <n v="4"/>
    <n v="1220"/>
    <n v="24.3"/>
    <n v="3694.16"/>
    <s v="Cancelled"/>
    <s v="Pune"/>
    <x v="4"/>
    <s v="Retail"/>
    <n v="39"/>
    <x v="2"/>
  </r>
  <r>
    <s v="ORD-00710"/>
    <x v="294"/>
    <s v="CUST-0236"/>
    <s v="PROD-052"/>
    <x v="0"/>
    <n v="2"/>
    <n v="5410"/>
    <n v="0.9"/>
    <n v="10722.62"/>
    <s v="Pending"/>
    <s v="Hyderabad"/>
    <x v="1"/>
    <s v="SMB"/>
    <n v="28"/>
    <x v="0"/>
  </r>
  <r>
    <s v="ORD-00711"/>
    <x v="94"/>
    <s v="CUST-0106"/>
    <s v="PROD-033"/>
    <x v="18"/>
    <n v="5"/>
    <n v="2030"/>
    <n v="25.2"/>
    <n v="7592.2"/>
    <s v="Completed"/>
    <s v="Pune"/>
    <x v="3"/>
    <s v="Retail"/>
    <n v="22"/>
    <x v="1"/>
  </r>
  <r>
    <s v="ORD-00712"/>
    <x v="26"/>
    <s v="CUST-0085"/>
    <s v="PROD-009"/>
    <x v="27"/>
    <n v="5"/>
    <n v="1220"/>
    <n v="2.6"/>
    <n v="5941.4"/>
    <s v="Completed"/>
    <s v="Chennai"/>
    <x v="4"/>
    <s v="Retail"/>
    <n v="26"/>
    <x v="1"/>
  </r>
  <r>
    <s v="ORD-00713"/>
    <x v="77"/>
    <s v="CUST-0075"/>
    <s v="PROD-008"/>
    <x v="3"/>
    <n v="4"/>
    <n v="2660"/>
    <n v="19.100000000000001"/>
    <n v="8607.76"/>
    <s v="Refunded"/>
    <s v="Mumbai"/>
    <x v="4"/>
    <s v="Corporate"/>
    <n v="55"/>
    <x v="0"/>
  </r>
  <r>
    <s v="ORD-00714"/>
    <x v="116"/>
    <s v="CUST-0169"/>
    <s v="PROD-026"/>
    <x v="29"/>
    <n v="3"/>
    <n v="4070"/>
    <n v="25.2"/>
    <n v="9133.08"/>
    <s v="Completed"/>
    <s v="Bengaluru"/>
    <x v="2"/>
    <s v="SMB"/>
    <n v="42"/>
    <x v="1"/>
  </r>
  <r>
    <s v="ORD-00715"/>
    <x v="76"/>
    <s v="CUST-0166"/>
    <s v="PROD-049"/>
    <x v="2"/>
    <n v="10"/>
    <n v="960"/>
    <n v="0.3"/>
    <n v="9571.2000000000007"/>
    <s v="Completed"/>
    <s v="Hyderabad"/>
    <x v="5"/>
    <s v="Retail"/>
    <n v="31"/>
    <x v="1"/>
  </r>
  <r>
    <s v="ORD-00716"/>
    <x v="313"/>
    <s v="CUST-0065"/>
    <s v="PROD-031"/>
    <x v="20"/>
    <n v="2"/>
    <n v="3730"/>
    <n v="29.9"/>
    <n v="5229.46"/>
    <s v="Completed"/>
    <s v="Chennai"/>
    <x v="3"/>
    <s v="Corporate"/>
    <n v="49"/>
    <x v="2"/>
  </r>
  <r>
    <s v="ORD-00717"/>
    <x v="95"/>
    <s v="CUST-0102"/>
    <s v="PROD-057"/>
    <x v="10"/>
    <n v="9"/>
    <n v="960"/>
    <n v="1.9"/>
    <n v="8475.84"/>
    <s v="Completed"/>
    <s v="Chennai"/>
    <x v="1"/>
    <s v="SMB"/>
    <n v="62"/>
    <x v="0"/>
  </r>
  <r>
    <s v="ORD-00718"/>
    <x v="253"/>
    <s v="CUST-0052"/>
    <s v="PROD-011"/>
    <x v="10"/>
    <n v="2"/>
    <n v="3450"/>
    <n v="22.9"/>
    <n v="5319.9"/>
    <s v="Pending"/>
    <s v="Pune"/>
    <x v="0"/>
    <s v="Retail"/>
    <n v="38"/>
    <x v="0"/>
  </r>
  <r>
    <s v="ORD-00719"/>
    <x v="48"/>
    <s v="CUST-0130"/>
    <s v="PROD-052"/>
    <x v="9"/>
    <n v="3"/>
    <n v="5410"/>
    <n v="15.5"/>
    <n v="13714.35"/>
    <s v="Completed"/>
    <s v="Bengaluru"/>
    <x v="1"/>
    <s v="Corporate"/>
    <n v="41"/>
    <x v="1"/>
  </r>
  <r>
    <s v="ORD-00720"/>
    <x v="120"/>
    <s v="CUST-0284"/>
    <s v="PROD-043"/>
    <x v="7"/>
    <n v="8"/>
    <n v="3350"/>
    <n v="18.399999999999999"/>
    <n v="21868.799999999999"/>
    <s v="Completed"/>
    <s v="Hyderabad"/>
    <x v="5"/>
    <s v="SMB"/>
    <n v="65"/>
    <x v="3"/>
  </r>
  <r>
    <s v="ORD-00721"/>
    <x v="4"/>
    <s v="CUST-0053"/>
    <s v="PROD-015"/>
    <x v="4"/>
    <n v="5"/>
    <n v="2720"/>
    <n v="17.3"/>
    <n v="11247.2"/>
    <s v="Cancelled"/>
    <s v="Delhi"/>
    <x v="0"/>
    <s v="Retail"/>
    <n v="53"/>
    <x v="0"/>
  </r>
  <r>
    <s v="ORD-00722"/>
    <x v="210"/>
    <s v="CUST-0293"/>
    <s v="PROD-028"/>
    <x v="21"/>
    <n v="8"/>
    <n v="3660"/>
    <n v="28.8"/>
    <n v="20847.36"/>
    <s v="Completed"/>
    <s v="Bengaluru"/>
    <x v="2"/>
    <s v="Retail"/>
    <n v="27"/>
    <x v="3"/>
  </r>
  <r>
    <s v="ORD-00723"/>
    <x v="21"/>
    <s v="CUST-0242"/>
    <s v="PROD-005"/>
    <x v="22"/>
    <n v="6"/>
    <n v="300"/>
    <n v="23.9"/>
    <n v="1369.8"/>
    <s v="Cancelled"/>
    <s v="Chennai"/>
    <x v="4"/>
    <s v="SMB"/>
    <n v="59"/>
    <x v="1"/>
  </r>
  <r>
    <s v="ORD-00724"/>
    <x v="289"/>
    <s v="CUST-0226"/>
    <s v="PROD-042"/>
    <x v="17"/>
    <n v="3"/>
    <n v="2290"/>
    <n v="2.4"/>
    <n v="6705.12"/>
    <s v="Completed"/>
    <s v="Chennai"/>
    <x v="5"/>
    <s v="Corporate"/>
    <n v="52"/>
    <x v="2"/>
  </r>
  <r>
    <s v="ORD-00725"/>
    <x v="210"/>
    <s v="CUST-0005"/>
    <s v="PROD-046"/>
    <x v="2"/>
    <n v="6"/>
    <n v="4880"/>
    <n v="11.1"/>
    <n v="26029.919999999998"/>
    <s v="Pending"/>
    <s v="Chennai"/>
    <x v="5"/>
    <s v="Corporate"/>
    <n v="52"/>
    <x v="1"/>
  </r>
  <r>
    <s v="ORD-00726"/>
    <x v="254"/>
    <s v="CUST-0211"/>
    <s v="PROD-005"/>
    <x v="0"/>
    <n v="5"/>
    <n v="300"/>
    <n v="19.399999999999999"/>
    <n v="1209"/>
    <s v="Completed"/>
    <s v="Bengaluru"/>
    <x v="4"/>
    <s v="Retail"/>
    <n v="36"/>
    <x v="0"/>
  </r>
  <r>
    <s v="ORD-00727"/>
    <x v="208"/>
    <s v="CUST-0229"/>
    <s v="PROD-008"/>
    <x v="14"/>
    <n v="3"/>
    <n v="2660"/>
    <n v="28.5"/>
    <n v="5705.7"/>
    <s v="Pending"/>
    <s v="Hyderabad"/>
    <x v="4"/>
    <s v="SMB"/>
    <n v="25"/>
    <x v="2"/>
  </r>
  <r>
    <s v="ORD-00728"/>
    <x v="224"/>
    <s v="CUST-0037"/>
    <s v="PROD-035"/>
    <x v="6"/>
    <n v="7"/>
    <n v="1090"/>
    <n v="10.3"/>
    <n v="6844.11"/>
    <s v="Completed"/>
    <s v="Bengaluru"/>
    <x v="3"/>
    <s v="Retail"/>
    <n v="52"/>
    <x v="2"/>
  </r>
  <r>
    <s v="ORD-00729"/>
    <x v="154"/>
    <s v="CUST-0059"/>
    <s v="PROD-007"/>
    <x v="27"/>
    <n v="9"/>
    <n v="1430"/>
    <n v="12.1"/>
    <n v="11312.73"/>
    <s v="Cancelled"/>
    <s v="Pune"/>
    <x v="4"/>
    <s v="Corporate"/>
    <n v="29"/>
    <x v="1"/>
  </r>
  <r>
    <s v="ORD-00730"/>
    <x v="112"/>
    <s v="CUST-0222"/>
    <s v="PROD-010"/>
    <x v="1"/>
    <n v="5"/>
    <n v="2640"/>
    <n v="26.8"/>
    <n v="9662.4"/>
    <s v="Completed"/>
    <s v="Chennai"/>
    <x v="4"/>
    <s v="Retail"/>
    <n v="37"/>
    <x v="0"/>
  </r>
  <r>
    <s v="ORD-00731"/>
    <x v="71"/>
    <s v="CUST-0157"/>
    <s v="PROD-015"/>
    <x v="19"/>
    <n v="8"/>
    <n v="2720"/>
    <n v="17.5"/>
    <n v="17952"/>
    <s v="Completed"/>
    <s v="Pune"/>
    <x v="0"/>
    <s v="Corporate"/>
    <n v="52"/>
    <x v="0"/>
  </r>
  <r>
    <s v="ORD-00732"/>
    <x v="226"/>
    <s v="CUST-0027"/>
    <s v="PROD-013"/>
    <x v="29"/>
    <n v="9"/>
    <n v="3640"/>
    <n v="3.6"/>
    <n v="31580.639999999999"/>
    <s v="Completed"/>
    <s v="Hyderabad"/>
    <x v="0"/>
    <s v="Corporate"/>
    <n v="52"/>
    <x v="1"/>
  </r>
  <r>
    <s v="ORD-00733"/>
    <x v="211"/>
    <s v="CUST-9846"/>
    <s v="PROD-050"/>
    <x v="13"/>
    <n v="7"/>
    <n v="6080"/>
    <n v="23.6"/>
    <n v="32515.84"/>
    <s v="Completed"/>
    <s v="Mumbai"/>
    <x v="5"/>
    <s v=""/>
    <s v=""/>
    <x v="3"/>
  </r>
  <r>
    <s v="ORD-00734"/>
    <x v="241"/>
    <s v="CUST-0011"/>
    <s v="PROD-001"/>
    <x v="15"/>
    <n v="7"/>
    <n v="5330"/>
    <n v="19.7"/>
    <n v="29959.93"/>
    <s v="Cancelled"/>
    <s v="Chennai"/>
    <x v="4"/>
    <s v="Corporate"/>
    <n v="41"/>
    <x v="1"/>
  </r>
  <r>
    <s v="ORD-00735"/>
    <x v="106"/>
    <s v="CUST-0043"/>
    <s v="PROD-039"/>
    <x v="6"/>
    <n v="5"/>
    <n v="4610"/>
    <n v="3.6"/>
    <n v="22220.2"/>
    <s v="Completed"/>
    <s v="Hyderabad"/>
    <x v="3"/>
    <s v="Retail"/>
    <n v="61"/>
    <x v="2"/>
  </r>
  <r>
    <s v="ORD-00736"/>
    <x v="272"/>
    <s v="CUST-0154"/>
    <s v="PROD-001"/>
    <x v="14"/>
    <n v="9"/>
    <n v="5330"/>
    <n v="22.9"/>
    <n v="36984.870000000003"/>
    <s v="Completed"/>
    <s v="Pune"/>
    <x v="4"/>
    <s v="Retail"/>
    <n v="36"/>
    <x v="2"/>
  </r>
  <r>
    <s v="ORD-00737"/>
    <x v="242"/>
    <s v="CUST-0163"/>
    <s v="PROD-050"/>
    <x v="26"/>
    <n v="5"/>
    <n v="6080"/>
    <n v="6"/>
    <n v="28576"/>
    <s v="Refunded"/>
    <s v="Pune"/>
    <x v="5"/>
    <s v="Retail"/>
    <n v="49"/>
    <x v="3"/>
  </r>
  <r>
    <s v="ORD-00738"/>
    <x v="193"/>
    <s v="CUST-0299"/>
    <s v="PROD-013"/>
    <x v="21"/>
    <n v="7"/>
    <n v="3640"/>
    <n v="5.5"/>
    <n v="24078.6"/>
    <s v="Completed"/>
    <s v="Mumbai"/>
    <x v="0"/>
    <s v="Corporate"/>
    <n v="51"/>
    <x v="3"/>
  </r>
  <r>
    <s v="ORD-00739"/>
    <x v="260"/>
    <s v="CUST-0240"/>
    <s v="PROD-008"/>
    <x v="22"/>
    <n v="1"/>
    <n v="2660"/>
    <n v="6.1"/>
    <n v="2497.7399999999998"/>
    <s v="Cancelled"/>
    <s v="Chennai"/>
    <x v="4"/>
    <s v="Corporate"/>
    <n v="35"/>
    <x v="1"/>
  </r>
  <r>
    <s v="ORD-00740"/>
    <x v="212"/>
    <s v="CUST-0291"/>
    <s v="PROD-043"/>
    <x v="15"/>
    <n v="8"/>
    <n v="3350"/>
    <n v="19.5"/>
    <n v="21574"/>
    <s v="Completed"/>
    <s v="Pune"/>
    <x v="5"/>
    <s v="SMB"/>
    <n v="29"/>
    <x v="1"/>
  </r>
  <r>
    <s v="ORD-00741"/>
    <x v="83"/>
    <s v="CUST-0243"/>
    <s v="PROD-039"/>
    <x v="7"/>
    <n v="4"/>
    <n v="4610"/>
    <n v="24"/>
    <n v="14014.4"/>
    <s v="Completed"/>
    <s v="Pune"/>
    <x v="3"/>
    <s v="SMB"/>
    <n v="44"/>
    <x v="3"/>
  </r>
  <r>
    <s v="ORD-00742"/>
    <x v="174"/>
    <s v="CUST-0073"/>
    <s v="PROD-055"/>
    <x v="2"/>
    <n v="7"/>
    <n v="2860"/>
    <n v="23.2"/>
    <n v="15375.36"/>
    <s v="Completed"/>
    <s v="Pune"/>
    <x v="1"/>
    <s v="Corporate"/>
    <n v="40"/>
    <x v="1"/>
  </r>
  <r>
    <s v="ORD-00743"/>
    <x v="128"/>
    <s v="CUST-0154"/>
    <s v="PROD-043"/>
    <x v="22"/>
    <n v="7"/>
    <n v="3350"/>
    <n v="10.6"/>
    <n v="20964.3"/>
    <s v="Pending"/>
    <s v="Pune"/>
    <x v="5"/>
    <s v="Retail"/>
    <n v="36"/>
    <x v="1"/>
  </r>
  <r>
    <s v="ORD-00744"/>
    <x v="55"/>
    <s v="CUST-0084"/>
    <s v="PROD-029"/>
    <x v="8"/>
    <n v="5"/>
    <n v="2210"/>
    <n v="12.1"/>
    <n v="9712.9500000000007"/>
    <s v="Completed"/>
    <s v="Chennai"/>
    <x v="2"/>
    <s v="Retail"/>
    <n v="28"/>
    <x v="2"/>
  </r>
  <r>
    <s v="ORD-00745"/>
    <x v="90"/>
    <s v="CUST-0228"/>
    <s v="PROD-047"/>
    <x v="22"/>
    <n v="1"/>
    <n v="3450"/>
    <n v="19.100000000000001"/>
    <n v="2791.05"/>
    <s v="Pending"/>
    <s v="Pune"/>
    <x v="5"/>
    <s v="Corporate"/>
    <n v="37"/>
    <x v="1"/>
  </r>
  <r>
    <s v="ORD-00746"/>
    <x v="78"/>
    <s v="CUST-0232"/>
    <s v="PROD-048"/>
    <x v="8"/>
    <n v="5"/>
    <n v="5100"/>
    <n v="2.8"/>
    <n v="24786"/>
    <s v="Completed"/>
    <s v="Hyderabad"/>
    <x v="5"/>
    <s v="Retail"/>
    <n v="38"/>
    <x v="2"/>
  </r>
  <r>
    <s v="ORD-00747"/>
    <x v="318"/>
    <s v="CUST-0129"/>
    <s v="PROD-048"/>
    <x v="11"/>
    <n v="9"/>
    <n v="5100"/>
    <n v="24.4"/>
    <n v="34700.400000000001"/>
    <s v="Completed"/>
    <s v="Hyderabad"/>
    <x v="5"/>
    <s v="Retail"/>
    <n v="29"/>
    <x v="0"/>
  </r>
  <r>
    <s v="ORD-00748"/>
    <x v="296"/>
    <s v="CUST-0189"/>
    <s v="PROD-037"/>
    <x v="3"/>
    <n v="9"/>
    <n v="660"/>
    <n v="19.8"/>
    <n v="4763.88"/>
    <s v="Completed"/>
    <s v="Chennai"/>
    <x v="3"/>
    <s v="Retail"/>
    <n v="41"/>
    <x v="0"/>
  </r>
  <r>
    <s v="ORD-00749"/>
    <x v="0"/>
    <s v="CUST-0122"/>
    <s v="PROD-026"/>
    <x v="3"/>
    <n v="3"/>
    <n v="4070"/>
    <n v="27.1"/>
    <n v="8901.09"/>
    <s v="Completed"/>
    <s v="Mumbai"/>
    <x v="2"/>
    <s v="Retail"/>
    <n v="44"/>
    <x v="0"/>
  </r>
  <r>
    <s v="ORD-00750"/>
    <x v="172"/>
    <s v="CUST-0170"/>
    <s v="PROD-017"/>
    <x v="0"/>
    <n v="2"/>
    <n v="2510"/>
    <n v="29.1"/>
    <n v="3559.18"/>
    <s v="Completed"/>
    <s v="Mumbai"/>
    <x v="0"/>
    <s v="SMB"/>
    <n v="22"/>
    <x v="0"/>
  </r>
  <r>
    <s v="ORD-00751"/>
    <x v="121"/>
    <s v="CUST-0291"/>
    <s v="PROD-036"/>
    <x v="14"/>
    <n v="4"/>
    <n v="3250"/>
    <n v="21.1"/>
    <n v="10257"/>
    <s v="Completed"/>
    <s v="Pune"/>
    <x v="3"/>
    <s v="SMB"/>
    <n v="29"/>
    <x v="2"/>
  </r>
  <r>
    <s v="ORD-00752"/>
    <x v="77"/>
    <s v="CUST-0090"/>
    <s v="PROD-032"/>
    <x v="1"/>
    <n v="3"/>
    <n v="370"/>
    <n v="7.7"/>
    <n v="1024.53"/>
    <s v="Completed"/>
    <s v="Bengaluru"/>
    <x v="3"/>
    <s v="Corporate"/>
    <n v="26"/>
    <x v="0"/>
  </r>
  <r>
    <s v="ORD-00753"/>
    <x v="319"/>
    <s v="CUST-0205"/>
    <s v="PROD-020"/>
    <x v="3"/>
    <n v="10"/>
    <n v="820"/>
    <n v="3.5"/>
    <n v="7913"/>
    <s v="Completed"/>
    <s v="Pune"/>
    <x v="0"/>
    <s v="Corporate"/>
    <n v="29"/>
    <x v="0"/>
  </r>
  <r>
    <s v="ORD-00754"/>
    <x v="101"/>
    <s v="CUST-0192"/>
    <s v="PROD-026"/>
    <x v="20"/>
    <n v="4"/>
    <n v="4070"/>
    <n v="23.8"/>
    <n v="12405.36"/>
    <s v="Completed"/>
    <s v="Bengaluru"/>
    <x v="2"/>
    <s v="Retail"/>
    <n v="55"/>
    <x v="2"/>
  </r>
  <r>
    <s v="ORD-00755"/>
    <x v="320"/>
    <s v="CUST-0270"/>
    <s v="PROD-023"/>
    <x v="23"/>
    <n v="1"/>
    <n v="2380"/>
    <n v="19.600000000000001"/>
    <n v="1913.52"/>
    <s v="Cancelled"/>
    <s v="Bengaluru"/>
    <x v="2"/>
    <s v="Retail"/>
    <n v="29"/>
    <x v="1"/>
  </r>
  <r>
    <s v="ORD-00756"/>
    <x v="223"/>
    <s v="CUST-0266"/>
    <s v="PROD-038"/>
    <x v="14"/>
    <n v="3"/>
    <n v="5490"/>
    <n v="2.5"/>
    <n v="16058.25"/>
    <s v="Completed"/>
    <s v="Pune"/>
    <x v="3"/>
    <s v="Retail"/>
    <n v="65"/>
    <x v="2"/>
  </r>
  <r>
    <s v="ORD-00757"/>
    <x v="155"/>
    <s v="CUST-0208"/>
    <s v="PROD-013"/>
    <x v="28"/>
    <n v="3"/>
    <n v="3640"/>
    <n v="23.3"/>
    <n v="8375.64"/>
    <s v="Completed"/>
    <s v="Mumbai"/>
    <x v="0"/>
    <s v="Retail"/>
    <n v="49"/>
    <x v="2"/>
  </r>
  <r>
    <s v="ORD-00758"/>
    <x v="321"/>
    <s v="CUST-0224"/>
    <s v="PROD-039"/>
    <x v="26"/>
    <n v="2"/>
    <n v="4610"/>
    <n v="5"/>
    <n v="8759"/>
    <s v="Pending"/>
    <s v="Chennai"/>
    <x v="3"/>
    <s v="Corporate"/>
    <n v="24"/>
    <x v="3"/>
  </r>
  <r>
    <s v="ORD-00759"/>
    <x v="264"/>
    <s v="CUST-0264"/>
    <s v="PROD-058"/>
    <x v="19"/>
    <n v="8"/>
    <n v="2400"/>
    <n v="10"/>
    <n v="17280"/>
    <s v="Pending"/>
    <s v="Pune"/>
    <x v="1"/>
    <s v="Retail"/>
    <n v="59"/>
    <x v="0"/>
  </r>
  <r>
    <s v="ORD-00760"/>
    <x v="100"/>
    <s v="CUST-0113"/>
    <s v="PROD-043"/>
    <x v="25"/>
    <n v="7"/>
    <n v="3350"/>
    <n v="23.7"/>
    <n v="17892.349999999999"/>
    <s v="Completed"/>
    <s v="Delhi"/>
    <x v="5"/>
    <s v="Retail"/>
    <n v="30"/>
    <x v="0"/>
  </r>
  <r>
    <s v="ORD-00761"/>
    <x v="4"/>
    <s v="CUST-0160"/>
    <s v="PROD-013"/>
    <x v="27"/>
    <n v="4"/>
    <n v="3640"/>
    <n v="9.3000000000000007"/>
    <n v="13205.92"/>
    <s v="Cancelled"/>
    <s v="Hyderabad"/>
    <x v="0"/>
    <s v="Retail"/>
    <n v="27"/>
    <x v="1"/>
  </r>
  <r>
    <s v="ORD-00762"/>
    <x v="133"/>
    <s v="CUST-0109"/>
    <s v="PROD-013"/>
    <x v="8"/>
    <n v="9"/>
    <n v="3640"/>
    <n v="13.1"/>
    <n v="28468.44"/>
    <s v="Pending"/>
    <s v="Pune"/>
    <x v="0"/>
    <s v="Retail"/>
    <n v="42"/>
    <x v="2"/>
  </r>
  <r>
    <s v="ORD-00763"/>
    <x v="287"/>
    <s v="CUST-0107"/>
    <s v="PROD-033"/>
    <x v="2"/>
    <n v="2"/>
    <n v="2030"/>
    <n v="12.2"/>
    <n v="3564.68"/>
    <s v="Completed"/>
    <s v="Pune"/>
    <x v="3"/>
    <s v="Retail"/>
    <n v="50"/>
    <x v="1"/>
  </r>
  <r>
    <s v="ORD-00764"/>
    <x v="314"/>
    <s v="CUST-0120"/>
    <s v="PROD-012"/>
    <x v="25"/>
    <n v="4"/>
    <n v="3160"/>
    <n v="7.5"/>
    <n v="11692"/>
    <s v="Completed"/>
    <s v="Mumbai"/>
    <x v="0"/>
    <s v="Retail"/>
    <n v="29"/>
    <x v="0"/>
  </r>
  <r>
    <s v="ORD-00765"/>
    <x v="322"/>
    <s v="CUST-0225"/>
    <s v="PROD-026"/>
    <x v="20"/>
    <n v="10"/>
    <n v="4070"/>
    <n v="8.3000000000000007"/>
    <n v="37321.9"/>
    <s v="Completed"/>
    <s v="Chennai"/>
    <x v="2"/>
    <s v="SMB"/>
    <n v="26"/>
    <x v="2"/>
  </r>
  <r>
    <s v="ORD-00766"/>
    <x v="30"/>
    <s v="CUST-0134"/>
    <s v="PROD-025"/>
    <x v="6"/>
    <n v="8"/>
    <n v="4060"/>
    <n v="8.5"/>
    <n v="29719.200000000001"/>
    <s v="Completed"/>
    <s v="Delhi"/>
    <x v="2"/>
    <s v="Retail"/>
    <n v="40"/>
    <x v="2"/>
  </r>
  <r>
    <s v="ORD-00767"/>
    <x v="323"/>
    <s v="CUST-0279"/>
    <s v="PROD-057"/>
    <x v="26"/>
    <n v="8"/>
    <n v="960"/>
    <n v="8.6999999999999993"/>
    <n v="7011.84"/>
    <s v="Completed"/>
    <s v="Mumbai"/>
    <x v="1"/>
    <s v="Retail"/>
    <n v="56"/>
    <x v="3"/>
  </r>
  <r>
    <s v="ORD-00768"/>
    <x v="141"/>
    <s v="CUST-0247"/>
    <s v="PROD-022"/>
    <x v="28"/>
    <n v="2"/>
    <n v="2270"/>
    <n v="10.199999999999999"/>
    <n v="4076.92"/>
    <s v="Completed"/>
    <s v="Pune"/>
    <x v="2"/>
    <s v="SMB"/>
    <n v="35"/>
    <x v="2"/>
  </r>
  <r>
    <s v="ORD-00769"/>
    <x v="197"/>
    <s v="CUST-0129"/>
    <s v="PROD-027"/>
    <x v="0"/>
    <n v="1"/>
    <n v="3780"/>
    <n v="15.3"/>
    <n v="3201.66"/>
    <s v="Cancelled"/>
    <s v="Hyderabad"/>
    <x v="2"/>
    <s v="Retail"/>
    <n v="29"/>
    <x v="0"/>
  </r>
  <r>
    <s v="ORD-00770"/>
    <x v="135"/>
    <s v="CUST-0038"/>
    <s v="PROD-042"/>
    <x v="8"/>
    <n v="10"/>
    <n v="2290"/>
    <n v="2.4"/>
    <n v="22350.400000000001"/>
    <s v="Pending"/>
    <s v="Mumbai"/>
    <x v="5"/>
    <s v="Retail"/>
    <n v="57"/>
    <x v="2"/>
  </r>
  <r>
    <s v="ORD-00771"/>
    <x v="104"/>
    <s v="CUST-0109"/>
    <s v="PROD-043"/>
    <x v="21"/>
    <n v="5"/>
    <n v="3350"/>
    <n v="18.5"/>
    <n v="13651.25"/>
    <s v="Cancelled"/>
    <s v="Pune"/>
    <x v="5"/>
    <s v="Retail"/>
    <n v="42"/>
    <x v="3"/>
  </r>
  <r>
    <s v="ORD-00772"/>
    <x v="324"/>
    <s v="CUST-0051"/>
    <s v="PROD-017"/>
    <x v="13"/>
    <n v="7"/>
    <n v="2510"/>
    <n v="4.2"/>
    <n v="16832.060000000001"/>
    <s v="Cancelled"/>
    <s v="Pune"/>
    <x v="0"/>
    <s v="SMB"/>
    <n v="54"/>
    <x v="3"/>
  </r>
  <r>
    <s v="ORD-00773"/>
    <x v="325"/>
    <s v="CUST-0265"/>
    <s v="PROD-002"/>
    <x v="26"/>
    <n v="1"/>
    <n v="2600"/>
    <n v="2.2000000000000002"/>
    <n v="2542.8000000000002"/>
    <s v="Completed"/>
    <s v="Chennai"/>
    <x v="4"/>
    <s v="Retail"/>
    <n v="49"/>
    <x v="3"/>
  </r>
  <r>
    <s v="ORD-00774"/>
    <x v="299"/>
    <s v="CUST-0192"/>
    <s v="PROD-053"/>
    <x v="11"/>
    <n v="8"/>
    <n v="470"/>
    <n v="25.2"/>
    <n v="2812.48"/>
    <s v="Completed"/>
    <s v="Bengaluru"/>
    <x v="1"/>
    <s v="Retail"/>
    <n v="55"/>
    <x v="0"/>
  </r>
  <r>
    <s v="ORD-00775"/>
    <x v="307"/>
    <s v="CUST-0241"/>
    <s v="PROD-040"/>
    <x v="27"/>
    <n v="6"/>
    <n v="1080"/>
    <n v="25"/>
    <n v="4860"/>
    <s v="Completed"/>
    <s v="Pune"/>
    <x v="3"/>
    <s v="Corporate"/>
    <n v="47"/>
    <x v="1"/>
  </r>
  <r>
    <s v="ORD-00776"/>
    <x v="218"/>
    <s v="CUST-0243"/>
    <s v="PROD-054"/>
    <x v="7"/>
    <n v="2"/>
    <n v="1010"/>
    <n v="16.100000000000001"/>
    <n v="1694.78"/>
    <s v="Completed"/>
    <s v="Pune"/>
    <x v="1"/>
    <s v="SMB"/>
    <n v="44"/>
    <x v="3"/>
  </r>
  <r>
    <s v="ORD-00777"/>
    <x v="196"/>
    <s v="CUST-0016"/>
    <s v="PROD-004"/>
    <x v="25"/>
    <n v="6"/>
    <n v="3870"/>
    <n v="22.4"/>
    <n v="18018.72"/>
    <s v="Cancelled"/>
    <s v="Delhi"/>
    <x v="4"/>
    <s v="SMB"/>
    <n v="26"/>
    <x v="0"/>
  </r>
  <r>
    <s v="ORD-00778"/>
    <x v="219"/>
    <s v="CUST-0249"/>
    <s v="PROD-033"/>
    <x v="28"/>
    <n v="3"/>
    <n v="2030"/>
    <n v="18.5"/>
    <n v="4963.3500000000004"/>
    <s v="Completed"/>
    <s v="Mumbai"/>
    <x v="3"/>
    <s v="Retail"/>
    <n v="44"/>
    <x v="2"/>
  </r>
  <r>
    <s v="ORD-00779"/>
    <x v="326"/>
    <s v="CUST-0021"/>
    <s v="PROD-040"/>
    <x v="28"/>
    <n v="7"/>
    <n v="1080"/>
    <n v="6.8"/>
    <n v="7045.92"/>
    <s v="Pending"/>
    <s v="Pune"/>
    <x v="3"/>
    <s v="Retail"/>
    <n v="44"/>
    <x v="2"/>
  </r>
  <r>
    <s v="ORD-00780"/>
    <x v="303"/>
    <s v="CUST-0255"/>
    <s v="PROD-035"/>
    <x v="18"/>
    <n v="1"/>
    <n v="1090"/>
    <n v="20.6"/>
    <n v="865.46"/>
    <s v="Completed"/>
    <s v="Chennai"/>
    <x v="3"/>
    <s v="Corporate"/>
    <n v="51"/>
    <x v="1"/>
  </r>
  <r>
    <s v="ORD-00781"/>
    <x v="72"/>
    <s v="CUST-0084"/>
    <s v="PROD-032"/>
    <x v="23"/>
    <n v="8"/>
    <n v="370"/>
    <n v="1.7"/>
    <n v="2909.68"/>
    <s v="Completed"/>
    <s v="Chennai"/>
    <x v="3"/>
    <s v="Retail"/>
    <n v="28"/>
    <x v="1"/>
  </r>
  <r>
    <s v="ORD-00782"/>
    <x v="327"/>
    <s v="CUST-0289"/>
    <s v="PROD-018"/>
    <x v="26"/>
    <n v="7"/>
    <n v="3560"/>
    <n v="28.7"/>
    <n v="17767.96"/>
    <s v="Completed"/>
    <s v="Mumbai"/>
    <x v="0"/>
    <s v="Retail"/>
    <n v="54"/>
    <x v="3"/>
  </r>
  <r>
    <s v="ORD-00783"/>
    <x v="328"/>
    <s v="CUST-0026"/>
    <s v="PROD-050"/>
    <x v="29"/>
    <n v="9"/>
    <n v="6080"/>
    <n v="16.3"/>
    <n v="45800.639999999999"/>
    <s v="Cancelled"/>
    <s v="Pune"/>
    <x v="5"/>
    <s v="Retail"/>
    <n v="62"/>
    <x v="1"/>
  </r>
  <r>
    <s v="ORD-00784"/>
    <x v="265"/>
    <s v="CUST-0273"/>
    <s v="PROD-051"/>
    <x v="15"/>
    <n v="2"/>
    <n v="3450"/>
    <n v="17.600000000000001"/>
    <n v="5685.6"/>
    <s v="Pending"/>
    <s v="Hyderabad"/>
    <x v="1"/>
    <s v="Corporate"/>
    <n v="32"/>
    <x v="1"/>
  </r>
  <r>
    <s v="ORD-00785"/>
    <x v="24"/>
    <s v="CUST-0069"/>
    <s v="PROD-034"/>
    <x v="18"/>
    <n v="1"/>
    <n v="5080"/>
    <n v="5.9"/>
    <n v="4780.28"/>
    <s v="Completed"/>
    <s v="Chennai"/>
    <x v="3"/>
    <s v="Retail"/>
    <n v="51"/>
    <x v="1"/>
  </r>
  <r>
    <s v="ORD-00786"/>
    <x v="234"/>
    <s v="CUST-0236"/>
    <s v="PROD-011"/>
    <x v="12"/>
    <n v="7"/>
    <n v="3450"/>
    <n v="17.399999999999999"/>
    <n v="19947.900000000001"/>
    <s v="Completed"/>
    <s v="Hyderabad"/>
    <x v="0"/>
    <s v="SMB"/>
    <n v="28"/>
    <x v="3"/>
  </r>
  <r>
    <s v="ORD-00787"/>
    <x v="210"/>
    <s v="CUST-0060"/>
    <s v="PROD-024"/>
    <x v="18"/>
    <n v="8"/>
    <n v="2270"/>
    <n v="24.7"/>
    <n v="13674.48"/>
    <s v="Completed"/>
    <s v="Pune"/>
    <x v="2"/>
    <s v="Retail"/>
    <n v="39"/>
    <x v="1"/>
  </r>
  <r>
    <s v="ORD-00788"/>
    <x v="37"/>
    <s v="CUST-0243"/>
    <s v="PROD-012"/>
    <x v="12"/>
    <n v="3"/>
    <n v="3160"/>
    <n v="1.5"/>
    <n v="9337.7999999999993"/>
    <s v="Pending"/>
    <s v="Pune"/>
    <x v="0"/>
    <s v="SMB"/>
    <n v="44"/>
    <x v="3"/>
  </r>
  <r>
    <s v="ORD-00789"/>
    <x v="44"/>
    <s v="CUST-0188"/>
    <s v="PROD-043"/>
    <x v="20"/>
    <n v="6"/>
    <n v="3350"/>
    <n v="0.9"/>
    <n v="19919.099999999999"/>
    <s v="Pending"/>
    <s v="Bengaluru"/>
    <x v="5"/>
    <s v="Retail"/>
    <n v="54"/>
    <x v="2"/>
  </r>
  <r>
    <s v="ORD-00790"/>
    <x v="47"/>
    <s v="CUST-0174"/>
    <s v="PROD-044"/>
    <x v="20"/>
    <n v="7"/>
    <n v="1650"/>
    <n v="5.6"/>
    <n v="10903.2"/>
    <s v="Refunded"/>
    <s v="Pune"/>
    <x v="5"/>
    <s v="Retail"/>
    <n v="54"/>
    <x v="2"/>
  </r>
  <r>
    <s v="ORD-00791"/>
    <x v="73"/>
    <s v="CUST-0016"/>
    <s v="PROD-038"/>
    <x v="11"/>
    <n v="1"/>
    <n v="5490"/>
    <n v="5.8"/>
    <n v="5171.58"/>
    <s v="Completed"/>
    <s v="Delhi"/>
    <x v="3"/>
    <s v="SMB"/>
    <n v="26"/>
    <x v="0"/>
  </r>
  <r>
    <s v="ORD-00792"/>
    <x v="171"/>
    <s v="CUST-0184"/>
    <s v="PROD-040"/>
    <x v="6"/>
    <n v="3"/>
    <n v="1080"/>
    <n v="20.9"/>
    <n v="2562.84"/>
    <s v="Completed"/>
    <s v="Pune"/>
    <x v="3"/>
    <s v="Retail"/>
    <n v="63"/>
    <x v="2"/>
  </r>
  <r>
    <s v="ORD-00793"/>
    <x v="224"/>
    <s v="CUST-9568"/>
    <s v="PROD-027"/>
    <x v="26"/>
    <n v="10"/>
    <n v="3780"/>
    <n v="5.5"/>
    <n v="35721"/>
    <s v="Completed"/>
    <s v="Hyderabad"/>
    <x v="2"/>
    <s v=""/>
    <s v=""/>
    <x v="3"/>
  </r>
  <r>
    <s v="ORD-00794"/>
    <x v="307"/>
    <s v="CUST-0118"/>
    <s v="PROD-033"/>
    <x v="14"/>
    <n v="2"/>
    <n v="2030"/>
    <n v="2"/>
    <n v="3978.8"/>
    <s v="Pending"/>
    <s v="Hyderabad"/>
    <x v="3"/>
    <s v="Retail"/>
    <n v="26"/>
    <x v="2"/>
  </r>
  <r>
    <s v="ORD-00795"/>
    <x v="329"/>
    <s v="CUST-0271"/>
    <s v="PROD-041"/>
    <x v="7"/>
    <n v="8"/>
    <n v="1540"/>
    <n v="9"/>
    <n v="11211.2"/>
    <s v="Cancelled"/>
    <s v="Bengaluru"/>
    <x v="5"/>
    <s v="Corporate"/>
    <n v="41"/>
    <x v="3"/>
  </r>
  <r>
    <s v="ORD-00796"/>
    <x v="131"/>
    <s v="CUST-0147"/>
    <s v="PROD-036"/>
    <x v="15"/>
    <n v="9"/>
    <n v="3250"/>
    <n v="20.5"/>
    <n v="23253.75"/>
    <s v="Completed"/>
    <s v="Pune"/>
    <x v="3"/>
    <s v="Retail"/>
    <n v="56"/>
    <x v="1"/>
  </r>
  <r>
    <s v="ORD-00797"/>
    <x v="112"/>
    <s v="CUST-0253"/>
    <s v="PROD-047"/>
    <x v="1"/>
    <n v="3"/>
    <n v="3450"/>
    <n v="17.899999999999999"/>
    <n v="8497.35"/>
    <s v="Completed"/>
    <s v="Delhi"/>
    <x v="5"/>
    <s v="SMB"/>
    <n v="53"/>
    <x v="0"/>
  </r>
  <r>
    <s v="ORD-00798"/>
    <x v="172"/>
    <s v="CUST-0224"/>
    <s v="PROD-038"/>
    <x v="4"/>
    <n v="5"/>
    <n v="5490"/>
    <n v="7.9"/>
    <n v="25281.45"/>
    <s v="Completed"/>
    <s v="Chennai"/>
    <x v="3"/>
    <s v="Corporate"/>
    <n v="24"/>
    <x v="0"/>
  </r>
  <r>
    <s v="ORD-00799"/>
    <x v="141"/>
    <s v="CUST-0134"/>
    <s v="PROD-032"/>
    <x v="20"/>
    <n v="3"/>
    <n v="370"/>
    <n v="13.4"/>
    <n v="961.26"/>
    <s v="Completed"/>
    <s v="Delhi"/>
    <x v="3"/>
    <s v="Retail"/>
    <n v="40"/>
    <x v="2"/>
  </r>
  <r>
    <s v="ORD-00800"/>
    <x v="3"/>
    <s v="CUST-0287"/>
    <s v="PROD-001"/>
    <x v="18"/>
    <n v="7"/>
    <n v="5330"/>
    <n v="29.7"/>
    <n v="26228.93"/>
    <s v="Pending"/>
    <s v="Chennai"/>
    <x v="4"/>
    <s v="SMB"/>
    <n v="53"/>
    <x v="1"/>
  </r>
  <r>
    <s v="ORD-00801"/>
    <x v="213"/>
    <s v="CUST-0144"/>
    <s v="PROD-051"/>
    <x v="29"/>
    <n v="8"/>
    <n v="3450"/>
    <n v="23.7"/>
    <n v="21058.799999999999"/>
    <s v="Completed"/>
    <s v="Chennai"/>
    <x v="1"/>
    <s v="Retail"/>
    <n v="49"/>
    <x v="1"/>
  </r>
  <r>
    <s v="ORD-00802"/>
    <x v="309"/>
    <s v="CUST-0255"/>
    <s v="PROD-011"/>
    <x v="28"/>
    <n v="8"/>
    <n v="3450"/>
    <n v="5.4"/>
    <n v="26109.599999999999"/>
    <s v="Completed"/>
    <s v="Chennai"/>
    <x v="0"/>
    <s v="Corporate"/>
    <n v="51"/>
    <x v="2"/>
  </r>
  <r>
    <s v="ORD-00803"/>
    <x v="325"/>
    <s v="CUST-0054"/>
    <s v="PROD-050"/>
    <x v="20"/>
    <n v="1"/>
    <n v="6080"/>
    <n v="22.3"/>
    <n v="4724.16"/>
    <s v="Completed"/>
    <s v="Mumbai"/>
    <x v="5"/>
    <s v="Corporate"/>
    <n v="62"/>
    <x v="2"/>
  </r>
  <r>
    <s v="ORD-00804"/>
    <x v="100"/>
    <s v="CUST-0283"/>
    <s v="PROD-017"/>
    <x v="23"/>
    <n v="9"/>
    <n v="2510"/>
    <n v="27.4"/>
    <n v="16400.34"/>
    <s v="Completed"/>
    <s v="Delhi"/>
    <x v="0"/>
    <s v="SMB"/>
    <n v="50"/>
    <x v="1"/>
  </r>
  <r>
    <s v="ORD-00805"/>
    <x v="40"/>
    <s v="CUST-0182"/>
    <s v="PROD-054"/>
    <x v="27"/>
    <n v="10"/>
    <n v="1010"/>
    <n v="28.4"/>
    <n v="7231.6"/>
    <s v="Completed"/>
    <s v="Mumbai"/>
    <x v="1"/>
    <s v="Retail"/>
    <n v="54"/>
    <x v="1"/>
  </r>
  <r>
    <s v="ORD-00806"/>
    <x v="24"/>
    <s v="CUST-0289"/>
    <s v="PROD-018"/>
    <x v="12"/>
    <n v="1"/>
    <n v="3560"/>
    <n v="26"/>
    <n v="2634.4"/>
    <s v="Completed"/>
    <s v="Mumbai"/>
    <x v="0"/>
    <s v="Retail"/>
    <n v="54"/>
    <x v="3"/>
  </r>
  <r>
    <s v="ORD-00807"/>
    <x v="245"/>
    <s v="CUST-0104"/>
    <s v="PROD-045"/>
    <x v="3"/>
    <n v="8"/>
    <n v="3020"/>
    <n v="6.9"/>
    <n v="22492.959999999999"/>
    <s v="Completed"/>
    <s v="Hyderabad"/>
    <x v="5"/>
    <s v="Corporate"/>
    <n v="43"/>
    <x v="0"/>
  </r>
  <r>
    <s v="ORD-00808"/>
    <x v="114"/>
    <s v="CUST-0085"/>
    <s v="PROD-026"/>
    <x v="21"/>
    <n v="1"/>
    <n v="4070"/>
    <n v="8.1999999999999993"/>
    <n v="3736.26"/>
    <s v="Completed"/>
    <s v="Chennai"/>
    <x v="2"/>
    <s v="Retail"/>
    <n v="26"/>
    <x v="3"/>
  </r>
  <r>
    <s v="ORD-00809"/>
    <x v="324"/>
    <s v="CUST-0120"/>
    <s v="PROD-032"/>
    <x v="16"/>
    <n v="9"/>
    <n v="370"/>
    <n v="19.8"/>
    <n v="2670.66"/>
    <s v="Completed"/>
    <s v="Mumbai"/>
    <x v="3"/>
    <s v="Retail"/>
    <n v="29"/>
    <x v="3"/>
  </r>
  <r>
    <s v="ORD-00810"/>
    <x v="227"/>
    <s v="CUST-0236"/>
    <s v="PROD-030"/>
    <x v="16"/>
    <n v="6"/>
    <n v="970"/>
    <n v="16.2"/>
    <n v="4877.16"/>
    <s v="Completed"/>
    <s v="Hyderabad"/>
    <x v="2"/>
    <s v="SMB"/>
    <n v="28"/>
    <x v="3"/>
  </r>
  <r>
    <s v="ORD-00811"/>
    <x v="142"/>
    <s v="CUST-0094"/>
    <s v="PROD-015"/>
    <x v="7"/>
    <n v="10"/>
    <n v="2720"/>
    <n v="3"/>
    <n v="26384"/>
    <s v="Pending"/>
    <s v="Pune"/>
    <x v="0"/>
    <s v="SMB"/>
    <n v="60"/>
    <x v="3"/>
  </r>
  <r>
    <s v="ORD-00812"/>
    <x v="174"/>
    <s v="CUST-0030"/>
    <s v="PROD-058"/>
    <x v="2"/>
    <n v="7"/>
    <n v="2400"/>
    <n v="29.4"/>
    <n v="11860.8"/>
    <s v="Completed"/>
    <s v="Bengaluru"/>
    <x v="1"/>
    <s v="Corporate"/>
    <n v="43"/>
    <x v="1"/>
  </r>
  <r>
    <s v="ORD-00813"/>
    <x v="148"/>
    <s v="CUST-0172"/>
    <s v="PROD-018"/>
    <x v="27"/>
    <n v="8"/>
    <n v="3560"/>
    <n v="21.7"/>
    <n v="22299.84"/>
    <s v="Completed"/>
    <s v="Pune"/>
    <x v="0"/>
    <s v="Retail"/>
    <n v="65"/>
    <x v="1"/>
  </r>
  <r>
    <s v="ORD-00814"/>
    <x v="217"/>
    <s v="CUST-0221"/>
    <s v="PROD-026"/>
    <x v="15"/>
    <n v="7"/>
    <n v="4070"/>
    <n v="10.5"/>
    <n v="25498.55"/>
    <s v="Completed"/>
    <s v="Delhi"/>
    <x v="2"/>
    <s v="SMB"/>
    <n v="29"/>
    <x v="1"/>
  </r>
  <r>
    <s v="ORD-01052"/>
    <x v="193"/>
    <s v="CUST-0151"/>
    <s v="PROD-052"/>
    <x v="4"/>
    <n v="3"/>
    <n v="5410"/>
    <n v="0.2"/>
    <n v="16197.54"/>
    <s v="Completed"/>
    <s v="Mumbai"/>
    <x v="1"/>
    <s v="Retail"/>
    <n v="53"/>
    <x v="0"/>
  </r>
  <r>
    <s v="ORD-00816"/>
    <x v="330"/>
    <s v="CUST-0068"/>
    <s v="PROD-021"/>
    <x v="8"/>
    <n v="4"/>
    <n v="2760"/>
    <n v="27.5"/>
    <n v="8004"/>
    <s v="Cancelled"/>
    <s v="Delhi"/>
    <x v="2"/>
    <s v="SMB"/>
    <n v="48"/>
    <x v="2"/>
  </r>
  <r>
    <s v="ORD-01136"/>
    <x v="267"/>
    <s v="CUST-0165"/>
    <s v="PROD-034"/>
    <x v="22"/>
    <n v="3"/>
    <n v="5080"/>
    <n v="27.2"/>
    <n v="11094.72"/>
    <s v="Completed"/>
    <s v="Pune"/>
    <x v="3"/>
    <s v="Retail"/>
    <n v="29"/>
    <x v="1"/>
  </r>
  <r>
    <s v="ORD-00818"/>
    <x v="139"/>
    <s v="CUST-0060"/>
    <s v="PROD-035"/>
    <x v="21"/>
    <n v="5"/>
    <n v="1090"/>
    <n v="3.3"/>
    <n v="5270.15"/>
    <s v="Completed"/>
    <s v="Pune"/>
    <x v="3"/>
    <s v="Retail"/>
    <n v="39"/>
    <x v="3"/>
  </r>
  <r>
    <s v="ORD-00819"/>
    <x v="60"/>
    <s v="CUST-0130"/>
    <s v="PROD-023"/>
    <x v="20"/>
    <n v="10"/>
    <n v="2380"/>
    <n v="7"/>
    <n v="22134"/>
    <s v="Completed"/>
    <s v="Bengaluru"/>
    <x v="2"/>
    <s v="Corporate"/>
    <n v="41"/>
    <x v="2"/>
  </r>
  <r>
    <s v="ORD-00820"/>
    <x v="156"/>
    <s v="CUST-0023"/>
    <s v="PROD-012"/>
    <x v="17"/>
    <n v="5"/>
    <n v="3160"/>
    <n v="25.6"/>
    <n v="11755.2"/>
    <s v="Completed"/>
    <s v="Chennai"/>
    <x v="0"/>
    <s v="SMB"/>
    <n v="43"/>
    <x v="2"/>
  </r>
  <r>
    <s v="ORD-00821"/>
    <x v="331"/>
    <s v="CUST-0089"/>
    <s v="PROD-058"/>
    <x v="20"/>
    <n v="9"/>
    <n v="2400"/>
    <n v="8.4"/>
    <n v="19785.599999999999"/>
    <s v="Completed"/>
    <s v="Mumbai"/>
    <x v="1"/>
    <s v="SMB"/>
    <n v="43"/>
    <x v="2"/>
  </r>
  <r>
    <s v="ORD-00822"/>
    <x v="121"/>
    <s v="CUST-0300"/>
    <s v="PROD-002"/>
    <x v="16"/>
    <n v="4"/>
    <n v="2600"/>
    <n v="4.2"/>
    <n v="9963.2000000000007"/>
    <s v="Completed"/>
    <s v="Mumbai"/>
    <x v="4"/>
    <s v="Retail"/>
    <n v="38"/>
    <x v="3"/>
  </r>
  <r>
    <s v="ORD-00823"/>
    <x v="132"/>
    <s v="CUST-9578"/>
    <s v="PROD-024"/>
    <x v="12"/>
    <n v="5"/>
    <n v="2270"/>
    <n v="0.1"/>
    <n v="11338.65"/>
    <s v="Completed"/>
    <s v="Mumbai"/>
    <x v="2"/>
    <s v=""/>
    <s v=""/>
    <x v="3"/>
  </r>
  <r>
    <s v="ORD-00824"/>
    <x v="57"/>
    <s v="CUST-0130"/>
    <s v="PROD-038"/>
    <x v="16"/>
    <n v="7"/>
    <n v="5490"/>
    <n v="14.9"/>
    <n v="32703.93"/>
    <s v="Completed"/>
    <s v="Bengaluru"/>
    <x v="3"/>
    <s v="Corporate"/>
    <n v="41"/>
    <x v="3"/>
  </r>
  <r>
    <s v="ORD-00825"/>
    <x v="209"/>
    <s v="CUST-0247"/>
    <s v="PROD-004"/>
    <x v="18"/>
    <n v="5"/>
    <n v="3870"/>
    <n v="13.3"/>
    <n v="16776.45"/>
    <s v="Cancelled"/>
    <s v="Pune"/>
    <x v="4"/>
    <s v="SMB"/>
    <n v="35"/>
    <x v="1"/>
  </r>
  <r>
    <s v="ORD-00826"/>
    <x v="332"/>
    <s v="CUST-0256"/>
    <s v="PROD-049"/>
    <x v="6"/>
    <n v="2"/>
    <n v="960"/>
    <n v="17.5"/>
    <n v="1584"/>
    <s v="Completed"/>
    <s v="Hyderabad"/>
    <x v="5"/>
    <s v="Retail"/>
    <n v="28"/>
    <x v="2"/>
  </r>
  <r>
    <s v="ORD-00827"/>
    <x v="171"/>
    <s v="CUST-0213"/>
    <s v="PROD-046"/>
    <x v="19"/>
    <n v="4"/>
    <n v="4880"/>
    <n v="12.2"/>
    <n v="17138.560000000001"/>
    <s v="Cancelled"/>
    <s v="Mumbai"/>
    <x v="5"/>
    <s v="Retail"/>
    <n v="37"/>
    <x v="0"/>
  </r>
  <r>
    <s v="ORD-00828"/>
    <x v="140"/>
    <s v="CUST-0183"/>
    <s v="PROD-058"/>
    <x v="4"/>
    <n v="5"/>
    <n v="2400"/>
    <n v="15"/>
    <n v="10200"/>
    <s v="Completed"/>
    <s v="Mumbai"/>
    <x v="1"/>
    <s v="SMB"/>
    <n v="27"/>
    <x v="0"/>
  </r>
  <r>
    <s v="ORD-00829"/>
    <x v="190"/>
    <s v="CUST-0051"/>
    <s v="PROD-016"/>
    <x v="15"/>
    <n v="9"/>
    <n v="620"/>
    <n v="20.399999999999999"/>
    <n v="4441.68"/>
    <s v="Pending"/>
    <s v="Pune"/>
    <x v="0"/>
    <s v="SMB"/>
    <n v="54"/>
    <x v="1"/>
  </r>
  <r>
    <s v="ORD-00830"/>
    <x v="191"/>
    <s v="CUST-0001"/>
    <s v="PROD-039"/>
    <x v="22"/>
    <n v="1"/>
    <n v="4610"/>
    <n v="1.8"/>
    <n v="4527.0200000000004"/>
    <s v="Pending"/>
    <s v="Pune"/>
    <x v="3"/>
    <s v="Retail"/>
    <n v="36"/>
    <x v="1"/>
  </r>
  <r>
    <s v="ORD-00831"/>
    <x v="66"/>
    <s v="CUST-0105"/>
    <s v="PROD-039"/>
    <x v="2"/>
    <n v="7"/>
    <n v="4610"/>
    <n v="27"/>
    <n v="23557.1"/>
    <s v="Completed"/>
    <s v="Chennai"/>
    <x v="3"/>
    <s v="SMB"/>
    <n v="51"/>
    <x v="1"/>
  </r>
  <r>
    <s v="ORD-00832"/>
    <x v="170"/>
    <s v="CUST-0199"/>
    <s v="PROD-030"/>
    <x v="20"/>
    <n v="6"/>
    <n v="970"/>
    <n v="4.7"/>
    <n v="5546.46"/>
    <s v="Cancelled"/>
    <s v="Hyderabad"/>
    <x v="2"/>
    <s v="SMB"/>
    <n v="31"/>
    <x v="2"/>
  </r>
  <r>
    <s v="ORD-00833"/>
    <x v="331"/>
    <s v="CUST-0240"/>
    <s v="PROD-007"/>
    <x v="17"/>
    <n v="8"/>
    <n v="1430"/>
    <n v="8.6999999999999993"/>
    <n v="10444.719999999999"/>
    <s v="Completed"/>
    <s v="Chennai"/>
    <x v="4"/>
    <s v="Corporate"/>
    <n v="35"/>
    <x v="2"/>
  </r>
  <r>
    <s v="ORD-00834"/>
    <x v="333"/>
    <s v="CUST-0283"/>
    <s v="PROD-027"/>
    <x v="23"/>
    <n v="5"/>
    <n v="3780"/>
    <n v="2.9"/>
    <n v="18351.900000000001"/>
    <s v="Completed"/>
    <s v="Delhi"/>
    <x v="2"/>
    <s v="SMB"/>
    <n v="50"/>
    <x v="1"/>
  </r>
  <r>
    <s v="ORD-00835"/>
    <x v="147"/>
    <s v="CUST-0284"/>
    <s v="PROD-041"/>
    <x v="12"/>
    <n v="2"/>
    <n v="1540"/>
    <n v="12.7"/>
    <n v="2688.84"/>
    <s v="Completed"/>
    <s v="Hyderabad"/>
    <x v="5"/>
    <s v="SMB"/>
    <n v="65"/>
    <x v="3"/>
  </r>
  <r>
    <s v="ORD-00836"/>
    <x v="155"/>
    <s v="CUST-0060"/>
    <s v="PROD-040"/>
    <x v="16"/>
    <n v="9"/>
    <n v="1080"/>
    <n v="11.2"/>
    <n v="8631.36"/>
    <s v="Cancelled"/>
    <s v="Pune"/>
    <x v="3"/>
    <s v="Retail"/>
    <n v="39"/>
    <x v="3"/>
  </r>
  <r>
    <s v="ORD-00837"/>
    <x v="213"/>
    <s v="CUST-0266"/>
    <s v="PROD-058"/>
    <x v="0"/>
    <n v="3"/>
    <n v="2400"/>
    <n v="28.6"/>
    <n v="5140.8"/>
    <s v="Completed"/>
    <s v="Pune"/>
    <x v="1"/>
    <s v="Retail"/>
    <n v="65"/>
    <x v="0"/>
  </r>
  <r>
    <s v="ORD-00838"/>
    <x v="120"/>
    <s v="CUST-0056"/>
    <s v="PROD-040"/>
    <x v="26"/>
    <n v="5"/>
    <n v="1080"/>
    <n v="18.3"/>
    <n v="4411.8"/>
    <s v="Completed"/>
    <s v="Bengaluru"/>
    <x v="3"/>
    <s v="SMB"/>
    <n v="46"/>
    <x v="3"/>
  </r>
  <r>
    <s v="ORD-00839"/>
    <x v="294"/>
    <s v="CUST-0187"/>
    <s v="PROD-024"/>
    <x v="28"/>
    <n v="7"/>
    <n v="2270"/>
    <n v="1.7"/>
    <n v="15619.87"/>
    <s v="Cancelled"/>
    <s v="Chennai"/>
    <x v="2"/>
    <s v="SMB"/>
    <n v="51"/>
    <x v="2"/>
  </r>
  <r>
    <s v="ORD-00840"/>
    <x v="334"/>
    <s v="CUST-0183"/>
    <s v="PROD-028"/>
    <x v="17"/>
    <n v="8"/>
    <n v="3660"/>
    <n v="19.100000000000001"/>
    <n v="23687.52"/>
    <s v="Cancelled"/>
    <s v="Mumbai"/>
    <x v="2"/>
    <s v="SMB"/>
    <n v="27"/>
    <x v="2"/>
  </r>
  <r>
    <s v="ORD-00841"/>
    <x v="302"/>
    <s v="CUST-0068"/>
    <s v="PROD-036"/>
    <x v="11"/>
    <n v="5"/>
    <n v="3250"/>
    <n v="12.9"/>
    <n v="14153.75"/>
    <s v="Completed"/>
    <s v="Delhi"/>
    <x v="3"/>
    <s v="SMB"/>
    <n v="48"/>
    <x v="0"/>
  </r>
  <r>
    <s v="ORD-00842"/>
    <x v="60"/>
    <s v="CUST-0135"/>
    <s v="PROD-044"/>
    <x v="27"/>
    <n v="4"/>
    <n v="1650"/>
    <n v="4.0999999999999996"/>
    <n v="6329.4"/>
    <s v="Completed"/>
    <s v="Pune"/>
    <x v="5"/>
    <s v="SMB"/>
    <n v="24"/>
    <x v="1"/>
  </r>
  <r>
    <s v="ORD-00843"/>
    <x v="207"/>
    <s v="CUST-0191"/>
    <s v="PROD-034"/>
    <x v="11"/>
    <n v="6"/>
    <n v="5080"/>
    <n v="3"/>
    <n v="29565.599999999999"/>
    <s v="Completed"/>
    <s v="Hyderabad"/>
    <x v="3"/>
    <s v="SMB"/>
    <n v="43"/>
    <x v="0"/>
  </r>
  <r>
    <s v="ORD-00844"/>
    <x v="105"/>
    <s v="CUST-0244"/>
    <s v="PROD-051"/>
    <x v="28"/>
    <n v="8"/>
    <n v="3450"/>
    <n v="20.9"/>
    <n v="21831.599999999999"/>
    <s v="Completed"/>
    <s v="Bengaluru"/>
    <x v="1"/>
    <s v="Retail"/>
    <n v="61"/>
    <x v="2"/>
  </r>
  <r>
    <s v="ORD-00845"/>
    <x v="335"/>
    <s v="CUST-0189"/>
    <s v="PROD-043"/>
    <x v="26"/>
    <n v="6"/>
    <n v="3350"/>
    <n v="24.8"/>
    <n v="15115.2"/>
    <s v="Completed"/>
    <s v="Chennai"/>
    <x v="5"/>
    <s v="Retail"/>
    <n v="41"/>
    <x v="3"/>
  </r>
  <r>
    <s v="ORD-00846"/>
    <x v="310"/>
    <s v="CUST-0166"/>
    <s v="PROD-029"/>
    <x v="28"/>
    <n v="10"/>
    <n v="2210"/>
    <n v="4.2"/>
    <n v="21171.8"/>
    <s v="Completed"/>
    <s v="Hyderabad"/>
    <x v="2"/>
    <s v="Retail"/>
    <n v="31"/>
    <x v="2"/>
  </r>
  <r>
    <s v="ORD-00847"/>
    <x v="328"/>
    <s v="CUST-0167"/>
    <s v="PROD-046"/>
    <x v="3"/>
    <n v="10"/>
    <n v="4880"/>
    <n v="0.7"/>
    <n v="48458.400000000001"/>
    <s v="Completed"/>
    <s v="Delhi"/>
    <x v="5"/>
    <s v="Retail"/>
    <n v="43"/>
    <x v="0"/>
  </r>
  <r>
    <s v="ORD-00848"/>
    <x v="264"/>
    <s v="CUST-0265"/>
    <s v="PROD-055"/>
    <x v="10"/>
    <n v="7"/>
    <n v="2860"/>
    <n v="28.1"/>
    <n v="14394.38"/>
    <s v="Pending"/>
    <s v="Chennai"/>
    <x v="1"/>
    <s v="Retail"/>
    <n v="49"/>
    <x v="0"/>
  </r>
  <r>
    <s v="ORD-00849"/>
    <x v="248"/>
    <s v="CUST-0172"/>
    <s v="PROD-030"/>
    <x v="1"/>
    <n v="3"/>
    <n v="970"/>
    <n v="28.3"/>
    <n v="2086.4699999999998"/>
    <s v="Completed"/>
    <s v="Pune"/>
    <x v="2"/>
    <s v="Retail"/>
    <n v="65"/>
    <x v="0"/>
  </r>
  <r>
    <s v="ORD-00850"/>
    <x v="315"/>
    <s v="CUST-0205"/>
    <s v="PROD-022"/>
    <x v="4"/>
    <n v="1"/>
    <n v="2270"/>
    <n v="15.1"/>
    <n v="1927.23"/>
    <s v="Completed"/>
    <s v="Pune"/>
    <x v="2"/>
    <s v="Corporate"/>
    <n v="29"/>
    <x v="0"/>
  </r>
  <r>
    <s v="ORD-00851"/>
    <x v="258"/>
    <s v="CUST-0102"/>
    <s v="PROD-018"/>
    <x v="15"/>
    <n v="5"/>
    <n v="3560"/>
    <n v="11.5"/>
    <n v="15753"/>
    <s v="Completed"/>
    <s v="Chennai"/>
    <x v="0"/>
    <s v="SMB"/>
    <n v="62"/>
    <x v="1"/>
  </r>
  <r>
    <s v="ORD-00852"/>
    <x v="140"/>
    <s v="CUST-0142"/>
    <s v="PROD-052"/>
    <x v="9"/>
    <n v="2"/>
    <n v="5410"/>
    <n v="14.8"/>
    <n v="9218.64"/>
    <s v="Pending"/>
    <s v="Chennai"/>
    <x v="1"/>
    <s v="Corporate"/>
    <n v="55"/>
    <x v="1"/>
  </r>
  <r>
    <s v="ORD-00853"/>
    <x v="165"/>
    <s v="CUST-0195"/>
    <s v="PROD-019"/>
    <x v="3"/>
    <n v="2"/>
    <n v="2480"/>
    <n v="27.2"/>
    <n v="3610.88"/>
    <s v="Completed"/>
    <s v="Bengaluru"/>
    <x v="0"/>
    <s v="Retail"/>
    <n v="28"/>
    <x v="0"/>
  </r>
  <r>
    <s v="ORD-00854"/>
    <x v="154"/>
    <s v="CUST-0125"/>
    <s v="PROD-020"/>
    <x v="2"/>
    <n v="6"/>
    <n v="820"/>
    <n v="6.6"/>
    <n v="4595.28"/>
    <s v="Completed"/>
    <s v="Delhi"/>
    <x v="0"/>
    <s v="Retail"/>
    <n v="45"/>
    <x v="1"/>
  </r>
  <r>
    <s v="ORD-00855"/>
    <x v="224"/>
    <s v="CUST-0234"/>
    <s v="PROD-001"/>
    <x v="15"/>
    <n v="10"/>
    <n v="5330"/>
    <n v="16.100000000000001"/>
    <n v="44718.7"/>
    <s v="Completed"/>
    <s v="Bengaluru"/>
    <x v="4"/>
    <s v="Retail"/>
    <n v="34"/>
    <x v="1"/>
  </r>
  <r>
    <s v="ORD-00856"/>
    <x v="334"/>
    <s v="CUST-0061"/>
    <s v="PROD-047"/>
    <x v="10"/>
    <n v="2"/>
    <n v="3450"/>
    <n v="11.3"/>
    <n v="6120.3"/>
    <s v="Pending"/>
    <s v="Hyderabad"/>
    <x v="5"/>
    <s v="Retail"/>
    <n v="64"/>
    <x v="0"/>
  </r>
  <r>
    <s v="ORD-00857"/>
    <x v="97"/>
    <s v="CUST-0189"/>
    <s v="PROD-049"/>
    <x v="12"/>
    <n v="7"/>
    <n v="960"/>
    <n v="17.100000000000001"/>
    <n v="5570.88"/>
    <s v="Completed"/>
    <s v="Chennai"/>
    <x v="5"/>
    <s v="Retail"/>
    <n v="41"/>
    <x v="3"/>
  </r>
  <r>
    <s v="ORD-00858"/>
    <x v="235"/>
    <s v="CUST-0191"/>
    <s v="PROD-011"/>
    <x v="11"/>
    <n v="5"/>
    <n v="3450"/>
    <n v="22.9"/>
    <n v="13299.75"/>
    <s v="Completed"/>
    <s v="Hyderabad"/>
    <x v="0"/>
    <s v="SMB"/>
    <n v="43"/>
    <x v="0"/>
  </r>
  <r>
    <s v="ORD-00859"/>
    <x v="287"/>
    <s v="CUST-0217"/>
    <s v="PROD-009"/>
    <x v="4"/>
    <n v="5"/>
    <n v="1220"/>
    <n v="0.3"/>
    <n v="6081.7"/>
    <s v="Completed"/>
    <s v="Pune"/>
    <x v="4"/>
    <s v="SMB"/>
    <n v="59"/>
    <x v="0"/>
  </r>
  <r>
    <s v="ORD-00860"/>
    <x v="231"/>
    <s v="CUST-0060"/>
    <s v="PROD-001"/>
    <x v="0"/>
    <n v="5"/>
    <n v="5330"/>
    <n v="29"/>
    <n v="18921.5"/>
    <s v="Completed"/>
    <s v="Pune"/>
    <x v="4"/>
    <s v="Retail"/>
    <n v="39"/>
    <x v="0"/>
  </r>
  <r>
    <s v="ORD-00861"/>
    <x v="29"/>
    <s v="CUST-0270"/>
    <s v="PROD-003"/>
    <x v="8"/>
    <n v="3"/>
    <n v="3570"/>
    <n v="20"/>
    <n v="8568"/>
    <s v="Cancelled"/>
    <s v="Bengaluru"/>
    <x v="4"/>
    <s v="Retail"/>
    <n v="29"/>
    <x v="2"/>
  </r>
  <r>
    <s v="ORD-00862"/>
    <x v="8"/>
    <s v="CUST-0279"/>
    <s v="PROD-029"/>
    <x v="17"/>
    <n v="9"/>
    <n v="2210"/>
    <n v="12.4"/>
    <n v="17423.64"/>
    <s v="Completed"/>
    <s v="Mumbai"/>
    <x v="2"/>
    <s v="Retail"/>
    <n v="56"/>
    <x v="2"/>
  </r>
  <r>
    <s v="ORD-00863"/>
    <x v="272"/>
    <s v="CUST-0008"/>
    <s v="PROD-059"/>
    <x v="20"/>
    <n v="5"/>
    <n v="3780"/>
    <n v="3.9"/>
    <n v="18162.900000000001"/>
    <s v="Completed"/>
    <s v="Pune"/>
    <x v="1"/>
    <s v="SMB"/>
    <n v="39"/>
    <x v="2"/>
  </r>
  <r>
    <s v="ORD-00864"/>
    <x v="17"/>
    <s v="CUST-0259"/>
    <s v="PROD-010"/>
    <x v="4"/>
    <n v="10"/>
    <n v="2640"/>
    <n v="17.8"/>
    <n v="21700.799999999999"/>
    <s v="Refunded"/>
    <s v="Mumbai"/>
    <x v="4"/>
    <s v="Retail"/>
    <n v="34"/>
    <x v="0"/>
  </r>
  <r>
    <s v="ORD-00865"/>
    <x v="279"/>
    <s v="CUST-0169"/>
    <s v="PROD-005"/>
    <x v="6"/>
    <n v="5"/>
    <n v="300"/>
    <n v="12.9"/>
    <n v="1306.5"/>
    <s v="Completed"/>
    <s v="Bengaluru"/>
    <x v="4"/>
    <s v="SMB"/>
    <n v="42"/>
    <x v="2"/>
  </r>
  <r>
    <s v="ORD-00866"/>
    <x v="276"/>
    <s v="CUST-0191"/>
    <s v="PROD-058"/>
    <x v="22"/>
    <n v="2"/>
    <n v="2400"/>
    <n v="17.100000000000001"/>
    <n v="3979.2"/>
    <s v="Pending"/>
    <s v="Hyderabad"/>
    <x v="1"/>
    <s v="SMB"/>
    <n v="43"/>
    <x v="1"/>
  </r>
  <r>
    <s v="ORD-00867"/>
    <x v="336"/>
    <s v="CUST-0129"/>
    <s v="PROD-040"/>
    <x v="17"/>
    <n v="5"/>
    <n v="1080"/>
    <n v="15.7"/>
    <n v="4552.2"/>
    <s v="Pending"/>
    <s v="Hyderabad"/>
    <x v="3"/>
    <s v="Retail"/>
    <n v="29"/>
    <x v="2"/>
  </r>
  <r>
    <s v="ORD-00868"/>
    <x v="72"/>
    <s v="CUST-0066"/>
    <s v="PROD-036"/>
    <x v="11"/>
    <n v="1"/>
    <n v="3250"/>
    <n v="14.7"/>
    <n v="2772.25"/>
    <s v="Completed"/>
    <s v="Delhi"/>
    <x v="3"/>
    <s v="Retail"/>
    <n v="24"/>
    <x v="0"/>
  </r>
  <r>
    <s v="ORD-00869"/>
    <x v="169"/>
    <s v="CUST-0114"/>
    <s v="PROD-032"/>
    <x v="13"/>
    <n v="7"/>
    <n v="370"/>
    <n v="6"/>
    <n v="2434.6"/>
    <s v="Cancelled"/>
    <s v="Bengaluru"/>
    <x v="3"/>
    <s v="Corporate"/>
    <n v="42"/>
    <x v="3"/>
  </r>
  <r>
    <s v="ORD-00870"/>
    <x v="186"/>
    <s v="CUST-9833"/>
    <s v="PROD-038"/>
    <x v="20"/>
    <n v="7"/>
    <n v="5490"/>
    <n v="10.199999999999999"/>
    <n v="34510.14"/>
    <s v="Completed"/>
    <s v="Pune"/>
    <x v="3"/>
    <s v=""/>
    <s v=""/>
    <x v="2"/>
  </r>
  <r>
    <s v="ORD-00871"/>
    <x v="337"/>
    <s v="CUST-0076"/>
    <s v="PROD-006"/>
    <x v="8"/>
    <n v="3"/>
    <n v="3970"/>
    <n v="2.4"/>
    <n v="11624.16"/>
    <s v="Completed"/>
    <s v="Mumbai"/>
    <x v="4"/>
    <s v="Retail"/>
    <n v="38"/>
    <x v="2"/>
  </r>
  <r>
    <s v="ORD-00872"/>
    <x v="336"/>
    <s v="CUST-0215"/>
    <s v="PROD-009"/>
    <x v="0"/>
    <n v="4"/>
    <n v="1220"/>
    <n v="25.3"/>
    <n v="3645.36"/>
    <s v="Completed"/>
    <s v="Hyderabad"/>
    <x v="4"/>
    <s v="Retail"/>
    <n v="52"/>
    <x v="0"/>
  </r>
  <r>
    <s v="ORD-00873"/>
    <x v="132"/>
    <s v="CUST-0061"/>
    <s v="PROD-012"/>
    <x v="17"/>
    <n v="3"/>
    <n v="3160"/>
    <n v="19.8"/>
    <n v="7602.96"/>
    <s v="Completed"/>
    <s v="Hyderabad"/>
    <x v="0"/>
    <s v="Retail"/>
    <n v="64"/>
    <x v="2"/>
  </r>
  <r>
    <s v="ORD-00874"/>
    <x v="195"/>
    <s v="CUST-0249"/>
    <s v="PROD-005"/>
    <x v="4"/>
    <n v="1"/>
    <n v="300"/>
    <n v="24.5"/>
    <n v="226.5"/>
    <s v="Completed"/>
    <s v="Mumbai"/>
    <x v="4"/>
    <s v="Retail"/>
    <n v="44"/>
    <x v="0"/>
  </r>
  <r>
    <s v="ORD-00875"/>
    <x v="16"/>
    <s v="CUST-0105"/>
    <s v="PROD-047"/>
    <x v="20"/>
    <n v="5"/>
    <n v="3450"/>
    <n v="13.4"/>
    <n v="14938.5"/>
    <s v="Pending"/>
    <s v="Chennai"/>
    <x v="5"/>
    <s v="SMB"/>
    <n v="51"/>
    <x v="2"/>
  </r>
  <r>
    <s v="ORD-00876"/>
    <x v="245"/>
    <s v="CUST-0161"/>
    <s v="PROD-014"/>
    <x v="28"/>
    <n v="7"/>
    <n v="3620"/>
    <n v="19.2"/>
    <n v="20474.72"/>
    <s v="Completed"/>
    <s v="Chennai"/>
    <x v="0"/>
    <s v="Retail"/>
    <n v="38"/>
    <x v="2"/>
  </r>
  <r>
    <s v="ORD-00877"/>
    <x v="265"/>
    <s v="CUST-0275"/>
    <s v="PROD-024"/>
    <x v="9"/>
    <n v="10"/>
    <n v="2270"/>
    <n v="20.5"/>
    <n v="18046.5"/>
    <s v="Completed"/>
    <s v="Mumbai"/>
    <x v="2"/>
    <s v="Retail"/>
    <n v="36"/>
    <x v="1"/>
  </r>
  <r>
    <s v="ORD-00878"/>
    <x v="194"/>
    <s v="CUST-0049"/>
    <s v="PROD-015"/>
    <x v="6"/>
    <n v="5"/>
    <n v="2720"/>
    <n v="29.3"/>
    <n v="9615.2000000000007"/>
    <s v="Completed"/>
    <s v="Mumbai"/>
    <x v="0"/>
    <s v="Corporate"/>
    <n v="42"/>
    <x v="2"/>
  </r>
  <r>
    <s v="ORD-00879"/>
    <x v="59"/>
    <s v="CUST-0235"/>
    <s v="PROD-027"/>
    <x v="24"/>
    <n v="9"/>
    <n v="3780"/>
    <n v="2.2999999999999998"/>
    <n v="33237.54"/>
    <s v="Completed"/>
    <s v="Chennai"/>
    <x v="2"/>
    <s v="Retail"/>
    <n v="31"/>
    <x v="3"/>
  </r>
  <r>
    <s v="ORD-00880"/>
    <x v="184"/>
    <s v="CUST-0220"/>
    <s v="PROD-025"/>
    <x v="2"/>
    <n v="9"/>
    <n v="4060"/>
    <n v="11.5"/>
    <n v="32337.9"/>
    <s v="Completed"/>
    <s v="Chennai"/>
    <x v="2"/>
    <s v="Retail"/>
    <n v="34"/>
    <x v="1"/>
  </r>
  <r>
    <s v="ORD-00881"/>
    <x v="25"/>
    <s v="CUST-0298"/>
    <s v="PROD-021"/>
    <x v="27"/>
    <n v="10"/>
    <n v="2760"/>
    <n v="3.9"/>
    <n v="26523.599999999999"/>
    <s v="Refunded"/>
    <s v="Delhi"/>
    <x v="2"/>
    <s v="Retail"/>
    <n v="44"/>
    <x v="1"/>
  </r>
  <r>
    <s v="ORD-00882"/>
    <x v="106"/>
    <s v="CUST-0222"/>
    <s v="PROD-040"/>
    <x v="13"/>
    <n v="10"/>
    <n v="1080"/>
    <n v="21.4"/>
    <n v="8488.7999999999993"/>
    <s v="Completed"/>
    <s v="Chennai"/>
    <x v="3"/>
    <s v="Retail"/>
    <n v="37"/>
    <x v="3"/>
  </r>
  <r>
    <s v="ORD-00883"/>
    <x v="255"/>
    <s v="CUST-0049"/>
    <s v="PROD-034"/>
    <x v="12"/>
    <n v="6"/>
    <n v="5080"/>
    <n v="29.8"/>
    <n v="21396.959999999999"/>
    <s v="Pending"/>
    <s v="Mumbai"/>
    <x v="3"/>
    <s v="Corporate"/>
    <n v="42"/>
    <x v="3"/>
  </r>
  <r>
    <s v="ORD-00884"/>
    <x v="174"/>
    <s v="CUST-0147"/>
    <s v="PROD-046"/>
    <x v="14"/>
    <n v="1"/>
    <n v="4880"/>
    <n v="28.2"/>
    <n v="3503.84"/>
    <s v="Completed"/>
    <s v="Pune"/>
    <x v="5"/>
    <s v="Retail"/>
    <n v="56"/>
    <x v="2"/>
  </r>
  <r>
    <s v="ORD-00885"/>
    <x v="254"/>
    <s v="CUST-0177"/>
    <s v="PROD-022"/>
    <x v="28"/>
    <n v="1"/>
    <n v="2270"/>
    <n v="27.8"/>
    <n v="1638.94"/>
    <s v="Completed"/>
    <s v="Mumbai"/>
    <x v="2"/>
    <s v="SMB"/>
    <n v="36"/>
    <x v="2"/>
  </r>
  <r>
    <s v="ORD-00886"/>
    <x v="198"/>
    <s v="CUST-0121"/>
    <s v="PROD-006"/>
    <x v="7"/>
    <n v="9"/>
    <n v="3970"/>
    <n v="7"/>
    <n v="33228.9"/>
    <s v="Completed"/>
    <s v="Delhi"/>
    <x v="4"/>
    <s v="SMB"/>
    <n v="55"/>
    <x v="3"/>
  </r>
  <r>
    <s v="ORD-00887"/>
    <x v="199"/>
    <s v="CUST-0262"/>
    <s v="PROD-048"/>
    <x v="11"/>
    <n v="9"/>
    <n v="5100"/>
    <n v="9.6999999999999993"/>
    <n v="41447.699999999997"/>
    <s v="Completed"/>
    <s v="Mumbai"/>
    <x v="5"/>
    <s v="Retail"/>
    <n v="52"/>
    <x v="0"/>
  </r>
  <r>
    <s v="ORD-00888"/>
    <x v="71"/>
    <s v="CUST-0246"/>
    <s v="PROD-060"/>
    <x v="1"/>
    <n v="8"/>
    <n v="190"/>
    <n v="10.199999999999999"/>
    <n v="1364.96"/>
    <s v="Completed"/>
    <s v="Delhi"/>
    <x v="1"/>
    <s v="SMB"/>
    <n v="29"/>
    <x v="0"/>
  </r>
  <r>
    <s v="ORD-00889"/>
    <x v="51"/>
    <s v="CUST-0070"/>
    <s v="PROD-050"/>
    <x v="17"/>
    <n v="1"/>
    <n v="6080"/>
    <n v="5.6"/>
    <n v="5739.52"/>
    <s v="Completed"/>
    <s v="Mumbai"/>
    <x v="5"/>
    <s v="Retail"/>
    <n v="42"/>
    <x v="2"/>
  </r>
  <r>
    <s v="ORD-00890"/>
    <x v="285"/>
    <s v="CUST-0218"/>
    <s v="PROD-057"/>
    <x v="16"/>
    <n v="6"/>
    <n v="960"/>
    <n v="1.9"/>
    <n v="5650.56"/>
    <s v="Completed"/>
    <s v="Mumbai"/>
    <x v="1"/>
    <s v="Retail"/>
    <n v="39"/>
    <x v="3"/>
  </r>
  <r>
    <s v="ORD-00891"/>
    <x v="309"/>
    <s v="CUST-0068"/>
    <s v="PROD-041"/>
    <x v="10"/>
    <n v="7"/>
    <n v="1540"/>
    <n v="7.1"/>
    <n v="10014.620000000001"/>
    <s v="Completed"/>
    <s v="Delhi"/>
    <x v="5"/>
    <s v="SMB"/>
    <n v="48"/>
    <x v="0"/>
  </r>
  <r>
    <s v="ORD-00892"/>
    <x v="60"/>
    <s v="CUST-0261"/>
    <s v="PROD-005"/>
    <x v="23"/>
    <n v="10"/>
    <n v="300"/>
    <n v="12.8"/>
    <n v="2616"/>
    <s v="Cancelled"/>
    <s v="Delhi"/>
    <x v="4"/>
    <s v="Retail"/>
    <n v="54"/>
    <x v="1"/>
  </r>
  <r>
    <s v="ORD-00893"/>
    <x v="145"/>
    <s v="CUST-0077"/>
    <s v="PROD-046"/>
    <x v="23"/>
    <n v="4"/>
    <n v="4880"/>
    <n v="26.5"/>
    <n v="14347.2"/>
    <s v="Completed"/>
    <s v="Hyderabad"/>
    <x v="5"/>
    <s v="SMB"/>
    <n v="48"/>
    <x v="1"/>
  </r>
  <r>
    <s v="ORD-00894"/>
    <x v="55"/>
    <s v="CUST-0188"/>
    <s v="PROD-032"/>
    <x v="11"/>
    <n v="2"/>
    <n v="370"/>
    <n v="26.5"/>
    <n v="543.9"/>
    <s v="Completed"/>
    <s v="Bengaluru"/>
    <x v="3"/>
    <s v="Retail"/>
    <n v="54"/>
    <x v="0"/>
  </r>
  <r>
    <s v="ORD-00895"/>
    <x v="106"/>
    <s v="CUST-0145"/>
    <s v="PROD-039"/>
    <x v="25"/>
    <n v="3"/>
    <n v="4610"/>
    <n v="29.7"/>
    <n v="9722.49"/>
    <s v="Completed"/>
    <s v="Bengaluru"/>
    <x v="3"/>
    <s v="SMB"/>
    <n v="44"/>
    <x v="0"/>
  </r>
  <r>
    <s v="ORD-00896"/>
    <x v="149"/>
    <s v="CUST-0036"/>
    <s v="PROD-002"/>
    <x v="22"/>
    <n v="5"/>
    <n v="2600"/>
    <n v="21.4"/>
    <n v="10218"/>
    <s v="Completed"/>
    <s v="Mumbai"/>
    <x v="4"/>
    <s v="Retail"/>
    <n v="35"/>
    <x v="1"/>
  </r>
  <r>
    <s v="ORD-00600"/>
    <x v="295"/>
    <s v="CUST-0269"/>
    <s v="PROD-009"/>
    <x v="5"/>
    <n v="10"/>
    <n v="1220"/>
    <n v="24.3"/>
    <n v="9235.4"/>
    <s v="Completed"/>
    <s v="Pune"/>
    <x v="4"/>
    <s v="Retail"/>
    <n v="48"/>
    <x v="2"/>
  </r>
  <r>
    <s v="ORD-00898"/>
    <x v="34"/>
    <s v="CUST-9607"/>
    <s v="PROD-007"/>
    <x v="15"/>
    <n v="10"/>
    <n v="1430"/>
    <n v="5.0999999999999996"/>
    <n v="13570.7"/>
    <s v="Cancelled"/>
    <s v="Chennai"/>
    <x v="4"/>
    <s v=""/>
    <s v=""/>
    <x v="1"/>
  </r>
  <r>
    <s v="ORD-00899"/>
    <x v="35"/>
    <s v="CUST-0189"/>
    <s v="PROD-046"/>
    <x v="14"/>
    <n v="10"/>
    <n v="4880"/>
    <n v="25.5"/>
    <n v="36356"/>
    <s v="Cancelled"/>
    <s v="Chennai"/>
    <x v="5"/>
    <s v="Retail"/>
    <n v="41"/>
    <x v="2"/>
  </r>
  <r>
    <s v="ORD-00900"/>
    <x v="79"/>
    <s v="CUST-0199"/>
    <s v="PROD-050"/>
    <x v="8"/>
    <n v="6"/>
    <n v="6080"/>
    <n v="21.6"/>
    <n v="28600.32"/>
    <s v="Completed"/>
    <s v="Hyderabad"/>
    <x v="5"/>
    <s v="SMB"/>
    <n v="31"/>
    <x v="2"/>
  </r>
  <r>
    <s v="ORD-00901"/>
    <x v="158"/>
    <s v="CUST-0277"/>
    <s v="PROD-045"/>
    <x v="22"/>
    <n v="3"/>
    <n v="3020"/>
    <n v="20.7"/>
    <n v="7184.58"/>
    <s v="Completed"/>
    <s v="Chennai"/>
    <x v="5"/>
    <s v="Corporate"/>
    <n v="34"/>
    <x v="1"/>
  </r>
  <r>
    <s v="ORD-00902"/>
    <x v="338"/>
    <s v="CUST-0108"/>
    <s v="PROD-015"/>
    <x v="22"/>
    <n v="9"/>
    <n v="2720"/>
    <n v="21.4"/>
    <n v="19241.28"/>
    <s v="Completed"/>
    <s v="Bengaluru"/>
    <x v="0"/>
    <s v="Corporate"/>
    <n v="59"/>
    <x v="1"/>
  </r>
  <r>
    <s v="ORD-00903"/>
    <x v="53"/>
    <s v="CUST-0203"/>
    <s v="PROD-003"/>
    <x v="5"/>
    <n v="10"/>
    <n v="3570"/>
    <n v="4.4000000000000004"/>
    <n v="34129.199999999997"/>
    <s v="Completed"/>
    <s v="Chennai"/>
    <x v="4"/>
    <s v="SMB"/>
    <n v="55"/>
    <x v="2"/>
  </r>
  <r>
    <s v="ORD-00904"/>
    <x v="119"/>
    <s v="CUST-0272"/>
    <s v="PROD-040"/>
    <x v="2"/>
    <n v="8"/>
    <n v="1080"/>
    <n v="23.8"/>
    <n v="6583.68"/>
    <s v="Completed"/>
    <s v="Mumbai"/>
    <x v="3"/>
    <s v="SMB"/>
    <n v="47"/>
    <x v="1"/>
  </r>
  <r>
    <s v="ORD-00905"/>
    <x v="27"/>
    <s v="CUST-0039"/>
    <s v="PROD-035"/>
    <x v="23"/>
    <n v="8"/>
    <n v="1090"/>
    <n v="17.5"/>
    <n v="7194"/>
    <s v="Completed"/>
    <s v="Bengaluru"/>
    <x v="3"/>
    <s v="Retail"/>
    <n v="37"/>
    <x v="1"/>
  </r>
  <r>
    <s v="ORD-00906"/>
    <x v="70"/>
    <s v="CUST-0105"/>
    <s v="PROD-018"/>
    <x v="28"/>
    <n v="7"/>
    <n v="3560"/>
    <n v="11.1"/>
    <n v="22153.88"/>
    <s v="Completed"/>
    <s v="Chennai"/>
    <x v="0"/>
    <s v="SMB"/>
    <n v="51"/>
    <x v="2"/>
  </r>
  <r>
    <s v="ORD-00907"/>
    <x v="59"/>
    <s v="CUST-0095"/>
    <s v="PROD-060"/>
    <x v="24"/>
    <n v="6"/>
    <n v="190"/>
    <n v="17.100000000000001"/>
    <n v="945.06"/>
    <s v="Cancelled"/>
    <s v="Mumbai"/>
    <x v="1"/>
    <s v="SMB"/>
    <n v="54"/>
    <x v="3"/>
  </r>
  <r>
    <s v="ORD-00908"/>
    <x v="320"/>
    <s v="CUST-0138"/>
    <s v="PROD-025"/>
    <x v="5"/>
    <n v="7"/>
    <n v="4060"/>
    <n v="0.6"/>
    <n v="28249.48"/>
    <s v="Completed"/>
    <s v="Chennai"/>
    <x v="2"/>
    <s v="Retail"/>
    <n v="24"/>
    <x v="2"/>
  </r>
  <r>
    <s v="ORD-00909"/>
    <x v="63"/>
    <s v="CUST-0155"/>
    <s v="PROD-039"/>
    <x v="13"/>
    <n v="4"/>
    <n v="4610"/>
    <n v="1.9"/>
    <n v="18089.64"/>
    <s v="Pending"/>
    <s v="Pune"/>
    <x v="3"/>
    <s v="Corporate"/>
    <n v="40"/>
    <x v="3"/>
  </r>
  <r>
    <s v="ORD-00910"/>
    <x v="93"/>
    <s v="CUST-0198"/>
    <s v="PROD-026"/>
    <x v="16"/>
    <n v="4"/>
    <n v="4070"/>
    <n v="26.8"/>
    <n v="11916.96"/>
    <s v="Completed"/>
    <s v="Chennai"/>
    <x v="2"/>
    <s v="Corporate"/>
    <n v="22"/>
    <x v="3"/>
  </r>
  <r>
    <s v="ORD-00911"/>
    <x v="142"/>
    <s v="CUST-0267"/>
    <s v="PROD-014"/>
    <x v="10"/>
    <n v="4"/>
    <n v="3620"/>
    <n v="11.7"/>
    <n v="12785.84"/>
    <s v="Completed"/>
    <s v="Hyderabad"/>
    <x v="0"/>
    <s v="Retail"/>
    <n v="27"/>
    <x v="0"/>
  </r>
  <r>
    <s v="ORD-00912"/>
    <x v="195"/>
    <s v="CUST-0248"/>
    <s v="PROD-006"/>
    <x v="14"/>
    <n v="3"/>
    <n v="3970"/>
    <n v="24.7"/>
    <n v="8968.23"/>
    <s v="Completed"/>
    <s v="Chennai"/>
    <x v="4"/>
    <s v="SMB"/>
    <n v="57"/>
    <x v="2"/>
  </r>
  <r>
    <s v="ORD-00913"/>
    <x v="36"/>
    <s v="CUST-0114"/>
    <s v="PROD-030"/>
    <x v="8"/>
    <n v="4"/>
    <n v="970"/>
    <n v="0.4"/>
    <n v="3864.48"/>
    <s v="Completed"/>
    <s v="Bengaluru"/>
    <x v="2"/>
    <s v="Corporate"/>
    <n v="42"/>
    <x v="2"/>
  </r>
  <r>
    <s v="ORD-00914"/>
    <x v="229"/>
    <s v="CUST-0129"/>
    <s v="PROD-057"/>
    <x v="12"/>
    <n v="2"/>
    <n v="960"/>
    <n v="1.4"/>
    <n v="1893.12"/>
    <s v="Completed"/>
    <s v="Hyderabad"/>
    <x v="1"/>
    <s v="Retail"/>
    <n v="29"/>
    <x v="3"/>
  </r>
  <r>
    <s v="ORD-00915"/>
    <x v="67"/>
    <s v="CUST-0182"/>
    <s v="PROD-005"/>
    <x v="29"/>
    <n v="7"/>
    <n v="300"/>
    <n v="20.399999999999999"/>
    <n v="1671.6"/>
    <s v="Completed"/>
    <s v="Mumbai"/>
    <x v="4"/>
    <s v="Retail"/>
    <n v="54"/>
    <x v="1"/>
  </r>
  <r>
    <s v="ORD-00916"/>
    <x v="245"/>
    <s v="CUST-0020"/>
    <s v="PROD-002"/>
    <x v="2"/>
    <n v="8"/>
    <n v="2600"/>
    <n v="2.2000000000000002"/>
    <n v="20342.400000000001"/>
    <s v="Cancelled"/>
    <s v="Hyderabad"/>
    <x v="4"/>
    <s v="Retail"/>
    <n v="46"/>
    <x v="1"/>
  </r>
  <r>
    <s v="ORD-00917"/>
    <x v="297"/>
    <s v="CUST-0163"/>
    <s v="PROD-032"/>
    <x v="4"/>
    <n v="2"/>
    <n v="370"/>
    <n v="17.7"/>
    <n v="609.02"/>
    <s v="Completed"/>
    <s v="Pune"/>
    <x v="3"/>
    <s v="Retail"/>
    <n v="49"/>
    <x v="0"/>
  </r>
  <r>
    <s v="ORD-00918"/>
    <x v="6"/>
    <s v="CUST-0142"/>
    <s v="PROD-047"/>
    <x v="17"/>
    <n v="4"/>
    <n v="3450"/>
    <n v="9.8000000000000007"/>
    <n v="12447.6"/>
    <s v="Cancelled"/>
    <s v="Chennai"/>
    <x v="5"/>
    <s v="Corporate"/>
    <n v="55"/>
    <x v="2"/>
  </r>
  <r>
    <s v="ORD-00919"/>
    <x v="97"/>
    <s v="CUST-0221"/>
    <s v="PROD-019"/>
    <x v="16"/>
    <n v="1"/>
    <n v="2480"/>
    <n v="5.8"/>
    <n v="2336.16"/>
    <s v="Completed"/>
    <s v="Delhi"/>
    <x v="0"/>
    <s v="SMB"/>
    <n v="29"/>
    <x v="3"/>
  </r>
  <r>
    <s v="ORD-00920"/>
    <x v="90"/>
    <s v="CUST-0079"/>
    <s v="PROD-028"/>
    <x v="7"/>
    <n v="5"/>
    <n v="3660"/>
    <n v="4.7"/>
    <n v="17439.900000000001"/>
    <s v="Pending"/>
    <s v="Mumbai"/>
    <x v="2"/>
    <s v="Corporate"/>
    <n v="60"/>
    <x v="3"/>
  </r>
  <r>
    <s v="ORD-00921"/>
    <x v="162"/>
    <s v="CUST-0133"/>
    <s v="PROD-044"/>
    <x v="12"/>
    <n v="7"/>
    <n v="1650"/>
    <n v="8.6"/>
    <n v="10556.7"/>
    <s v="Completed"/>
    <s v="Chennai"/>
    <x v="5"/>
    <s v="Retail"/>
    <n v="26"/>
    <x v="3"/>
  </r>
  <r>
    <s v="ORD-00922"/>
    <x v="339"/>
    <s v="CUST-0086"/>
    <s v="PROD-060"/>
    <x v="5"/>
    <n v="6"/>
    <n v="190"/>
    <n v="14.6"/>
    <n v="973.56"/>
    <s v="Completed"/>
    <s v="Hyderabad"/>
    <x v="1"/>
    <s v="Corporate"/>
    <n v="56"/>
    <x v="2"/>
  </r>
  <r>
    <s v="ORD-00923"/>
    <x v="14"/>
    <s v="CUST-0155"/>
    <s v="PROD-022"/>
    <x v="19"/>
    <n v="5"/>
    <n v="2270"/>
    <n v="5.9"/>
    <n v="10680.35"/>
    <s v="Completed"/>
    <s v="Pune"/>
    <x v="2"/>
    <s v="Corporate"/>
    <n v="40"/>
    <x v="0"/>
  </r>
  <r>
    <s v="ORD-00924"/>
    <x v="327"/>
    <s v="CUST-0244"/>
    <s v="PROD-024"/>
    <x v="23"/>
    <n v="1"/>
    <n v="2270"/>
    <n v="14.9"/>
    <n v="1931.77"/>
    <s v="Completed"/>
    <s v="Bengaluru"/>
    <x v="2"/>
    <s v="Retail"/>
    <n v="61"/>
    <x v="1"/>
  </r>
  <r>
    <s v="ORD-00925"/>
    <x v="133"/>
    <s v="CUST-0262"/>
    <s v="PROD-011"/>
    <x v="26"/>
    <n v="4"/>
    <n v="3450"/>
    <n v="11.7"/>
    <n v="12185.4"/>
    <s v="Cancelled"/>
    <s v="Mumbai"/>
    <x v="0"/>
    <s v="Retail"/>
    <n v="52"/>
    <x v="3"/>
  </r>
  <r>
    <s v="ORD-00926"/>
    <x v="46"/>
    <s v="CUST-0251"/>
    <s v="PROD-045"/>
    <x v="8"/>
    <n v="7"/>
    <n v="3020"/>
    <n v="18.8"/>
    <n v="17165.68"/>
    <s v="Completed"/>
    <s v="Mumbai"/>
    <x v="5"/>
    <s v="Retail"/>
    <n v="44"/>
    <x v="2"/>
  </r>
  <r>
    <s v="ORD-00927"/>
    <x v="284"/>
    <s v="CUST-0007"/>
    <s v="PROD-033"/>
    <x v="29"/>
    <n v="4"/>
    <n v="2030"/>
    <n v="25.7"/>
    <n v="6033.16"/>
    <s v="Completed"/>
    <s v="Bengaluru"/>
    <x v="3"/>
    <s v="Retail"/>
    <n v="47"/>
    <x v="1"/>
  </r>
  <r>
    <s v="ORD-00928"/>
    <x v="331"/>
    <s v="CUST-0161"/>
    <s v="PROD-011"/>
    <x v="2"/>
    <n v="4"/>
    <n v="3450"/>
    <n v="3.9"/>
    <n v="13261.8"/>
    <s v="Completed"/>
    <s v="Chennai"/>
    <x v="0"/>
    <s v="Retail"/>
    <n v="38"/>
    <x v="1"/>
  </r>
  <r>
    <s v="ORD-00929"/>
    <x v="324"/>
    <s v="CUST-0251"/>
    <s v="PROD-049"/>
    <x v="8"/>
    <n v="5"/>
    <n v="960"/>
    <n v="8"/>
    <n v="4416"/>
    <s v="Completed"/>
    <s v="Mumbai"/>
    <x v="5"/>
    <s v="Retail"/>
    <n v="44"/>
    <x v="2"/>
  </r>
  <r>
    <s v="ORD-00930"/>
    <x v="269"/>
    <s v="CUST-0098"/>
    <s v="PROD-006"/>
    <x v="19"/>
    <n v="7"/>
    <n v="3970"/>
    <n v="11.7"/>
    <n v="24538.57"/>
    <s v="Completed"/>
    <s v="Delhi"/>
    <x v="4"/>
    <s v="Retail"/>
    <n v="52"/>
    <x v="0"/>
  </r>
  <r>
    <s v="ORD-00931"/>
    <x v="211"/>
    <s v="CUST-0200"/>
    <s v="PROD-052"/>
    <x v="17"/>
    <n v="3"/>
    <n v="5410"/>
    <n v="10"/>
    <n v="14607"/>
    <s v="Completed"/>
    <s v="Hyderabad"/>
    <x v="1"/>
    <s v="Corporate"/>
    <n v="46"/>
    <x v="2"/>
  </r>
  <r>
    <s v="ORD-00932"/>
    <x v="49"/>
    <s v="CUST-0228"/>
    <s v="PROD-003"/>
    <x v="0"/>
    <n v="8"/>
    <n v="3570"/>
    <n v="8.5"/>
    <n v="26132.400000000001"/>
    <s v="Completed"/>
    <s v="Pune"/>
    <x v="4"/>
    <s v="Corporate"/>
    <n v="37"/>
    <x v="0"/>
  </r>
  <r>
    <s v="ORD-00933"/>
    <x v="25"/>
    <s v="CUST-0095"/>
    <s v="PROD-002"/>
    <x v="2"/>
    <n v="7"/>
    <n v="2600"/>
    <n v="27.1"/>
    <n v="13267.8"/>
    <s v="Completed"/>
    <s v="Mumbai"/>
    <x v="4"/>
    <s v="SMB"/>
    <n v="54"/>
    <x v="1"/>
  </r>
  <r>
    <s v="ORD-00934"/>
    <x v="33"/>
    <s v="CUST-0175"/>
    <s v="PROD-053"/>
    <x v="17"/>
    <n v="6"/>
    <n v="470"/>
    <n v="2.4"/>
    <n v="2752.32"/>
    <s v="Pending"/>
    <s v="Delhi"/>
    <x v="1"/>
    <s v="Corporate"/>
    <n v="55"/>
    <x v="2"/>
  </r>
  <r>
    <s v="ORD-00935"/>
    <x v="2"/>
    <s v="CUST-0270"/>
    <s v="PROD-053"/>
    <x v="5"/>
    <n v="3"/>
    <n v="470"/>
    <n v="6.3"/>
    <n v="1321.17"/>
    <s v="Completed"/>
    <s v="Bengaluru"/>
    <x v="1"/>
    <s v="Retail"/>
    <n v="29"/>
    <x v="2"/>
  </r>
  <r>
    <s v="ORD-00936"/>
    <x v="326"/>
    <s v="CUST-0105"/>
    <s v="PROD-059"/>
    <x v="10"/>
    <n v="3"/>
    <n v="3780"/>
    <n v="19.399999999999999"/>
    <n v="9140.0400000000009"/>
    <s v="Pending"/>
    <s v="Chennai"/>
    <x v="1"/>
    <s v="SMB"/>
    <n v="51"/>
    <x v="0"/>
  </r>
  <r>
    <s v="ORD-00937"/>
    <x v="40"/>
    <s v="CUST-0147"/>
    <s v="PROD-056"/>
    <x v="7"/>
    <n v="5"/>
    <n v="6940"/>
    <n v="12.6"/>
    <n v="30327.8"/>
    <s v="Completed"/>
    <s v="Pune"/>
    <x v="1"/>
    <s v="Retail"/>
    <n v="56"/>
    <x v="3"/>
  </r>
  <r>
    <s v="ORD-00938"/>
    <x v="194"/>
    <s v="CUST-0106"/>
    <s v="PROD-004"/>
    <x v="14"/>
    <n v="2"/>
    <n v="3870"/>
    <n v="10.5"/>
    <n v="6927.3"/>
    <s v="Completed"/>
    <s v="Pune"/>
    <x v="4"/>
    <s v="Retail"/>
    <n v="22"/>
    <x v="2"/>
  </r>
  <r>
    <s v="ORD-00939"/>
    <x v="340"/>
    <s v="CUST-0130"/>
    <s v="PROD-052"/>
    <x v="2"/>
    <n v="8"/>
    <n v="5410"/>
    <n v="28.4"/>
    <n v="30988.48"/>
    <s v="Pending"/>
    <s v="Bengaluru"/>
    <x v="1"/>
    <s v="Corporate"/>
    <n v="41"/>
    <x v="1"/>
  </r>
  <r>
    <s v="ORD-00940"/>
    <x v="221"/>
    <s v="CUST-0241"/>
    <s v="PROD-006"/>
    <x v="14"/>
    <n v="7"/>
    <n v="3970"/>
    <n v="12.3"/>
    <n v="24371.83"/>
    <s v="Completed"/>
    <s v="Pune"/>
    <x v="4"/>
    <s v="Corporate"/>
    <n v="47"/>
    <x v="2"/>
  </r>
  <r>
    <s v="ORD-00941"/>
    <x v="294"/>
    <s v="CUST-0151"/>
    <s v="PROD-056"/>
    <x v="19"/>
    <n v="5"/>
    <n v="6940"/>
    <n v="1.5"/>
    <n v="34179.5"/>
    <s v="Completed"/>
    <s v="Mumbai"/>
    <x v="1"/>
    <s v="Retail"/>
    <n v="53"/>
    <x v="0"/>
  </r>
  <r>
    <s v="ORD-00942"/>
    <x v="110"/>
    <s v="CUST-0022"/>
    <s v="PROD-012"/>
    <x v="3"/>
    <n v="7"/>
    <n v="3160"/>
    <n v="2.4"/>
    <n v="21589.119999999999"/>
    <s v="Refunded"/>
    <s v="Bengaluru"/>
    <x v="0"/>
    <s v="Corporate"/>
    <n v="55"/>
    <x v="0"/>
  </r>
  <r>
    <s v="ORD-00943"/>
    <x v="255"/>
    <s v="CUST-0030"/>
    <s v="PROD-020"/>
    <x v="6"/>
    <n v="2"/>
    <n v="820"/>
    <n v="8.1"/>
    <n v="1507.16"/>
    <s v="Completed"/>
    <s v="Bengaluru"/>
    <x v="0"/>
    <s v="Corporate"/>
    <n v="43"/>
    <x v="2"/>
  </r>
  <r>
    <s v="ORD-00944"/>
    <x v="237"/>
    <s v="CUST-0176"/>
    <s v="PROD-041"/>
    <x v="14"/>
    <n v="2"/>
    <n v="1540"/>
    <n v="17.7"/>
    <n v="2534.84"/>
    <s v="Completed"/>
    <s v="Bengaluru"/>
    <x v="5"/>
    <s v="SMB"/>
    <n v="34"/>
    <x v="2"/>
  </r>
  <r>
    <s v="ORD-00945"/>
    <x v="310"/>
    <s v="CUST-0270"/>
    <s v="PROD-004"/>
    <x v="19"/>
    <n v="10"/>
    <n v="3870"/>
    <n v="12.2"/>
    <n v="33978.6"/>
    <s v="Refunded"/>
    <s v="Bengaluru"/>
    <x v="4"/>
    <s v="Retail"/>
    <n v="29"/>
    <x v="0"/>
  </r>
  <r>
    <s v="ORD-00946"/>
    <x v="56"/>
    <s v="CUST-0216"/>
    <s v="PROD-008"/>
    <x v="25"/>
    <n v="7"/>
    <n v="2660"/>
    <n v="4.7"/>
    <n v="17744.86"/>
    <s v="Completed"/>
    <s v="Mumbai"/>
    <x v="4"/>
    <s v="Retail"/>
    <n v="50"/>
    <x v="0"/>
  </r>
  <r>
    <s v="ORD-00947"/>
    <x v="313"/>
    <s v="CUST-0187"/>
    <s v="PROD-003"/>
    <x v="18"/>
    <n v="4"/>
    <n v="3570"/>
    <n v="19.3"/>
    <n v="11523.96"/>
    <s v="Completed"/>
    <s v="Chennai"/>
    <x v="4"/>
    <s v="SMB"/>
    <n v="51"/>
    <x v="1"/>
  </r>
  <r>
    <s v="ORD-00948"/>
    <x v="274"/>
    <s v="CUST-0143"/>
    <s v="PROD-033"/>
    <x v="25"/>
    <n v="2"/>
    <n v="2030"/>
    <n v="2.6"/>
    <n v="3954.44"/>
    <s v="Completed"/>
    <s v="Chennai"/>
    <x v="3"/>
    <s v="SMB"/>
    <n v="52"/>
    <x v="0"/>
  </r>
  <r>
    <s v="ORD-00949"/>
    <x v="273"/>
    <s v="CUST-0104"/>
    <s v="PROD-012"/>
    <x v="22"/>
    <n v="6"/>
    <n v="3160"/>
    <n v="25.8"/>
    <n v="14068.32"/>
    <s v="Completed"/>
    <s v="Hyderabad"/>
    <x v="0"/>
    <s v="Corporate"/>
    <n v="43"/>
    <x v="1"/>
  </r>
  <r>
    <s v="ORD-00950"/>
    <x v="157"/>
    <s v="CUST-0121"/>
    <s v="PROD-034"/>
    <x v="2"/>
    <n v="4"/>
    <n v="5080"/>
    <n v="2"/>
    <n v="19913.599999999999"/>
    <s v="Completed"/>
    <s v=" Delhi "/>
    <x v="3"/>
    <s v="SMB"/>
    <n v="55"/>
    <x v="1"/>
  </r>
  <r>
    <s v="ORD-00951"/>
    <x v="322"/>
    <s v="CUST-0228"/>
    <s v="PROD-047"/>
    <x v="9"/>
    <n v="6"/>
    <n v="3450"/>
    <n v="1.8"/>
    <n v="20327.400000000001"/>
    <s v="Cancelled"/>
    <s v="Pune"/>
    <x v="5"/>
    <s v="Corporate"/>
    <n v="37"/>
    <x v="1"/>
  </r>
  <r>
    <s v="ORD-00952"/>
    <x v="189"/>
    <s v="CUST-0218"/>
    <s v="PROD-051"/>
    <x v="29"/>
    <n v="3"/>
    <n v="3450"/>
    <n v="4.7"/>
    <n v="9863.5499999999993"/>
    <s v="Pending"/>
    <s v="Mumbai"/>
    <x v="1"/>
    <s v="Retail"/>
    <n v="39"/>
    <x v="1"/>
  </r>
  <r>
    <s v="ORD-00953"/>
    <x v="27"/>
    <s v="CUST-0118"/>
    <s v="PROD-001"/>
    <x v="28"/>
    <n v="7"/>
    <n v="5330"/>
    <n v="16.399999999999999"/>
    <n v="31191.16"/>
    <s v="Completed"/>
    <s v="Hyderabad"/>
    <x v="4"/>
    <s v="Retail"/>
    <n v="26"/>
    <x v="2"/>
  </r>
  <r>
    <s v="ORD-00954"/>
    <x v="190"/>
    <s v="CUST-0262"/>
    <s v="PROD-029"/>
    <x v="11"/>
    <n v="6"/>
    <n v="2210"/>
    <n v="13.1"/>
    <n v="11522.94"/>
    <s v="Completed"/>
    <s v="Mumbai"/>
    <x v="2"/>
    <s v="Retail"/>
    <n v="52"/>
    <x v="0"/>
  </r>
  <r>
    <s v="ORD-00955"/>
    <x v="133"/>
    <s v="CUST-0137"/>
    <s v="PROD-040"/>
    <x v="17"/>
    <n v="8"/>
    <n v="1080"/>
    <n v="8.6999999999999993"/>
    <n v="7888.32"/>
    <s v="Completed"/>
    <s v="Mumbai"/>
    <x v="3"/>
    <s v="Retail"/>
    <n v="41"/>
    <x v="2"/>
  </r>
  <r>
    <s v="ORD-00956"/>
    <x v="185"/>
    <s v="CUST-0145"/>
    <s v="PROD-014"/>
    <x v="15"/>
    <n v="5"/>
    <n v="3620"/>
    <n v="16.100000000000001"/>
    <n v="15185.9"/>
    <s v="Completed"/>
    <s v="Bengaluru"/>
    <x v="0"/>
    <s v="SMB"/>
    <n v="44"/>
    <x v="1"/>
  </r>
  <r>
    <s v="ORD-00957"/>
    <x v="64"/>
    <s v="CUST-0275"/>
    <s v="PROD-018"/>
    <x v="23"/>
    <n v="7"/>
    <n v="3560"/>
    <n v="8.5"/>
    <n v="22801.8"/>
    <s v="Completed"/>
    <s v="Mumbai"/>
    <x v="0"/>
    <s v="Retail"/>
    <n v="36"/>
    <x v="1"/>
  </r>
  <r>
    <s v="ORD-00958"/>
    <x v="263"/>
    <s v="CUST-0189"/>
    <s v="PROD-033"/>
    <x v="5"/>
    <n v="8"/>
    <n v="2030"/>
    <n v="18.100000000000001"/>
    <n v="13300.56"/>
    <s v="Completed"/>
    <s v="Chennai"/>
    <x v="3"/>
    <s v="Retail"/>
    <n v="41"/>
    <x v="2"/>
  </r>
  <r>
    <s v="ORD-00959"/>
    <x v="154"/>
    <s v="CUST-0105"/>
    <s v="PROD-044"/>
    <x v="23"/>
    <n v="10"/>
    <n v="1650"/>
    <n v="7.1"/>
    <n v="15328.5"/>
    <s v="Completed"/>
    <s v="Chennai"/>
    <x v="5"/>
    <s v="SMB"/>
    <n v="51"/>
    <x v="1"/>
  </r>
  <r>
    <s v="ORD-00960"/>
    <x v="25"/>
    <s v="CUST-0284"/>
    <s v="PROD-021"/>
    <x v="21"/>
    <n v="4"/>
    <n v="2760"/>
    <n v="17.600000000000001"/>
    <n v="9096.9599999999991"/>
    <s v="Cancelled"/>
    <s v="Hyderabad"/>
    <x v="2"/>
    <s v="SMB"/>
    <n v="65"/>
    <x v="3"/>
  </r>
  <r>
    <s v="ORD-00961"/>
    <x v="151"/>
    <s v="CUST-0296"/>
    <s v="PROD-006"/>
    <x v="18"/>
    <n v="4"/>
    <n v="3970"/>
    <n v="4.3"/>
    <n v="15197.16"/>
    <s v="Completed"/>
    <s v="Delhi"/>
    <x v="4"/>
    <s v="Corporate"/>
    <n v="47"/>
    <x v="1"/>
  </r>
  <r>
    <s v="ORD-00962"/>
    <x v="89"/>
    <s v="CUST-0087"/>
    <s v="PROD-050"/>
    <x v="9"/>
    <n v="2"/>
    <n v="6080"/>
    <n v="23.8"/>
    <n v="9265.92"/>
    <s v="Completed"/>
    <s v="Pune"/>
    <x v="5"/>
    <s v="SMB"/>
    <n v="49"/>
    <x v="1"/>
  </r>
  <r>
    <s v="ORD-00963"/>
    <x v="341"/>
    <s v="CUST-0012"/>
    <s v="PROD-024"/>
    <x v="10"/>
    <n v="4"/>
    <n v="2270"/>
    <n v="28.9"/>
    <n v="6455.88"/>
    <s v="Completed"/>
    <s v="Pune"/>
    <x v="2"/>
    <s v="Retail"/>
    <n v="43"/>
    <x v="0"/>
  </r>
  <r>
    <s v="ORD-00964"/>
    <x v="236"/>
    <s v="CUST-0241"/>
    <s v="PROD-006"/>
    <x v="10"/>
    <n v="10"/>
    <n v="3970"/>
    <n v="26.2"/>
    <n v="29298.6"/>
    <s v="Completed"/>
    <s v="Pune"/>
    <x v="4"/>
    <s v="Corporate"/>
    <n v="47"/>
    <x v="0"/>
  </r>
  <r>
    <s v="ORD-00965"/>
    <x v="239"/>
    <s v="CUST-0133"/>
    <s v="PROD-048"/>
    <x v="22"/>
    <n v="4"/>
    <n v="5100"/>
    <n v="2.1"/>
    <n v="19971.599999999999"/>
    <s v="Completed"/>
    <s v="Chennai"/>
    <x v="5"/>
    <s v="Retail"/>
    <n v="26"/>
    <x v="1"/>
  </r>
  <r>
    <s v="ORD-00966"/>
    <x v="49"/>
    <s v="CUST-0230"/>
    <s v="PROD-045"/>
    <x v="6"/>
    <n v="5"/>
    <n v="3020"/>
    <n v="17.3"/>
    <n v="12487.7"/>
    <s v="Completed"/>
    <s v="Pune"/>
    <x v="5"/>
    <s v="Corporate"/>
    <n v="33"/>
    <x v="2"/>
  </r>
  <r>
    <s v="ORD-00967"/>
    <x v="126"/>
    <s v="CUST-0126"/>
    <s v="PROD-057"/>
    <x v="29"/>
    <n v="8"/>
    <n v="960"/>
    <n v="1.3"/>
    <n v="7580.16"/>
    <s v="Cancelled"/>
    <s v="Mumbai"/>
    <x v="1"/>
    <s v="Retail"/>
    <n v="37"/>
    <x v="1"/>
  </r>
  <r>
    <s v="ORD-00968"/>
    <x v="109"/>
    <s v="CUST-0233"/>
    <s v="PROD-019"/>
    <x v="4"/>
    <n v="9"/>
    <n v="2480"/>
    <n v="15.6"/>
    <n v="18838.080000000002"/>
    <s v="Completed"/>
    <s v="Mumbai"/>
    <x v="0"/>
    <s v="SMB"/>
    <n v="65"/>
    <x v="0"/>
  </r>
  <r>
    <s v="ORD-00969"/>
    <x v="286"/>
    <s v="CUST-9555"/>
    <s v="PROD-030"/>
    <x v="27"/>
    <n v="1"/>
    <n v="970"/>
    <n v="24.9"/>
    <n v="728.47"/>
    <s v="Completed"/>
    <s v="Bengaluru"/>
    <x v="2"/>
    <s v=""/>
    <s v=""/>
    <x v="1"/>
  </r>
  <r>
    <s v="ORD-00970"/>
    <x v="38"/>
    <s v="CUST-0150"/>
    <s v="PROD-023"/>
    <x v="24"/>
    <n v="4"/>
    <n v="2380"/>
    <n v="9.5"/>
    <n v="8615.6"/>
    <s v="Cancelled"/>
    <s v="Pune"/>
    <x v="2"/>
    <s v="SMB"/>
    <n v="53"/>
    <x v="3"/>
  </r>
  <r>
    <s v="ORD-00971"/>
    <x v="318"/>
    <s v="CUST-0204"/>
    <s v="PROD-052"/>
    <x v="1"/>
    <n v="4"/>
    <n v="5410"/>
    <n v="18.7"/>
    <n v="17593.32"/>
    <s v="Completed"/>
    <s v="Hyderabad"/>
    <x v="1"/>
    <s v="Retail"/>
    <n v="60"/>
    <x v="0"/>
  </r>
  <r>
    <s v="ORD-00972"/>
    <x v="52"/>
    <s v="CUST-0040"/>
    <s v="PROD-034"/>
    <x v="24"/>
    <n v="7"/>
    <n v="5080"/>
    <n v="6.5"/>
    <n v="33248.6"/>
    <s v="Completed"/>
    <s v="Chennai"/>
    <x v="3"/>
    <s v="Retail"/>
    <n v="28"/>
    <x v="3"/>
  </r>
  <r>
    <s v="ORD-00973"/>
    <x v="220"/>
    <s v="CUST-0060"/>
    <s v="PROD-007"/>
    <x v="5"/>
    <n v="5"/>
    <n v="1430"/>
    <n v="19.8"/>
    <n v="5734.3"/>
    <s v="Completed"/>
    <s v="Pune"/>
    <x v="4"/>
    <s v="Retail"/>
    <n v="39"/>
    <x v="2"/>
  </r>
  <r>
    <s v="ORD-00974"/>
    <x v="4"/>
    <s v="CUST-0017"/>
    <s v="PROD-037"/>
    <x v="23"/>
    <n v="7"/>
    <n v="660"/>
    <n v="17.3"/>
    <n v="3820.74"/>
    <s v="Completed"/>
    <s v="Delhi"/>
    <x v="3"/>
    <s v="SMB"/>
    <n v="38"/>
    <x v="1"/>
  </r>
  <r>
    <s v="ORD-00975"/>
    <x v="265"/>
    <s v="CUST-0093"/>
    <s v="PROD-041"/>
    <x v="10"/>
    <n v="10"/>
    <n v="1540"/>
    <n v="17.5"/>
    <n v="12705"/>
    <s v="Completed"/>
    <s v="Pune"/>
    <x v="5"/>
    <s v="Retail"/>
    <n v="36"/>
    <x v="0"/>
  </r>
  <r>
    <s v="ORD-01662"/>
    <x v="243"/>
    <s v="CUST-0068"/>
    <s v="PROD-029"/>
    <x v="11"/>
    <n v="10"/>
    <n v="2210"/>
    <n v="24.1"/>
    <n v="16773.900000000001"/>
    <s v="Pending"/>
    <s v="Delhi"/>
    <x v="2"/>
    <s v="SMB"/>
    <n v="48"/>
    <x v="0"/>
  </r>
  <r>
    <s v="ORD-00977"/>
    <x v="281"/>
    <s v="CUST-0251"/>
    <s v="PROD-057"/>
    <x v="24"/>
    <n v="4"/>
    <n v="960"/>
    <n v="13.4"/>
    <n v="3325.44"/>
    <s v="Completed"/>
    <s v="Mumbai"/>
    <x v="1"/>
    <s v="Retail"/>
    <n v="44"/>
    <x v="3"/>
  </r>
  <r>
    <s v="ORD-00978"/>
    <x v="108"/>
    <s v="CUST-0076"/>
    <s v="PROD-047"/>
    <x v="24"/>
    <n v="8"/>
    <n v="3450"/>
    <n v="3.7"/>
    <n v="26578.799999999999"/>
    <s v="Completed"/>
    <s v="Mumbai"/>
    <x v="5"/>
    <s v="Retail"/>
    <n v="38"/>
    <x v="3"/>
  </r>
  <r>
    <s v="ORD-00979"/>
    <x v="214"/>
    <s v="CUST-9927"/>
    <s v="PROD-033"/>
    <x v="1"/>
    <n v="6"/>
    <n v="2030"/>
    <n v="9.5"/>
    <n v="11022.9"/>
    <s v="Completed"/>
    <s v="Mumbai"/>
    <x v="3"/>
    <s v=""/>
    <s v=""/>
    <x v="0"/>
  </r>
  <r>
    <s v="ORD-00980"/>
    <x v="342"/>
    <s v="CUST-0135"/>
    <s v="PROD-011"/>
    <x v="18"/>
    <n v="7"/>
    <n v="3450"/>
    <n v="28.2"/>
    <n v="17339.7"/>
    <s v="Completed"/>
    <s v="Pune"/>
    <x v="0"/>
    <s v="SMB"/>
    <n v="24"/>
    <x v="1"/>
  </r>
  <r>
    <s v="ORD-00981"/>
    <x v="101"/>
    <s v="CUST-0163"/>
    <s v="PROD-027"/>
    <x v="23"/>
    <n v="7"/>
    <n v="3780"/>
    <n v="15.1"/>
    <n v="22464.54"/>
    <s v="Completed"/>
    <s v="Pune"/>
    <x v="2"/>
    <s v="Retail"/>
    <n v="49"/>
    <x v="1"/>
  </r>
  <r>
    <s v="ORD-00947"/>
    <x v="53"/>
    <s v="CUST-0107"/>
    <s v="PROD-021"/>
    <x v="25"/>
    <n v="4"/>
    <n v="2760"/>
    <n v="14.8"/>
    <n v="9406.08"/>
    <s v="Completed"/>
    <s v="Pune"/>
    <x v="2"/>
    <s v="Retail"/>
    <n v="50"/>
    <x v="0"/>
  </r>
  <r>
    <s v="ORD-00983"/>
    <x v="322"/>
    <s v="CUST-0209"/>
    <s v="PROD-041"/>
    <x v="20"/>
    <n v="4"/>
    <n v="1540"/>
    <n v="13.9"/>
    <n v="5303.76"/>
    <s v="Completed"/>
    <s v="Pune"/>
    <x v="5"/>
    <s v="Retail"/>
    <n v="31"/>
    <x v="2"/>
  </r>
  <r>
    <s v="ORD-00984"/>
    <x v="334"/>
    <s v="CUST-0074"/>
    <s v="PROD-031"/>
    <x v="0"/>
    <n v="2"/>
    <n v="3730"/>
    <n v="15.7"/>
    <n v="6288.78"/>
    <s v="Cancelled"/>
    <s v="Bengaluru"/>
    <x v="3"/>
    <s v="Retail"/>
    <n v="27"/>
    <x v="0"/>
  </r>
  <r>
    <s v="ORD-00985"/>
    <x v="251"/>
    <s v="CUST-0037"/>
    <s v="PROD-031"/>
    <x v="28"/>
    <n v="4"/>
    <n v="3730"/>
    <n v="2.1"/>
    <n v="14606.68"/>
    <s v="Completed"/>
    <s v="Bengaluru"/>
    <x v="3"/>
    <s v="Retail"/>
    <n v="52"/>
    <x v="2"/>
  </r>
  <r>
    <s v="ORD-00986"/>
    <x v="136"/>
    <s v="CUST-0026"/>
    <s v="PROD-012"/>
    <x v="22"/>
    <n v="1"/>
    <n v="3160"/>
    <n v="29.8"/>
    <n v="2218.3200000000002"/>
    <s v="Completed"/>
    <s v="Pune"/>
    <x v="0"/>
    <s v="Retail"/>
    <n v="62"/>
    <x v="1"/>
  </r>
  <r>
    <s v="ORD-00987"/>
    <x v="227"/>
    <s v="CUST-0151"/>
    <s v="PROD-042"/>
    <x v="24"/>
    <n v="9"/>
    <n v="2290"/>
    <n v="8.3000000000000007"/>
    <n v="18899.37"/>
    <s v="Pending"/>
    <s v="Mumbai"/>
    <x v="5"/>
    <s v="Retail"/>
    <n v="53"/>
    <x v="3"/>
  </r>
  <r>
    <s v="ORD-00988"/>
    <x v="215"/>
    <s v="CUST-0210"/>
    <s v="PROD-004"/>
    <x v="22"/>
    <n v="2"/>
    <n v="3870"/>
    <n v="5.2"/>
    <n v="7337.52"/>
    <s v="Completed"/>
    <s v="Pune"/>
    <x v="4"/>
    <s v="Corporate"/>
    <n v="48"/>
    <x v="1"/>
  </r>
  <r>
    <s v="ORD-00989"/>
    <x v="57"/>
    <s v="CUST-0192"/>
    <s v="PROD-003"/>
    <x v="0"/>
    <n v="5"/>
    <n v="3570"/>
    <n v="19.899999999999999"/>
    <n v="14297.85"/>
    <s v="Completed"/>
    <s v="Bengaluru"/>
    <x v="4"/>
    <s v="Retail"/>
    <n v="55"/>
    <x v="0"/>
  </r>
  <r>
    <s v="ORD-00990"/>
    <x v="305"/>
    <s v="CUST-0161"/>
    <s v="PROD-054"/>
    <x v="19"/>
    <n v="5"/>
    <n v="1010"/>
    <n v="2.2000000000000002"/>
    <n v="4938.8999999999996"/>
    <s v="Completed"/>
    <s v="Chennai"/>
    <x v="1"/>
    <s v="Retail"/>
    <n v="38"/>
    <x v="0"/>
  </r>
  <r>
    <s v="ORD-00991"/>
    <x v="119"/>
    <s v="CUST-0255"/>
    <s v="PROD-042"/>
    <x v="10"/>
    <n v="10"/>
    <n v="2290"/>
    <n v="16.8"/>
    <n v="19052.8"/>
    <s v="Cancelled"/>
    <s v="Chennai"/>
    <x v="5"/>
    <s v="Corporate"/>
    <n v="51"/>
    <x v="0"/>
  </r>
  <r>
    <s v="ORD-00992"/>
    <x v="293"/>
    <s v="CUST-0027"/>
    <s v="PROD-039"/>
    <x v="7"/>
    <n v="3"/>
    <n v="4610"/>
    <n v="13.2"/>
    <n v="12004.44"/>
    <s v="Pending"/>
    <s v="Hyderabad"/>
    <x v="3"/>
    <s v="Corporate"/>
    <n v="52"/>
    <x v="3"/>
  </r>
  <r>
    <s v="ORD-00993"/>
    <x v="320"/>
    <s v="CUST-0228"/>
    <s v="PROD-017"/>
    <x v="11"/>
    <n v="1"/>
    <n v="2510"/>
    <n v="16.899999999999999"/>
    <n v="2085.81"/>
    <s v="Completed"/>
    <s v="Pune"/>
    <x v="0"/>
    <s v="Corporate"/>
    <n v="37"/>
    <x v="0"/>
  </r>
  <r>
    <s v="ORD-00994"/>
    <x v="27"/>
    <s v="CUST-0183"/>
    <s v="PROD-045"/>
    <x v="18"/>
    <n v="1"/>
    <n v="3020"/>
    <n v="26.7"/>
    <n v="2213.66"/>
    <s v="Completed"/>
    <s v="Mumbai"/>
    <x v="5"/>
    <s v="SMB"/>
    <n v="27"/>
    <x v="1"/>
  </r>
  <r>
    <s v="ORD-00995"/>
    <x v="343"/>
    <s v="CUST-0026"/>
    <s v="PROD-060"/>
    <x v="27"/>
    <n v="6"/>
    <n v="190"/>
    <n v="7.1"/>
    <n v="1059.06"/>
    <s v="Completed"/>
    <s v="Pune"/>
    <x v="1"/>
    <s v="Retail"/>
    <n v="62"/>
    <x v="1"/>
  </r>
  <r>
    <s v="ORD-00996"/>
    <x v="201"/>
    <s v="CUST-0211"/>
    <s v="PROD-033"/>
    <x v="25"/>
    <n v="6"/>
    <n v="2030"/>
    <n v="13.5"/>
    <n v="10535.7"/>
    <s v="Cancelled"/>
    <s v="Bengaluru"/>
    <x v="3"/>
    <s v="Retail"/>
    <n v="36"/>
    <x v="0"/>
  </r>
  <r>
    <s v="ORD-00997"/>
    <x v="74"/>
    <s v="CUST-0190"/>
    <s v="PROD-036"/>
    <x v="27"/>
    <n v="10"/>
    <n v="3250"/>
    <n v="8.6999999999999993"/>
    <n v="29672.5"/>
    <s v="Completed"/>
    <s v="Hyderabad"/>
    <x v="3"/>
    <s v="Retail"/>
    <n v="52"/>
    <x v="1"/>
  </r>
  <r>
    <s v="ORD-00998"/>
    <x v="193"/>
    <s v="CUST-0172"/>
    <s v="PROD-033"/>
    <x v="20"/>
    <n v="9"/>
    <n v="2030"/>
    <n v="29.3"/>
    <n v="12916.89"/>
    <s v="Completed"/>
    <s v="Pune"/>
    <x v="3"/>
    <s v="Retail"/>
    <n v="65"/>
    <x v="2"/>
  </r>
  <r>
    <s v="ORD-00999"/>
    <x v="82"/>
    <s v="CUST-0272"/>
    <s v="PROD-023"/>
    <x v="5"/>
    <n v="1"/>
    <n v="2380"/>
    <n v="12.9"/>
    <n v="2072.98"/>
    <s v="Completed"/>
    <s v="Mumbai"/>
    <x v="2"/>
    <s v="SMB"/>
    <n v="47"/>
    <x v="2"/>
  </r>
  <r>
    <s v="ORD-01000"/>
    <x v="126"/>
    <s v="CUST-0232"/>
    <s v="PROD-011"/>
    <x v="6"/>
    <n v="10"/>
    <n v="3450"/>
    <n v="18.5"/>
    <n v="28117.5"/>
    <s v="Completed"/>
    <s v="Hyderabad"/>
    <x v="0"/>
    <s v="Retail"/>
    <n v="38"/>
    <x v="2"/>
  </r>
  <r>
    <s v="ORD-01001"/>
    <x v="66"/>
    <s v="CUST-0282"/>
    <s v="PROD-012"/>
    <x v="25"/>
    <n v="10"/>
    <n v="3160"/>
    <n v="26.3"/>
    <n v="23289.200000000001"/>
    <s v="Completed"/>
    <s v="Hyderabad"/>
    <x v="0"/>
    <s v="Corporate"/>
    <n v="29"/>
    <x v="0"/>
  </r>
  <r>
    <s v="ORD-01002"/>
    <x v="101"/>
    <s v="CUST-0164"/>
    <s v="PROD-038"/>
    <x v="17"/>
    <n v="10"/>
    <n v="5490"/>
    <n v="22.7"/>
    <n v="42437.7"/>
    <s v="Completed"/>
    <s v="Chennai"/>
    <x v="3"/>
    <s v="Retail"/>
    <n v="60"/>
    <x v="2"/>
  </r>
  <r>
    <s v="ORD-01003"/>
    <x v="232"/>
    <s v="CUST-0212"/>
    <s v="PROD-055"/>
    <x v="3"/>
    <n v="8"/>
    <n v="2860"/>
    <n v="14.3"/>
    <n v="19608.16"/>
    <s v="Completed"/>
    <s v="Chennai"/>
    <x v="1"/>
    <s v="SMB"/>
    <n v="46"/>
    <x v="0"/>
  </r>
  <r>
    <s v="ORD-01004"/>
    <x v="104"/>
    <s v="CUST-0234"/>
    <s v="PROD-049"/>
    <x v="23"/>
    <n v="1"/>
    <n v="960"/>
    <n v="11.9"/>
    <n v="845.76"/>
    <s v="Completed"/>
    <s v="Bengaluru"/>
    <x v="5"/>
    <s v="Retail"/>
    <n v="34"/>
    <x v="1"/>
  </r>
  <r>
    <s v="ORD-01005"/>
    <x v="195"/>
    <s v="CUST-0292"/>
    <s v="PROD-040"/>
    <x v="0"/>
    <n v="3"/>
    <n v="1080"/>
    <n v="26"/>
    <n v="2397.6"/>
    <s v="Completed"/>
    <s v="Bengaluru"/>
    <x v="3"/>
    <s v="Retail"/>
    <n v="32"/>
    <x v="0"/>
  </r>
  <r>
    <s v="ORD-01006"/>
    <x v="65"/>
    <s v="CUST-0018"/>
    <s v="PROD-055"/>
    <x v="19"/>
    <n v="10"/>
    <n v="2860"/>
    <n v="13.1"/>
    <n v="24853.4"/>
    <s v="Refunded"/>
    <s v="Pune"/>
    <x v="1"/>
    <s v="SMB"/>
    <n v="54"/>
    <x v="0"/>
  </r>
  <r>
    <s v="ORD-01007"/>
    <x v="316"/>
    <s v="CUST-0220"/>
    <s v="PROD-013"/>
    <x v="19"/>
    <n v="3"/>
    <n v="3640"/>
    <n v="18.2"/>
    <n v="8932.56"/>
    <s v="Completed"/>
    <s v="Chennai"/>
    <x v="0"/>
    <s v="Retail"/>
    <n v="34"/>
    <x v="0"/>
  </r>
  <r>
    <s v="ORD-01008"/>
    <x v="171"/>
    <s v="CUST-0064"/>
    <s v="PROD-015"/>
    <x v="26"/>
    <n v="3"/>
    <n v="2720"/>
    <n v="3.6"/>
    <n v="7866.24"/>
    <s v="Completed"/>
    <s v="Hyderabad"/>
    <x v="0"/>
    <s v="SMB"/>
    <n v="40"/>
    <x v="3"/>
  </r>
  <r>
    <s v="ORD-01009"/>
    <x v="316"/>
    <s v="CUST-0077"/>
    <s v="PROD-024"/>
    <x v="4"/>
    <n v="4"/>
    <n v="2270"/>
    <n v="18.399999999999999"/>
    <n v="7409.28"/>
    <s v="Completed"/>
    <s v="Hyderabad"/>
    <x v="2"/>
    <s v="SMB"/>
    <n v="48"/>
    <x v="0"/>
  </r>
  <r>
    <s v="ORD-01010"/>
    <x v="64"/>
    <s v="CUST-0229"/>
    <s v="PROD-009"/>
    <x v="20"/>
    <n v="5"/>
    <n v="1220"/>
    <n v="13.9"/>
    <n v="5252.1"/>
    <s v="Completed"/>
    <s v="Hyderabad"/>
    <x v="4"/>
    <s v="SMB"/>
    <n v="25"/>
    <x v="2"/>
  </r>
  <r>
    <s v="ORD-01011"/>
    <x v="21"/>
    <s v="CUST-0129"/>
    <s v="PROD-010"/>
    <x v="15"/>
    <n v="8"/>
    <n v="2640"/>
    <n v="17.3"/>
    <n v="17466.240000000002"/>
    <s v="Completed"/>
    <s v="Hyderabad"/>
    <x v="4"/>
    <s v="Retail"/>
    <n v="29"/>
    <x v="1"/>
  </r>
  <r>
    <s v="ORD-01012"/>
    <x v="66"/>
    <s v="CUST-0145"/>
    <s v="PROD-030"/>
    <x v="15"/>
    <n v="1"/>
    <n v="970"/>
    <n v="28"/>
    <n v="698.4"/>
    <s v="Cancelled"/>
    <s v="Bengaluru"/>
    <x v="2"/>
    <s v="SMB"/>
    <n v="44"/>
    <x v="1"/>
  </r>
  <r>
    <s v="ORD-01013"/>
    <x v="243"/>
    <s v="CUST-0258"/>
    <s v="PROD-031"/>
    <x v="5"/>
    <n v="8"/>
    <n v="3730"/>
    <n v="2.1"/>
    <n v="29213.360000000001"/>
    <s v="Refunded"/>
    <s v="Pune"/>
    <x v="3"/>
    <s v="Retail"/>
    <n v="44"/>
    <x v="2"/>
  </r>
  <r>
    <s v="ORD-01014"/>
    <x v="311"/>
    <s v="CUST-0209"/>
    <s v="PROD-030"/>
    <x v="6"/>
    <n v="7"/>
    <n v="970"/>
    <n v="25.5"/>
    <n v="5058.55"/>
    <s v="Completed"/>
    <s v="Pune"/>
    <x v="2"/>
    <s v="Retail"/>
    <n v="31"/>
    <x v="2"/>
  </r>
  <r>
    <s v="ORD-01015"/>
    <x v="125"/>
    <s v="CUST-0131"/>
    <s v="PROD-003"/>
    <x v="24"/>
    <n v="6"/>
    <n v="3570"/>
    <n v="9.9"/>
    <n v="19299.419999999998"/>
    <s v="Completed"/>
    <s v="Delhi"/>
    <x v="4"/>
    <s v="SMB"/>
    <n v="28"/>
    <x v="3"/>
  </r>
  <r>
    <s v="ORD-01016"/>
    <x v="111"/>
    <s v="CUST-0276"/>
    <s v="PROD-030"/>
    <x v="29"/>
    <n v="6"/>
    <n v="970"/>
    <n v="19.600000000000001"/>
    <n v="4679.28"/>
    <s v="Completed"/>
    <s v="Chennai"/>
    <x v="2"/>
    <s v="Retail"/>
    <n v="26"/>
    <x v="1"/>
  </r>
  <r>
    <s v="ORD-01017"/>
    <x v="211"/>
    <s v="CUST-0283"/>
    <s v="PROD-059"/>
    <x v="23"/>
    <n v="8"/>
    <n v="3780"/>
    <n v="26.5"/>
    <n v="22226.400000000001"/>
    <s v="Completed"/>
    <s v="Delhi"/>
    <x v="1"/>
    <s v="SMB"/>
    <n v="50"/>
    <x v="1"/>
  </r>
  <r>
    <s v="ORD-01018"/>
    <x v="72"/>
    <s v="CUST-0195"/>
    <s v="PROD-058"/>
    <x v="23"/>
    <n v="6"/>
    <n v="2400"/>
    <n v="1.4"/>
    <n v="14198.4"/>
    <s v="Completed"/>
    <s v="Bengaluru"/>
    <x v="1"/>
    <s v="Retail"/>
    <n v="28"/>
    <x v="1"/>
  </r>
  <r>
    <s v="ORD-01019"/>
    <x v="97"/>
    <s v="CUST-0181"/>
    <s v="PROD-036"/>
    <x v="13"/>
    <n v="10"/>
    <n v="3250"/>
    <n v="19.3"/>
    <n v="26227.5"/>
    <s v="Completed"/>
    <s v="Delhi"/>
    <x v="3"/>
    <s v="SMB"/>
    <n v="38"/>
    <x v="3"/>
  </r>
  <r>
    <s v="ORD-01020"/>
    <x v="260"/>
    <s v="CUST-0149"/>
    <s v="PROD-021"/>
    <x v="2"/>
    <n v="7"/>
    <n v="2760"/>
    <n v="23.6"/>
    <n v="14760.48"/>
    <s v="Pending"/>
    <s v="Hyderabad"/>
    <x v="2"/>
    <s v="Retail"/>
    <n v="44"/>
    <x v="1"/>
  </r>
  <r>
    <s v="ORD-01021"/>
    <x v="113"/>
    <s v="CUST-0152"/>
    <s v="PROD-003"/>
    <x v="19"/>
    <n v="3"/>
    <n v="3570"/>
    <n v="26.3"/>
    <n v="7893.27"/>
    <s v="Completed"/>
    <s v="Bengaluru"/>
    <x v="4"/>
    <s v="SMB"/>
    <n v="64"/>
    <x v="0"/>
  </r>
  <r>
    <s v="ORD-01022"/>
    <x v="40"/>
    <s v="CUST-0085"/>
    <s v="PROD-027"/>
    <x v="15"/>
    <n v="4"/>
    <n v="3780"/>
    <n v="10.1"/>
    <n v="13592.88"/>
    <s v="Completed"/>
    <s v="Chennai"/>
    <x v="2"/>
    <s v="Retail"/>
    <n v="26"/>
    <x v="1"/>
  </r>
  <r>
    <s v="ORD-01023"/>
    <x v="77"/>
    <s v="CUST-0231"/>
    <s v="PROD-007"/>
    <x v="7"/>
    <n v="10"/>
    <n v="1430"/>
    <n v="3.7"/>
    <n v="13770.9"/>
    <s v="Completed"/>
    <s v="Chennai"/>
    <x v="4"/>
    <s v="Retail"/>
    <n v="61"/>
    <x v="3"/>
  </r>
  <r>
    <s v="ORD-01024"/>
    <x v="91"/>
    <s v="CUST-0044"/>
    <s v="PROD-022"/>
    <x v="23"/>
    <n v="6"/>
    <n v="2270"/>
    <n v="7.9"/>
    <n v="12544.02"/>
    <s v="Refunded"/>
    <s v="Hyderabad"/>
    <x v="2"/>
    <s v="SMB"/>
    <n v="29"/>
    <x v="1"/>
  </r>
  <r>
    <s v="ORD-01025"/>
    <x v="5"/>
    <s v="CUST-0027"/>
    <s v="PROD-054"/>
    <x v="22"/>
    <n v="1"/>
    <n v="1010"/>
    <n v="6.9"/>
    <n v="940.31"/>
    <s v="Pending"/>
    <s v="Hyderabad"/>
    <x v="1"/>
    <s v="Corporate"/>
    <n v="52"/>
    <x v="1"/>
  </r>
  <r>
    <s v="ORD-01026"/>
    <x v="91"/>
    <s v="CUST-0101"/>
    <s v="PROD-055"/>
    <x v="2"/>
    <n v="2"/>
    <n v="2860"/>
    <n v="20.100000000000001"/>
    <n v="4570.28"/>
    <s v="Completed"/>
    <s v="Hyderabad"/>
    <x v="1"/>
    <s v="SMB"/>
    <n v="40"/>
    <x v="1"/>
  </r>
  <r>
    <s v="ORD-01027"/>
    <x v="76"/>
    <s v="CUST-0123"/>
    <s v="PROD-002"/>
    <x v="7"/>
    <n v="9"/>
    <n v="2600"/>
    <n v="15.9"/>
    <n v="19679.400000000001"/>
    <s v="Cancelled"/>
    <s v="Chennai"/>
    <x v="4"/>
    <s v="Corporate"/>
    <n v="44"/>
    <x v="3"/>
  </r>
  <r>
    <s v="ORD-01028"/>
    <x v="132"/>
    <s v="CUST-0124"/>
    <s v="PROD-053"/>
    <x v="6"/>
    <n v="10"/>
    <n v="470"/>
    <n v="23.1"/>
    <n v="3614.3"/>
    <s v="Pending"/>
    <s v="Pune"/>
    <x v="1"/>
    <s v="Retail"/>
    <n v="57"/>
    <x v="2"/>
  </r>
  <r>
    <s v="ORD-01029"/>
    <x v="185"/>
    <s v="CUST-0159"/>
    <s v="PROD-037"/>
    <x v="22"/>
    <n v="10"/>
    <n v="660"/>
    <n v="9.4"/>
    <n v="5979.6"/>
    <s v="Completed"/>
    <s v="Hyderabad"/>
    <x v="3"/>
    <s v="Retail"/>
    <n v="32"/>
    <x v="1"/>
  </r>
  <r>
    <s v="ORD-01030"/>
    <x v="246"/>
    <s v="CUST-0087"/>
    <s v="PROD-009"/>
    <x v="12"/>
    <n v="5"/>
    <n v="1220"/>
    <n v="23.3"/>
    <n v="4678.7"/>
    <s v="Completed"/>
    <s v="Pune"/>
    <x v="4"/>
    <s v="SMB"/>
    <n v="49"/>
    <x v="3"/>
  </r>
  <r>
    <s v="ORD-01031"/>
    <x v="137"/>
    <s v="CUST-0295"/>
    <s v="PROD-036"/>
    <x v="23"/>
    <n v="9"/>
    <n v="3250"/>
    <n v="19.600000000000001"/>
    <n v="23517"/>
    <s v="Pending"/>
    <s v="Delhi"/>
    <x v="3"/>
    <s v="SMB"/>
    <n v="48"/>
    <x v="1"/>
  </r>
  <r>
    <s v="ORD-01032"/>
    <x v="176"/>
    <s v="CUST-0211"/>
    <s v="PROD-016"/>
    <x v="26"/>
    <n v="7"/>
    <n v="620"/>
    <n v="29"/>
    <n v="3081.4"/>
    <s v="Completed"/>
    <s v="Bengaluru"/>
    <x v="0"/>
    <s v="Retail"/>
    <n v="36"/>
    <x v="3"/>
  </r>
  <r>
    <s v="ORD-01033"/>
    <x v="99"/>
    <s v="CUST-0265"/>
    <s v="PROD-026"/>
    <x v="3"/>
    <n v="9"/>
    <n v="4070"/>
    <n v="16.2"/>
    <n v="30695.94"/>
    <s v="Completed"/>
    <s v="Chennai"/>
    <x v="2"/>
    <s v="Retail"/>
    <n v="49"/>
    <x v="0"/>
  </r>
  <r>
    <s v="ORD-01034"/>
    <x v="116"/>
    <s v="CUST-0252"/>
    <s v="PROD-012"/>
    <x v="0"/>
    <n v="8"/>
    <n v="3160"/>
    <n v="23.8"/>
    <n v="19263.36"/>
    <s v="Completed"/>
    <s v="Bengaluru"/>
    <x v="0"/>
    <s v="Retail"/>
    <n v="27"/>
    <x v="0"/>
  </r>
  <r>
    <s v="ORD-01035"/>
    <x v="124"/>
    <s v="CUST-0180"/>
    <s v="PROD-029"/>
    <x v="24"/>
    <n v="3"/>
    <n v="2210"/>
    <n v="29.7"/>
    <n v="4660.8900000000003"/>
    <s v="Completed"/>
    <s v="Chennai"/>
    <x v="2"/>
    <s v="Retail"/>
    <n v="36"/>
    <x v="3"/>
  </r>
  <r>
    <s v="ORD-01036"/>
    <x v="268"/>
    <s v="CUST-0231"/>
    <s v="PROD-053"/>
    <x v="5"/>
    <n v="9"/>
    <n v="470"/>
    <n v="27.1"/>
    <n v="3083.67"/>
    <s v="Completed"/>
    <s v="Chennai"/>
    <x v="1"/>
    <s v="Retail"/>
    <n v="61"/>
    <x v="2"/>
  </r>
  <r>
    <s v="ORD-01037"/>
    <x v="81"/>
    <s v="CUST-0161"/>
    <s v="PROD-032"/>
    <x v="16"/>
    <n v="6"/>
    <n v="370"/>
    <n v="5.4"/>
    <n v="2100.12"/>
    <s v="Completed"/>
    <s v="Chennai"/>
    <x v="3"/>
    <s v="Retail"/>
    <n v="38"/>
    <x v="3"/>
  </r>
  <r>
    <s v="ORD-01038"/>
    <x v="263"/>
    <s v="CUST-0249"/>
    <s v="PROD-059"/>
    <x v="26"/>
    <n v="10"/>
    <n v="3780"/>
    <n v="21.5"/>
    <n v="29673"/>
    <s v="Pending"/>
    <s v="Mumbai"/>
    <x v="1"/>
    <s v="Retail"/>
    <n v="44"/>
    <x v="3"/>
  </r>
  <r>
    <s v="ORD-01039"/>
    <x v="344"/>
    <s v="CUST-0048"/>
    <s v="PROD-056"/>
    <x v="18"/>
    <n v="4"/>
    <n v="6940"/>
    <n v="3.9"/>
    <n v="26677.360000000001"/>
    <s v="Cancelled"/>
    <s v="Delhi"/>
    <x v="1"/>
    <s v="Retail"/>
    <n v="59"/>
    <x v="1"/>
  </r>
  <r>
    <s v="ORD-01040"/>
    <x v="233"/>
    <s v="CUST-0068"/>
    <s v="PROD-031"/>
    <x v="24"/>
    <n v="3"/>
    <n v="3730"/>
    <n v="20.7"/>
    <n v="8873.67"/>
    <s v="Completed"/>
    <s v="Delhi"/>
    <x v="3"/>
    <s v="SMB"/>
    <n v="48"/>
    <x v="3"/>
  </r>
  <r>
    <s v="ORD-01041"/>
    <x v="212"/>
    <s v="CUST-0213"/>
    <s v="PROD-034"/>
    <x v="5"/>
    <n v="8"/>
    <n v="5080"/>
    <n v="6.2"/>
    <n v="38120.32"/>
    <s v="Completed"/>
    <s v="Mumbai"/>
    <x v="3"/>
    <s v="Retail"/>
    <n v="37"/>
    <x v="2"/>
  </r>
  <r>
    <s v="ORD-01042"/>
    <x v="6"/>
    <s v="CUST-0159"/>
    <s v="PROD-052"/>
    <x v="19"/>
    <n v="5"/>
    <n v="5410"/>
    <n v="5.2"/>
    <n v="25643.4"/>
    <s v="Completed"/>
    <s v="Hyderabad"/>
    <x v="1"/>
    <s v="Retail"/>
    <n v="32"/>
    <x v="0"/>
  </r>
  <r>
    <s v="ORD-01043"/>
    <x v="280"/>
    <s v="CUST-0298"/>
    <s v="PROD-015"/>
    <x v="17"/>
    <n v="6"/>
    <n v="2720"/>
    <n v="29.8"/>
    <n v="11456.64"/>
    <s v="Pending"/>
    <s v="Delhi"/>
    <x v="0"/>
    <s v="Retail"/>
    <n v="44"/>
    <x v="2"/>
  </r>
  <r>
    <s v="ORD-01044"/>
    <x v="290"/>
    <s v="CUST-0145"/>
    <s v="PROD-009"/>
    <x v="9"/>
    <n v="1"/>
    <n v="1220"/>
    <n v="22.6"/>
    <n v="944.28"/>
    <s v="Completed"/>
    <s v="Bengaluru"/>
    <x v="4"/>
    <s v="SMB"/>
    <n v="44"/>
    <x v="1"/>
  </r>
  <r>
    <s v="ORD-01045"/>
    <x v="93"/>
    <s v="CUST-0015"/>
    <s v="PROD-046"/>
    <x v="4"/>
    <n v="10"/>
    <n v="4880"/>
    <n v="7.3"/>
    <n v="45237.599999999999"/>
    <s v="Completed"/>
    <s v="Chennai"/>
    <x v="5"/>
    <s v="Retail"/>
    <n v="31"/>
    <x v="0"/>
  </r>
  <r>
    <s v="ORD-01046"/>
    <x v="216"/>
    <s v="CUST-0054"/>
    <s v="PROD-022"/>
    <x v="13"/>
    <n v="10"/>
    <n v="2270"/>
    <n v="1.6"/>
    <n v="22336.799999999999"/>
    <s v="Completed"/>
    <s v="Mumbai"/>
    <x v="2"/>
    <s v="Corporate"/>
    <n v="62"/>
    <x v="3"/>
  </r>
  <r>
    <s v="ORD-01047"/>
    <x v="55"/>
    <s v="CUST-0150"/>
    <s v="PROD-030"/>
    <x v="11"/>
    <n v="8"/>
    <n v="970"/>
    <n v="13.1"/>
    <n v="6743.44"/>
    <s v="Completed"/>
    <s v="Pune"/>
    <x v="2"/>
    <s v="SMB"/>
    <n v="53"/>
    <x v="0"/>
  </r>
  <r>
    <s v="ORD-01048"/>
    <x v="34"/>
    <s v="CUST-0096"/>
    <s v="PROD-023"/>
    <x v="27"/>
    <n v="7"/>
    <n v="2380"/>
    <n v="10.6"/>
    <n v="14894.04"/>
    <s v="Cancelled"/>
    <s v="Delhi"/>
    <x v="2"/>
    <s v="Corporate"/>
    <n v="27"/>
    <x v="1"/>
  </r>
  <r>
    <s v="ORD-01049"/>
    <x v="56"/>
    <s v="CUST-0288"/>
    <s v="PROD-014"/>
    <x v="29"/>
    <n v="6"/>
    <n v="3620"/>
    <n v="21.3"/>
    <n v="17093.64"/>
    <s v="Cancelled"/>
    <s v="Hyderabad"/>
    <x v="0"/>
    <s v="Corporate"/>
    <n v="25"/>
    <x v="1"/>
  </r>
  <r>
    <s v="ORD-01050"/>
    <x v="122"/>
    <s v="CUST-0048"/>
    <s v="PROD-026"/>
    <x v="28"/>
    <n v="3"/>
    <n v="4070"/>
    <n v="8.1999999999999993"/>
    <n v="11208.78"/>
    <s v="Cancelled"/>
    <s v="Delhi"/>
    <x v="2"/>
    <s v="Retail"/>
    <n v="59"/>
    <x v="2"/>
  </r>
  <r>
    <s v="ORD-01051"/>
    <x v="344"/>
    <s v="CUST-0104"/>
    <s v="PROD-048"/>
    <x v="17"/>
    <n v="8"/>
    <n v="5100"/>
    <n v="26.9"/>
    <n v="29824.799999999999"/>
    <s v="Completed"/>
    <s v="Hyderabad"/>
    <x v="5"/>
    <s v="Corporate"/>
    <n v="43"/>
    <x v="2"/>
  </r>
  <r>
    <s v="ORD-01052"/>
    <x v="197"/>
    <s v="CUST-0054"/>
    <s v="PROD-045"/>
    <x v="21"/>
    <n v="3"/>
    <n v="3020"/>
    <n v="18.5"/>
    <n v="7383.9"/>
    <s v="Cancelled"/>
    <s v="Mumbai"/>
    <x v="5"/>
    <s v="Corporate"/>
    <n v="62"/>
    <x v="3"/>
  </r>
  <r>
    <s v="ORD-01053"/>
    <x v="148"/>
    <s v="CUST-0158"/>
    <s v="PROD-049"/>
    <x v="25"/>
    <n v="8"/>
    <n v="960"/>
    <n v="7.1"/>
    <n v="7134.72"/>
    <s v="Completed"/>
    <s v="Pune"/>
    <x v="5"/>
    <s v="Corporate"/>
    <n v="42"/>
    <x v="0"/>
  </r>
  <r>
    <s v="ORD-01054"/>
    <x v="266"/>
    <s v="CUST-0231"/>
    <s v="PROD-034"/>
    <x v="15"/>
    <n v="8"/>
    <n v="5080"/>
    <n v="6.2"/>
    <n v="38120.32"/>
    <s v="Completed"/>
    <s v="Chennai"/>
    <x v="3"/>
    <s v="Retail"/>
    <n v="61"/>
    <x v="1"/>
  </r>
  <r>
    <s v="ORD-01055"/>
    <x v="295"/>
    <s v="CUST-0277"/>
    <s v="PROD-050"/>
    <x v="9"/>
    <n v="6"/>
    <n v="6080"/>
    <n v="25.8"/>
    <n v="27068.16"/>
    <s v="Completed"/>
    <s v="Chennai"/>
    <x v="5"/>
    <s v="Corporate"/>
    <n v="34"/>
    <x v="1"/>
  </r>
  <r>
    <s v="ORD-01056"/>
    <x v="227"/>
    <s v="CUST-0232"/>
    <s v="PROD-041"/>
    <x v="9"/>
    <n v="5"/>
    <n v="1540"/>
    <n v="24.6"/>
    <n v="5805.8"/>
    <s v="Completed"/>
    <s v="Hyderabad"/>
    <x v="5"/>
    <s v="Retail"/>
    <n v="38"/>
    <x v="1"/>
  </r>
  <r>
    <s v="ORD-01057"/>
    <x v="280"/>
    <s v="CUST-0074"/>
    <s v="PROD-054"/>
    <x v="6"/>
    <n v="4"/>
    <n v="1010"/>
    <n v="2.9"/>
    <n v="3922.84"/>
    <s v="Pending"/>
    <s v="Bengaluru"/>
    <x v="1"/>
    <s v="Retail"/>
    <n v="27"/>
    <x v="2"/>
  </r>
  <r>
    <s v="ORD-01058"/>
    <x v="261"/>
    <s v="CUST-0068"/>
    <s v="PROD-049"/>
    <x v="17"/>
    <n v="5"/>
    <n v="960"/>
    <n v="11.4"/>
    <n v="4252.8"/>
    <s v="Completed"/>
    <s v="Delhi"/>
    <x v="5"/>
    <s v="SMB"/>
    <n v="48"/>
    <x v="2"/>
  </r>
  <r>
    <s v="ORD-01059"/>
    <x v="111"/>
    <s v="CUST-0152"/>
    <s v="PROD-041"/>
    <x v="9"/>
    <n v="1"/>
    <n v="1540"/>
    <n v="5.6"/>
    <n v="1453.76"/>
    <s v="Completed"/>
    <s v="Bengaluru"/>
    <x v="5"/>
    <s v="SMB"/>
    <n v="64"/>
    <x v="1"/>
  </r>
  <r>
    <s v="ORD-01060"/>
    <x v="245"/>
    <s v="CUST-0046"/>
    <s v="PROD-043"/>
    <x v="7"/>
    <n v="9"/>
    <n v="3350"/>
    <n v="2.1"/>
    <n v="29516.85"/>
    <s v="Completed"/>
    <s v="Delhi"/>
    <x v="5"/>
    <s v="SMB"/>
    <n v="45"/>
    <x v="3"/>
  </r>
  <r>
    <s v="ORD-01061"/>
    <x v="260"/>
    <s v="CUST-0201"/>
    <s v="PROD-051"/>
    <x v="13"/>
    <n v="7"/>
    <n v="3450"/>
    <n v="4.7"/>
    <n v="23014.95"/>
    <s v="Completed"/>
    <s v="Hyderabad"/>
    <x v="1"/>
    <s v="Retail"/>
    <n v="31"/>
    <x v="3"/>
  </r>
  <r>
    <s v="ORD-01062"/>
    <x v="345"/>
    <s v="CUST-0191"/>
    <s v="PROD-057"/>
    <x v="7"/>
    <n v="10"/>
    <n v="960"/>
    <n v="17.899999999999999"/>
    <n v="7881.6"/>
    <s v="Completed"/>
    <s v="Hyderabad"/>
    <x v="1"/>
    <s v="SMB"/>
    <n v="43"/>
    <x v="3"/>
  </r>
  <r>
    <s v="ORD-01063"/>
    <x v="7"/>
    <s v="CUST-0192"/>
    <s v="PROD-013"/>
    <x v="2"/>
    <n v="1"/>
    <n v="3640"/>
    <n v="8.8000000000000007"/>
    <n v="3319.68"/>
    <s v="Completed"/>
    <s v="Bengaluru"/>
    <x v="0"/>
    <s v="Retail"/>
    <n v="55"/>
    <x v="1"/>
  </r>
  <r>
    <s v="ORD-01064"/>
    <x v="239"/>
    <s v="CUST-0074"/>
    <s v="PROD-029"/>
    <x v="21"/>
    <n v="1"/>
    <n v="2210"/>
    <n v="10.7"/>
    <n v="1973.53"/>
    <s v="Completed"/>
    <s v="Bengaluru"/>
    <x v="2"/>
    <s v="Retail"/>
    <n v="27"/>
    <x v="3"/>
  </r>
  <r>
    <s v="ORD-01065"/>
    <x v="125"/>
    <s v="CUST-0071"/>
    <s v="PROD-031"/>
    <x v="1"/>
    <n v="2"/>
    <n v="3730"/>
    <n v="13.9"/>
    <n v="6423.06"/>
    <s v="Completed"/>
    <s v="Delhi"/>
    <x v="3"/>
    <s v="Corporate"/>
    <n v="46"/>
    <x v="0"/>
  </r>
  <r>
    <s v="ORD-01066"/>
    <x v="176"/>
    <s v="CUST-0210"/>
    <s v="PROD-052"/>
    <x v="9"/>
    <n v="7"/>
    <n v="5410"/>
    <n v="23.6"/>
    <n v="28932.68"/>
    <s v="Completed"/>
    <s v="Pune"/>
    <x v="1"/>
    <s v="Corporate"/>
    <n v="48"/>
    <x v="1"/>
  </r>
  <r>
    <s v="ORD-01067"/>
    <x v="221"/>
    <s v="CUST-0054"/>
    <s v="PROD-027"/>
    <x v="26"/>
    <n v="7"/>
    <n v="3780"/>
    <n v="8.5"/>
    <n v="24210.9"/>
    <s v="Cancelled"/>
    <s v="Mumbai"/>
    <x v="2"/>
    <s v="Corporate"/>
    <n v="62"/>
    <x v="3"/>
  </r>
  <r>
    <s v="ORD-01068"/>
    <x v="122"/>
    <s v="CUST-0194"/>
    <s v="PROD-039"/>
    <x v="29"/>
    <n v="9"/>
    <n v="4610"/>
    <n v="26.6"/>
    <n v="30453.66"/>
    <s v="Completed"/>
    <s v="Delhi"/>
    <x v="3"/>
    <s v="SMB"/>
    <n v="55"/>
    <x v="1"/>
  </r>
  <r>
    <s v="ORD-01069"/>
    <x v="41"/>
    <s v="CUST-0231"/>
    <s v="PROD-010"/>
    <x v="5"/>
    <n v="5"/>
    <n v="2640"/>
    <n v="1.5"/>
    <n v="13002"/>
    <s v="Completed"/>
    <s v="Chennai"/>
    <x v="4"/>
    <s v="Retail"/>
    <n v="61"/>
    <x v="2"/>
  </r>
  <r>
    <s v="ORD-01070"/>
    <x v="50"/>
    <s v="CUST-0053"/>
    <s v="PROD-014"/>
    <x v="9"/>
    <n v="3"/>
    <n v="3620"/>
    <n v="3.1"/>
    <n v="10523.34"/>
    <s v="Completed"/>
    <s v="Delhi"/>
    <x v="0"/>
    <s v="Retail"/>
    <n v="53"/>
    <x v="1"/>
  </r>
  <r>
    <s v="ORD-01071"/>
    <x v="21"/>
    <s v="CUST-0290"/>
    <s v="PROD-053"/>
    <x v="26"/>
    <n v="5"/>
    <n v="470"/>
    <n v="10.6"/>
    <n v="2100.9"/>
    <s v="Cancelled"/>
    <s v="Delhi"/>
    <x v="1"/>
    <s v="Retail"/>
    <n v="63"/>
    <x v="3"/>
  </r>
  <r>
    <s v="ORD-01072"/>
    <x v="113"/>
    <s v="CUST-0261"/>
    <s v="PROD-001"/>
    <x v="18"/>
    <n v="7"/>
    <n v="5330"/>
    <n v="25"/>
    <n v="27982.5"/>
    <s v="Cancelled"/>
    <s v="Delhi"/>
    <x v="4"/>
    <s v="Retail"/>
    <n v="54"/>
    <x v="1"/>
  </r>
  <r>
    <s v="ORD-01073"/>
    <x v="346"/>
    <s v="CUST-0045"/>
    <s v="PROD-050"/>
    <x v="2"/>
    <n v="1"/>
    <n v="6080"/>
    <n v="27.8"/>
    <n v="4389.76"/>
    <s v="Completed"/>
    <s v="Chennai"/>
    <x v="5"/>
    <s v="SMB"/>
    <n v="39"/>
    <x v="1"/>
  </r>
  <r>
    <s v="ORD-01074"/>
    <x v="324"/>
    <s v="CUST-0064"/>
    <s v="PROD-043"/>
    <x v="6"/>
    <n v="6"/>
    <n v="3350"/>
    <n v="12"/>
    <n v="17688"/>
    <s v="Completed"/>
    <s v="Hyderabad"/>
    <x v="5"/>
    <s v="SMB"/>
    <n v="40"/>
    <x v="2"/>
  </r>
  <r>
    <s v="ORD-01075"/>
    <x v="95"/>
    <s v="CUST-9754"/>
    <s v="PROD-056"/>
    <x v="28"/>
    <n v="6"/>
    <n v="6940"/>
    <n v="20"/>
    <n v="33312"/>
    <s v="Completed"/>
    <s v="Chennai"/>
    <x v="1"/>
    <s v=""/>
    <s v=""/>
    <x v="2"/>
  </r>
  <r>
    <s v="ORD-01076"/>
    <x v="184"/>
    <s v="CUST-0200"/>
    <s v="PROD-032"/>
    <x v="0"/>
    <n v="1"/>
    <n v="370"/>
    <n v="10"/>
    <n v="333"/>
    <s v="Completed"/>
    <s v="Hyderabad"/>
    <x v="3"/>
    <s v="Corporate"/>
    <n v="46"/>
    <x v="0"/>
  </r>
  <r>
    <s v="ORD-01077"/>
    <x v="39"/>
    <s v="CUST-0058"/>
    <s v="PROD-038"/>
    <x v="16"/>
    <n v="2"/>
    <n v="5490"/>
    <n v="27.9"/>
    <n v="7916.58"/>
    <s v="Completed"/>
    <s v="Bengaluru"/>
    <x v="3"/>
    <s v="SMB"/>
    <n v="49"/>
    <x v="3"/>
  </r>
  <r>
    <s v="ORD-01078"/>
    <x v="319"/>
    <s v="CUST-0156"/>
    <s v="PROD-028"/>
    <x v="18"/>
    <n v="5"/>
    <n v="3660"/>
    <n v="4.5999999999999996"/>
    <n v="17458.2"/>
    <s v="Completed"/>
    <s v="Mumbai"/>
    <x v="2"/>
    <s v="Retail"/>
    <n v="33"/>
    <x v="1"/>
  </r>
  <r>
    <s v="ORD-01079"/>
    <x v="232"/>
    <s v="CUST-0107"/>
    <s v="PROD-005"/>
    <x v="20"/>
    <n v="6"/>
    <n v="300"/>
    <n v="9"/>
    <n v="1638"/>
    <s v="Completed"/>
    <s v="Pune"/>
    <x v="4"/>
    <s v="Retail"/>
    <n v="50"/>
    <x v="2"/>
  </r>
  <r>
    <s v="ORD-01080"/>
    <x v="271"/>
    <s v="CUST-0184"/>
    <s v="PROD-005"/>
    <x v="27"/>
    <n v="3"/>
    <n v="300"/>
    <n v="19.2"/>
    <n v="727.2"/>
    <s v="Completed"/>
    <s v="Pune"/>
    <x v="4"/>
    <s v="Retail"/>
    <n v="63"/>
    <x v="1"/>
  </r>
  <r>
    <s v="ORD-01081"/>
    <x v="205"/>
    <s v="CUST-0202"/>
    <s v="PROD-049"/>
    <x v="2"/>
    <n v="6"/>
    <n v="960"/>
    <n v="29.3"/>
    <n v="4072.32"/>
    <s v="Cancelled"/>
    <s v="Chennai"/>
    <x v="5"/>
    <s v="Retail"/>
    <n v="39"/>
    <x v="1"/>
  </r>
  <r>
    <s v="ORD-01082"/>
    <x v="266"/>
    <s v="CUST-0137"/>
    <s v="PROD-022"/>
    <x v="5"/>
    <n v="1"/>
    <n v="2270"/>
    <n v="12.4"/>
    <n v="1988.52"/>
    <s v="Completed"/>
    <s v="Mumbai"/>
    <x v="2"/>
    <s v="Retail"/>
    <n v="41"/>
    <x v="2"/>
  </r>
  <r>
    <s v="ORD-01083"/>
    <x v="110"/>
    <s v="CUST-0108"/>
    <s v="PROD-033"/>
    <x v="28"/>
    <n v="10"/>
    <n v="2030"/>
    <n v="4"/>
    <n v="19488"/>
    <s v="Completed"/>
    <s v="Bengaluru"/>
    <x v="3"/>
    <s v="Corporate"/>
    <n v="59"/>
    <x v="2"/>
  </r>
  <r>
    <s v="ORD-01084"/>
    <x v="303"/>
    <s v="CUST-0126"/>
    <s v="PROD-040"/>
    <x v="13"/>
    <n v="9"/>
    <n v="1080"/>
    <n v="19.2"/>
    <n v="7853.76"/>
    <s v="Pending"/>
    <s v="Mumbai"/>
    <x v="3"/>
    <s v="Retail"/>
    <n v="37"/>
    <x v="3"/>
  </r>
  <r>
    <s v="ORD-01085"/>
    <x v="113"/>
    <s v="CUST-0107"/>
    <s v="PROD-055"/>
    <x v="5"/>
    <n v="5"/>
    <n v="2860"/>
    <n v="25"/>
    <n v="10725"/>
    <s v="Pending"/>
    <s v="Pune"/>
    <x v="1"/>
    <s v="Retail"/>
    <n v="50"/>
    <x v="2"/>
  </r>
  <r>
    <s v="ORD-01086"/>
    <x v="276"/>
    <s v="CUST-0071"/>
    <s v="PROD-024"/>
    <x v="27"/>
    <n v="6"/>
    <n v="2270"/>
    <n v="9.3000000000000007"/>
    <n v="12353.34"/>
    <s v="Completed"/>
    <s v="Delhi"/>
    <x v="2"/>
    <s v="Corporate"/>
    <n v="46"/>
    <x v="1"/>
  </r>
  <r>
    <s v="ORD-01087"/>
    <x v="60"/>
    <s v="CUST-0238"/>
    <s v="PROD-015"/>
    <x v="6"/>
    <n v="1"/>
    <n v="2720"/>
    <n v="15.2"/>
    <n v="2306.56"/>
    <s v="Completed"/>
    <s v="Delhi"/>
    <x v="0"/>
    <s v="Retail"/>
    <n v="49"/>
    <x v="2"/>
  </r>
  <r>
    <s v="ORD-01088"/>
    <x v="198"/>
    <s v="CUST-0022"/>
    <s v="PROD-004"/>
    <x v="1"/>
    <n v="10"/>
    <n v="3870"/>
    <n v="4.9000000000000004"/>
    <n v="36803.699999999997"/>
    <s v="Cancelled"/>
    <s v="Bengaluru"/>
    <x v="4"/>
    <s v="Corporate"/>
    <n v="55"/>
    <x v="0"/>
  </r>
  <r>
    <s v="ORD-01089"/>
    <x v="10"/>
    <s v="CUST-0100"/>
    <s v="PROD-011"/>
    <x v="7"/>
    <n v="8"/>
    <n v="3450"/>
    <n v="20.6"/>
    <n v="21914.400000000001"/>
    <s v="Completed"/>
    <s v="Hyderabad"/>
    <x v="0"/>
    <s v="Corporate"/>
    <n v="60"/>
    <x v="3"/>
  </r>
  <r>
    <s v="ORD-01090"/>
    <x v="5"/>
    <s v="CUST-0263"/>
    <s v="PROD-053"/>
    <x v="25"/>
    <n v="1"/>
    <n v="470"/>
    <n v="5.4"/>
    <n v="444.62"/>
    <s v="Refunded"/>
    <s v="Mumbai"/>
    <x v="1"/>
    <s v="Retail"/>
    <n v="40"/>
    <x v="0"/>
  </r>
  <r>
    <s v="ORD-01091"/>
    <x v="171"/>
    <s v="CUST-0032"/>
    <s v="PROD-006"/>
    <x v="18"/>
    <n v="5"/>
    <n v="3970"/>
    <n v="5.8"/>
    <n v="18698.7"/>
    <s v="Completed"/>
    <s v="Hyderabad"/>
    <x v="4"/>
    <s v="Retail"/>
    <n v="28"/>
    <x v="1"/>
  </r>
  <r>
    <s v="ORD-01092"/>
    <x v="277"/>
    <s v="CUST-0227"/>
    <s v="PROD-048"/>
    <x v="27"/>
    <n v="2"/>
    <n v="5100"/>
    <n v="19.899999999999999"/>
    <n v="8170.2"/>
    <s v="Completed"/>
    <s v="Bengaluru"/>
    <x v="5"/>
    <s v="SMB"/>
    <n v="44"/>
    <x v="1"/>
  </r>
  <r>
    <s v="ORD-01093"/>
    <x v="165"/>
    <s v="CUST-0124"/>
    <s v="PROD-047"/>
    <x v="19"/>
    <n v="6"/>
    <n v="3450"/>
    <n v="13"/>
    <n v="18009"/>
    <s v="Completed"/>
    <s v="Pune"/>
    <x v="5"/>
    <s v="Retail"/>
    <n v="57"/>
    <x v="0"/>
  </r>
  <r>
    <s v="ORD-01094"/>
    <x v="168"/>
    <s v="CUST-0276"/>
    <s v="PROD-031"/>
    <x v="27"/>
    <n v="9"/>
    <n v="3730"/>
    <n v="15.5"/>
    <n v="28366.65"/>
    <s v="Completed"/>
    <s v="Chennai"/>
    <x v="3"/>
    <s v="Retail"/>
    <n v="26"/>
    <x v="1"/>
  </r>
  <r>
    <s v="ORD-01095"/>
    <x v="242"/>
    <s v="CUST-0100"/>
    <s v="PROD-049"/>
    <x v="16"/>
    <n v="5"/>
    <n v="960"/>
    <n v="9.3000000000000007"/>
    <n v="4353.6000000000004"/>
    <s v="Completed"/>
    <s v="Hyderabad"/>
    <x v="5"/>
    <s v="Corporate"/>
    <n v="60"/>
    <x v="3"/>
  </r>
  <r>
    <s v="ORD-01096"/>
    <x v="187"/>
    <s v="CUST-0221"/>
    <s v="PROD-034"/>
    <x v="4"/>
    <n v="3"/>
    <n v="5080"/>
    <n v="17.399999999999999"/>
    <n v="12588.24"/>
    <s v="Cancelled"/>
    <s v="Delhi"/>
    <x v="3"/>
    <s v="SMB"/>
    <n v="29"/>
    <x v="0"/>
  </r>
  <r>
    <s v="ORD-01097"/>
    <x v="212"/>
    <s v="CUST-0266"/>
    <s v="PROD-004"/>
    <x v="11"/>
    <n v="4"/>
    <n v="3870"/>
    <n v="20.5"/>
    <n v="12306.6"/>
    <s v="Pending"/>
    <s v="Pune"/>
    <x v="4"/>
    <s v="Retail"/>
    <n v="65"/>
    <x v="0"/>
  </r>
  <r>
    <s v="ORD-01098"/>
    <x v="72"/>
    <s v="CUST-0210"/>
    <s v="PROD-059"/>
    <x v="6"/>
    <n v="1"/>
    <n v="3780"/>
    <n v="21.5"/>
    <n v="2967.3"/>
    <s v="Completed"/>
    <s v="Pune"/>
    <x v="1"/>
    <s v="Corporate"/>
    <n v="48"/>
    <x v="2"/>
  </r>
  <r>
    <s v="ORD-01099"/>
    <x v="81"/>
    <s v="CUST-0293"/>
    <s v="PROD-004"/>
    <x v="21"/>
    <n v="3"/>
    <n v="3870"/>
    <n v="21.9"/>
    <n v="9067.41"/>
    <s v="Pending"/>
    <s v="Bengaluru"/>
    <x v="4"/>
    <s v="Retail"/>
    <n v="27"/>
    <x v="3"/>
  </r>
  <r>
    <s v="ORD-01100"/>
    <x v="113"/>
    <s v="CUST-0291"/>
    <s v="PROD-033"/>
    <x v="18"/>
    <n v="4"/>
    <n v="2030"/>
    <n v="23.4"/>
    <n v="6219.92"/>
    <s v="Completed"/>
    <s v="Pune"/>
    <x v="3"/>
    <s v="SMB"/>
    <n v="29"/>
    <x v="1"/>
  </r>
  <r>
    <s v="ORD-01101"/>
    <x v="192"/>
    <s v="CUST-0295"/>
    <s v="PROD-029"/>
    <x v="11"/>
    <n v="6"/>
    <n v="2210"/>
    <n v="9.1"/>
    <n v="12053.34"/>
    <s v="Completed"/>
    <s v="Delhi"/>
    <x v="2"/>
    <s v="SMB"/>
    <n v="48"/>
    <x v="0"/>
  </r>
  <r>
    <s v="ORD-01102"/>
    <x v="180"/>
    <s v="CUST-0123"/>
    <s v="PROD-041"/>
    <x v="21"/>
    <n v="5"/>
    <n v="1540"/>
    <n v="18.100000000000001"/>
    <n v="6306.3"/>
    <s v="Completed"/>
    <s v="Chennai"/>
    <x v="5"/>
    <s v="Corporate"/>
    <n v="44"/>
    <x v="3"/>
  </r>
  <r>
    <s v="ORD-01103"/>
    <x v="274"/>
    <s v="CUST-0167"/>
    <s v="PROD-054"/>
    <x v="23"/>
    <n v="1"/>
    <n v="1010"/>
    <n v="7.3"/>
    <n v="936.27"/>
    <s v="Completed"/>
    <s v="Delhi"/>
    <x v="1"/>
    <s v="Retail"/>
    <n v="43"/>
    <x v="1"/>
  </r>
  <r>
    <s v="ORD-01104"/>
    <x v="107"/>
    <s v="CUST-0247"/>
    <s v="PROD-001"/>
    <x v="15"/>
    <n v="10"/>
    <n v="5330"/>
    <n v="27.3"/>
    <n v="38749.1"/>
    <s v="Completed"/>
    <s v="Pune"/>
    <x v="4"/>
    <s v="SMB"/>
    <n v="35"/>
    <x v="1"/>
  </r>
  <r>
    <s v="ORD-01105"/>
    <x v="289"/>
    <s v="CUST-0224"/>
    <s v="PROD-003"/>
    <x v="24"/>
    <n v="7"/>
    <n v="3570"/>
    <n v="24.3"/>
    <n v="18917.43"/>
    <s v="Completed"/>
    <s v="Chennai"/>
    <x v="4"/>
    <s v="Corporate"/>
    <n v="24"/>
    <x v="3"/>
  </r>
  <r>
    <s v="ORD-01106"/>
    <x v="28"/>
    <s v="CUST-0102"/>
    <s v="PROD-043"/>
    <x v="21"/>
    <n v="1"/>
    <n v="3350"/>
    <n v="14.9"/>
    <n v="2850.85"/>
    <s v="Completed"/>
    <s v="Chennai"/>
    <x v="5"/>
    <s v="SMB"/>
    <n v="62"/>
    <x v="3"/>
  </r>
  <r>
    <s v="ORD-01107"/>
    <x v="110"/>
    <s v="CUST-0151"/>
    <s v="PROD-017"/>
    <x v="12"/>
    <n v="2"/>
    <n v="2510"/>
    <n v="10.6"/>
    <n v="4487.88"/>
    <s v="Completed"/>
    <s v="Mumbai"/>
    <x v="0"/>
    <s v="Retail"/>
    <n v="53"/>
    <x v="3"/>
  </r>
  <r>
    <s v="ORD-01108"/>
    <x v="264"/>
    <s v="CUST-0182"/>
    <s v="PROD-030"/>
    <x v="5"/>
    <n v="5"/>
    <n v="970"/>
    <n v="6.8"/>
    <n v="4520.2"/>
    <s v="Pending"/>
    <s v="Mumbai"/>
    <x v="2"/>
    <s v="Retail"/>
    <n v="54"/>
    <x v="2"/>
  </r>
  <r>
    <s v="ORD-01109"/>
    <x v="281"/>
    <s v="CUST-0152"/>
    <s v="PROD-027"/>
    <x v="25"/>
    <n v="5"/>
    <n v="3780"/>
    <n v="16.600000000000001"/>
    <n v="15762.6"/>
    <s v="Completed"/>
    <s v="Bengaluru"/>
    <x v="2"/>
    <s v="SMB"/>
    <n v="64"/>
    <x v="0"/>
  </r>
  <r>
    <s v="ORD-01110"/>
    <x v="229"/>
    <s v="CUST-0247"/>
    <s v="PROD-017"/>
    <x v="0"/>
    <n v="3"/>
    <n v="2510"/>
    <n v="24.9"/>
    <n v="5655.03"/>
    <s v="Cancelled"/>
    <s v="Pune"/>
    <x v="0"/>
    <s v="SMB"/>
    <n v="35"/>
    <x v="0"/>
  </r>
  <r>
    <s v="ORD-01111"/>
    <x v="289"/>
    <s v="CUST-0220"/>
    <s v="PROD-033"/>
    <x v="4"/>
    <n v="3"/>
    <n v="2030"/>
    <n v="3.8"/>
    <n v="5858.58"/>
    <s v="Completed"/>
    <s v="Chennai"/>
    <x v="3"/>
    <s v="Retail"/>
    <n v="34"/>
    <x v="0"/>
  </r>
  <r>
    <s v="ORD-01112"/>
    <x v="35"/>
    <s v="CUST-0206"/>
    <s v="PROD-060"/>
    <x v="2"/>
    <n v="9"/>
    <n v="190"/>
    <n v="5.4"/>
    <n v="1617.66"/>
    <s v="Completed"/>
    <s v="Mumbai"/>
    <x v="1"/>
    <s v="Retail"/>
    <n v="40"/>
    <x v="1"/>
  </r>
  <r>
    <s v="ORD-01113"/>
    <x v="200"/>
    <s v="CUST-0219"/>
    <s v="PROD-029"/>
    <x v="16"/>
    <n v="6"/>
    <n v="2210"/>
    <n v="29.4"/>
    <n v="9361.56"/>
    <s v="Completed"/>
    <s v="Chennai"/>
    <x v="2"/>
    <s v="Corporate"/>
    <n v="38"/>
    <x v="3"/>
  </r>
  <r>
    <s v="ORD-01114"/>
    <x v="14"/>
    <s v="CUST-0298"/>
    <s v="PROD-013"/>
    <x v="1"/>
    <n v="4"/>
    <n v="3640"/>
    <n v="0.6"/>
    <n v="14472.64"/>
    <s v="Completed"/>
    <s v="Delhi"/>
    <x v="0"/>
    <s v="Retail"/>
    <n v="44"/>
    <x v="0"/>
  </r>
  <r>
    <s v="ORD-01115"/>
    <x v="17"/>
    <s v="CUST-0254"/>
    <s v="PROD-009"/>
    <x v="18"/>
    <n v="9"/>
    <n v="1220"/>
    <n v="24.1"/>
    <n v="8333.82"/>
    <s v="Completed"/>
    <s v="Bengaluru"/>
    <x v="4"/>
    <s v="Retail"/>
    <n v="35"/>
    <x v="1"/>
  </r>
  <r>
    <s v="ORD-01116"/>
    <x v="73"/>
    <s v="CUST-0085"/>
    <s v="PROD-056"/>
    <x v="18"/>
    <n v="2"/>
    <n v="6940"/>
    <n v="27"/>
    <n v="10132.4"/>
    <s v="Completed"/>
    <s v="Chennai"/>
    <x v="1"/>
    <s v="Retail"/>
    <n v="26"/>
    <x v="1"/>
  </r>
  <r>
    <s v="ORD-01117"/>
    <x v="117"/>
    <s v="CUST-0181"/>
    <s v="PROD-055"/>
    <x v="9"/>
    <n v="6"/>
    <n v="2860"/>
    <n v="6.6"/>
    <n v="16027.44"/>
    <s v="Completed"/>
    <s v="Delhi"/>
    <x v="1"/>
    <s v="SMB"/>
    <n v="38"/>
    <x v="1"/>
  </r>
  <r>
    <s v="ORD-01118"/>
    <x v="182"/>
    <s v="CUST-0143"/>
    <s v="PROD-015"/>
    <x v="26"/>
    <n v="5"/>
    <n v="2720"/>
    <n v="21.4"/>
    <n v="10689.6"/>
    <s v="Completed"/>
    <s v="Chennai"/>
    <x v="0"/>
    <s v="SMB"/>
    <n v="52"/>
    <x v="3"/>
  </r>
  <r>
    <s v="ORD-01119"/>
    <x v="338"/>
    <s v="CUST-0263"/>
    <s v="PROD-020"/>
    <x v="3"/>
    <n v="5"/>
    <n v="820"/>
    <n v="28.6"/>
    <n v="2927.4"/>
    <s v="Completed"/>
    <s v="Mumbai"/>
    <x v="0"/>
    <s v="Retail"/>
    <n v="40"/>
    <x v="0"/>
  </r>
  <r>
    <s v="ORD-01120"/>
    <x v="135"/>
    <s v="CUST-0105"/>
    <s v="PROD-042"/>
    <x v="24"/>
    <n v="6"/>
    <n v="2290"/>
    <n v="18.8"/>
    <n v="11156.88"/>
    <s v="Completed"/>
    <s v="Chennai"/>
    <x v="5"/>
    <s v="SMB"/>
    <n v="51"/>
    <x v="3"/>
  </r>
  <r>
    <s v="ORD-01121"/>
    <x v="18"/>
    <s v="CUST-0256"/>
    <s v="PROD-047"/>
    <x v="13"/>
    <n v="6"/>
    <n v="3450"/>
    <n v="28.4"/>
    <n v="14821.2"/>
    <s v="Completed"/>
    <s v="Hyderabad"/>
    <x v="5"/>
    <s v="Retail"/>
    <n v="28"/>
    <x v="3"/>
  </r>
  <r>
    <s v="ORD-01122"/>
    <x v="1"/>
    <s v="CUST-0260"/>
    <s v="PROD-033"/>
    <x v="25"/>
    <n v="10"/>
    <n v="2030"/>
    <n v="8"/>
    <n v="18676"/>
    <s v="Completed"/>
    <s v="Bengaluru"/>
    <x v="3"/>
    <s v="Retail"/>
    <n v="42"/>
    <x v="0"/>
  </r>
  <r>
    <s v="ORD-01123"/>
    <x v="239"/>
    <s v="CUST-0233"/>
    <s v="PROD-058"/>
    <x v="24"/>
    <n v="1"/>
    <n v="2400"/>
    <n v="9.6999999999999993"/>
    <n v="2167.1999999999998"/>
    <s v="Completed"/>
    <s v="Mumbai"/>
    <x v="1"/>
    <s v="SMB"/>
    <n v="65"/>
    <x v="3"/>
  </r>
  <r>
    <s v="ORD-01124"/>
    <x v="264"/>
    <s v="CUST-0183"/>
    <s v="PROD-033"/>
    <x v="2"/>
    <n v="4"/>
    <n v="2030"/>
    <n v="24.8"/>
    <n v="6106.24"/>
    <s v="Pending"/>
    <s v="Mumbai"/>
    <x v="3"/>
    <s v="SMB"/>
    <n v="27"/>
    <x v="1"/>
  </r>
  <r>
    <s v="ORD-01125"/>
    <x v="191"/>
    <s v="CUST-0142"/>
    <s v="PROD-025"/>
    <x v="25"/>
    <n v="5"/>
    <n v="4060"/>
    <n v="9.1"/>
    <n v="18452.7"/>
    <s v="Pending"/>
    <s v="Chennai"/>
    <x v="2"/>
    <s v="Corporate"/>
    <n v="55"/>
    <x v="0"/>
  </r>
  <r>
    <s v="ORD-01126"/>
    <x v="334"/>
    <s v="CUST-0150"/>
    <s v="PROD-033"/>
    <x v="22"/>
    <n v="9"/>
    <n v="2030"/>
    <n v="15.9"/>
    <n v="15365.07"/>
    <s v="Pending"/>
    <s v="Pune"/>
    <x v="3"/>
    <s v="SMB"/>
    <n v="53"/>
    <x v="1"/>
  </r>
  <r>
    <s v="ORD-01127"/>
    <x v="201"/>
    <s v="CUST-0001"/>
    <s v="PROD-043"/>
    <x v="2"/>
    <n v="1"/>
    <n v="3350"/>
    <n v="23.2"/>
    <n v="2572.8000000000002"/>
    <s v="Refunded"/>
    <s v="Pune"/>
    <x v="5"/>
    <s v="Retail"/>
    <n v="36"/>
    <x v="1"/>
  </r>
  <r>
    <s v="ORD-01128"/>
    <x v="287"/>
    <s v="CUST-0104"/>
    <s v="PROD-037"/>
    <x v="3"/>
    <n v="4"/>
    <n v="660"/>
    <n v="27.1"/>
    <n v="1924.56"/>
    <s v="Completed"/>
    <s v="Hyderabad"/>
    <x v="3"/>
    <s v="Corporate"/>
    <n v="43"/>
    <x v="0"/>
  </r>
  <r>
    <s v="ORD-01129"/>
    <x v="236"/>
    <s v="CUST-0261"/>
    <s v="PROD-045"/>
    <x v="2"/>
    <n v="3"/>
    <n v="3020"/>
    <n v="7.2"/>
    <n v="8407.68"/>
    <s v="Completed"/>
    <s v="Delhi"/>
    <x v="5"/>
    <s v="Retail"/>
    <n v="54"/>
    <x v="1"/>
  </r>
  <r>
    <s v="ORD-01130"/>
    <x v="132"/>
    <s v="CUST-0010"/>
    <s v="PROD-008"/>
    <x v="3"/>
    <n v="3"/>
    <n v="2660"/>
    <n v="0.2"/>
    <n v="7964.04"/>
    <s v="Completed"/>
    <s v="Mumbai"/>
    <x v="4"/>
    <s v="SMB"/>
    <n v="61"/>
    <x v="0"/>
  </r>
  <r>
    <s v="ORD-01131"/>
    <x v="181"/>
    <s v="CUST-0237"/>
    <s v="PROD-054"/>
    <x v="3"/>
    <n v="4"/>
    <n v="1010"/>
    <n v="3.1"/>
    <n v="3914.76"/>
    <s v="Completed"/>
    <s v="Mumbai"/>
    <x v="1"/>
    <s v="Retail"/>
    <n v="49"/>
    <x v="0"/>
  </r>
  <r>
    <s v="ORD-01132"/>
    <x v="82"/>
    <s v="CUST-0128"/>
    <s v="PROD-038"/>
    <x v="21"/>
    <n v="5"/>
    <n v="5490"/>
    <n v="3.6"/>
    <n v="26461.8"/>
    <s v="Completed"/>
    <s v="Hyderabad"/>
    <x v="3"/>
    <s v="Retail"/>
    <n v="35"/>
    <x v="3"/>
  </r>
  <r>
    <s v="ORD-01133"/>
    <x v="94"/>
    <s v="CUST-0182"/>
    <s v="PROD-058"/>
    <x v="7"/>
    <n v="1"/>
    <n v="2400"/>
    <n v="24.3"/>
    <n v="1816.8"/>
    <s v="Completed"/>
    <s v="Mumbai"/>
    <x v="1"/>
    <s v="Retail"/>
    <n v="54"/>
    <x v="3"/>
  </r>
  <r>
    <s v="ORD-01134"/>
    <x v="147"/>
    <s v="CUST-0131"/>
    <s v="PROD-037"/>
    <x v="18"/>
    <n v="8"/>
    <n v="660"/>
    <n v="19.8"/>
    <n v="4234.5600000000004"/>
    <s v="Completed"/>
    <s v="Delhi"/>
    <x v="3"/>
    <s v="SMB"/>
    <n v="28"/>
    <x v="1"/>
  </r>
  <r>
    <s v="ORD-01135"/>
    <x v="172"/>
    <s v="CUST-0023"/>
    <s v="PROD-001"/>
    <x v="29"/>
    <n v="9"/>
    <n v="5330"/>
    <n v="16.5"/>
    <n v="40054.949999999997"/>
    <s v="Completed"/>
    <s v="Chennai"/>
    <x v="4"/>
    <s v="SMB"/>
    <n v="43"/>
    <x v="1"/>
  </r>
  <r>
    <s v="ORD-01136"/>
    <x v="340"/>
    <s v="CUST-0171"/>
    <s v="PROD-002"/>
    <x v="0"/>
    <n v="5"/>
    <n v="2600"/>
    <n v="0.3"/>
    <n v="12961"/>
    <s v="Completed"/>
    <s v="Chennai"/>
    <x v="4"/>
    <s v="Corporate"/>
    <n v="30"/>
    <x v="0"/>
  </r>
  <r>
    <s v="ORD-01137"/>
    <x v="32"/>
    <s v="CUST-0116"/>
    <s v="PROD-034"/>
    <x v="26"/>
    <n v="4"/>
    <n v="5080"/>
    <n v="13.8"/>
    <n v="17515.84"/>
    <s v="Pending"/>
    <s v="Bengaluru"/>
    <x v="3"/>
    <s v="Retail"/>
    <n v="53"/>
    <x v="3"/>
  </r>
  <r>
    <s v="ORD-01138"/>
    <x v="100"/>
    <s v="CUST-0021"/>
    <s v="PROD-023"/>
    <x v="25"/>
    <n v="7"/>
    <n v="2380"/>
    <n v="15.5"/>
    <n v="14077.7"/>
    <s v="Completed"/>
    <s v="Pune"/>
    <x v="2"/>
    <s v="Retail"/>
    <n v="44"/>
    <x v="0"/>
  </r>
  <r>
    <s v="ORD-01139"/>
    <x v="83"/>
    <s v="CUST-0234"/>
    <s v="PROD-046"/>
    <x v="3"/>
    <n v="3"/>
    <n v="4880"/>
    <n v="6.1"/>
    <n v="13746.96"/>
    <s v="Completed"/>
    <s v="Bengaluru"/>
    <x v="5"/>
    <s v="Retail"/>
    <n v="34"/>
    <x v="0"/>
  </r>
  <r>
    <s v="ORD-01140"/>
    <x v="36"/>
    <s v="CUST-0225"/>
    <s v="PROD-043"/>
    <x v="18"/>
    <n v="2"/>
    <n v="3350"/>
    <n v="17.2"/>
    <n v="5547.6"/>
    <s v="Completed"/>
    <s v="Chennai"/>
    <x v="5"/>
    <s v="SMB"/>
    <n v="26"/>
    <x v="1"/>
  </r>
  <r>
    <s v="ORD-01141"/>
    <x v="238"/>
    <s v="CUST-0268"/>
    <s v="PROD-030"/>
    <x v="6"/>
    <n v="5"/>
    <n v="970"/>
    <n v="23.6"/>
    <n v="3705.4"/>
    <s v="Completed"/>
    <s v="Chennai"/>
    <x v="2"/>
    <s v="Retail"/>
    <n v="35"/>
    <x v="2"/>
  </r>
  <r>
    <s v="ORD-01142"/>
    <x v="215"/>
    <s v="CUST-0248"/>
    <s v="PROD-005"/>
    <x v="24"/>
    <n v="5"/>
    <n v="300"/>
    <n v="3.8"/>
    <n v="1443"/>
    <s v="Completed"/>
    <s v="Chennai"/>
    <x v="4"/>
    <s v="SMB"/>
    <n v="57"/>
    <x v="3"/>
  </r>
  <r>
    <s v="ORD-01143"/>
    <x v="243"/>
    <s v="CUST-0026"/>
    <s v="PROD-006"/>
    <x v="1"/>
    <n v="9"/>
    <n v="3970"/>
    <n v="0.8"/>
    <n v="35444.160000000003"/>
    <s v="Completed"/>
    <s v="Pune"/>
    <x v="4"/>
    <s v="Retail"/>
    <n v="62"/>
    <x v="0"/>
  </r>
  <r>
    <s v="ORD-01144"/>
    <x v="242"/>
    <s v="CUST-0257"/>
    <s v="PROD-015"/>
    <x v="22"/>
    <n v="4"/>
    <n v="2720"/>
    <n v="12.7"/>
    <n v="9498.24"/>
    <s v="Completed"/>
    <s v="Mumbai"/>
    <x v="0"/>
    <s v="Corporate"/>
    <n v="46"/>
    <x v="1"/>
  </r>
  <r>
    <s v="ORD-01145"/>
    <x v="249"/>
    <s v="CUST-0258"/>
    <s v="PROD-016"/>
    <x v="13"/>
    <n v="3"/>
    <n v="620"/>
    <n v="5.5"/>
    <n v="1757.7"/>
    <s v="Completed"/>
    <s v="Pune"/>
    <x v="0"/>
    <s v="Retail"/>
    <n v="44"/>
    <x v="3"/>
  </r>
  <r>
    <s v="ORD-01146"/>
    <x v="319"/>
    <s v="CUST-0142"/>
    <s v="PROD-041"/>
    <x v="6"/>
    <n v="2"/>
    <n v="1540"/>
    <n v="2.2000000000000002"/>
    <n v="3012.24"/>
    <s v="Pending"/>
    <s v="Chennai"/>
    <x v="5"/>
    <s v="Corporate"/>
    <n v="55"/>
    <x v="2"/>
  </r>
  <r>
    <s v="ORD-01147"/>
    <x v="166"/>
    <s v="CUST-0020"/>
    <s v="PROD-042"/>
    <x v="17"/>
    <n v="1"/>
    <n v="2290"/>
    <n v="24.4"/>
    <n v="1731.24"/>
    <s v="Cancelled"/>
    <s v="Hyderabad"/>
    <x v="5"/>
    <s v="Retail"/>
    <n v="46"/>
    <x v="2"/>
  </r>
  <r>
    <s v="ORD-01148"/>
    <x v="343"/>
    <s v="CUST-0016"/>
    <s v="PROD-015"/>
    <x v="26"/>
    <n v="8"/>
    <n v="2720"/>
    <n v="1.7"/>
    <n v="21390.080000000002"/>
    <s v="Completed"/>
    <s v="Delhi"/>
    <x v="0"/>
    <s v="SMB"/>
    <n v="26"/>
    <x v="3"/>
  </r>
  <r>
    <s v="ORD-01149"/>
    <x v="69"/>
    <s v="CUST-0288"/>
    <s v="PROD-025"/>
    <x v="12"/>
    <n v="4"/>
    <n v="4060"/>
    <n v="19.600000000000001"/>
    <n v="13056.96"/>
    <s v="Cancelled"/>
    <s v="Hyderabad"/>
    <x v="2"/>
    <s v="Corporate"/>
    <n v="25"/>
    <x v="3"/>
  </r>
  <r>
    <s v="ORD-01150"/>
    <x v="43"/>
    <s v="CUST-0133"/>
    <s v="PROD-003"/>
    <x v="29"/>
    <n v="8"/>
    <n v="3570"/>
    <n v="10.8"/>
    <n v="25475.52"/>
    <s v="Completed"/>
    <s v="Chennai"/>
    <x v="4"/>
    <s v="Retail"/>
    <n v="26"/>
    <x v="1"/>
  </r>
  <r>
    <s v="ORD-01151"/>
    <x v="258"/>
    <s v="CUST-0192"/>
    <s v="PROD-051"/>
    <x v="10"/>
    <n v="10"/>
    <n v="3450"/>
    <n v="13.5"/>
    <n v="29842.5"/>
    <s v="Pending"/>
    <s v="Bengaluru"/>
    <x v="1"/>
    <s v="Retail"/>
    <n v="55"/>
    <x v="0"/>
  </r>
  <r>
    <s v="ORD-01152"/>
    <x v="277"/>
    <s v="CUST-0298"/>
    <s v="PROD-010"/>
    <x v="0"/>
    <n v="10"/>
    <n v="2640"/>
    <n v="29.8"/>
    <n v="18532.8"/>
    <s v="Completed"/>
    <s v="Delhi"/>
    <x v="4"/>
    <s v="Retail"/>
    <n v="44"/>
    <x v="0"/>
  </r>
  <r>
    <s v="ORD-01153"/>
    <x v="204"/>
    <s v="CUST-0088"/>
    <s v="PROD-032"/>
    <x v="18"/>
    <n v="3"/>
    <n v="370"/>
    <n v="25.5"/>
    <n v="826.95"/>
    <s v="Completed"/>
    <s v="Chennai"/>
    <x v="3"/>
    <s v="Retail"/>
    <n v="24"/>
    <x v="1"/>
  </r>
  <r>
    <s v="ORD-01154"/>
    <x v="180"/>
    <s v="CUST-0274"/>
    <s v="PROD-009"/>
    <x v="14"/>
    <n v="3"/>
    <n v="1220"/>
    <n v="7.7"/>
    <n v="3378.18"/>
    <s v="Pending"/>
    <s v="Bengaluru"/>
    <x v="4"/>
    <s v="Corporate"/>
    <n v="36"/>
    <x v="2"/>
  </r>
  <r>
    <s v="ORD-01155"/>
    <x v="59"/>
    <s v="CUST-0165"/>
    <s v="PROD-010"/>
    <x v="24"/>
    <n v="1"/>
    <n v="2640"/>
    <n v="23.6"/>
    <n v="2016.96"/>
    <s v="Completed"/>
    <s v="Pune"/>
    <x v="4"/>
    <s v="Retail"/>
    <n v="29"/>
    <x v="3"/>
  </r>
  <r>
    <s v="ORD-01156"/>
    <x v="232"/>
    <s v="CUST-0275"/>
    <s v="PROD-048"/>
    <x v="23"/>
    <n v="9"/>
    <n v="5100"/>
    <n v="9.5"/>
    <n v="41539.5"/>
    <s v="Completed"/>
    <s v="Mumbai"/>
    <x v="5"/>
    <s v="Retail"/>
    <n v="36"/>
    <x v="1"/>
  </r>
  <r>
    <s v="ORD-01157"/>
    <x v="347"/>
    <s v="CUST-0225"/>
    <s v="PROD-050"/>
    <x v="4"/>
    <n v="7"/>
    <n v="6080"/>
    <n v="17.5"/>
    <n v="35112"/>
    <s v="Completed"/>
    <s v="Chennai"/>
    <x v="5"/>
    <s v="SMB"/>
    <n v="26"/>
    <x v="0"/>
  </r>
  <r>
    <s v="ORD-01158"/>
    <x v="341"/>
    <s v="CUST-0059"/>
    <s v="PROD-005"/>
    <x v="17"/>
    <n v="1"/>
    <n v="300"/>
    <n v="26.9"/>
    <n v="219.3"/>
    <s v="Completed"/>
    <s v="Pune"/>
    <x v="4"/>
    <s v="Corporate"/>
    <n v="29"/>
    <x v="2"/>
  </r>
  <r>
    <s v="ORD-01159"/>
    <x v="181"/>
    <s v="CUST-0149"/>
    <s v="PROD-045"/>
    <x v="16"/>
    <n v="6"/>
    <n v="3020"/>
    <n v="28.5"/>
    <n v="12955.8"/>
    <s v="Completed"/>
    <s v="Hyderabad"/>
    <x v="5"/>
    <s v="Retail"/>
    <n v="44"/>
    <x v="3"/>
  </r>
  <r>
    <s v="ORD-01160"/>
    <x v="137"/>
    <s v="CUST-0283"/>
    <s v="PROD-005"/>
    <x v="26"/>
    <n v="8"/>
    <n v="300"/>
    <n v="1.2"/>
    <n v="2371.1999999999998"/>
    <s v="Completed"/>
    <s v="Delhi"/>
    <x v="4"/>
    <s v="SMB"/>
    <n v="50"/>
    <x v="3"/>
  </r>
  <r>
    <s v="ORD-01161"/>
    <x v="271"/>
    <s v="CUST-0039"/>
    <s v="PROD-043"/>
    <x v="23"/>
    <n v="9"/>
    <n v="3350"/>
    <n v="0.6"/>
    <n v="29969.1"/>
    <s v="Refunded"/>
    <s v="Bengaluru"/>
    <x v="5"/>
    <s v="Retail"/>
    <n v="37"/>
    <x v="1"/>
  </r>
  <r>
    <s v="ORD-01162"/>
    <x v="319"/>
    <s v="CUST-0046"/>
    <s v="PROD-026"/>
    <x v="6"/>
    <n v="4"/>
    <n v="4070"/>
    <n v="10.1"/>
    <n v="14635.72"/>
    <s v="Completed"/>
    <s v="Delhi"/>
    <x v="2"/>
    <s v="SMB"/>
    <n v="45"/>
    <x v="2"/>
  </r>
  <r>
    <s v="ORD-01163"/>
    <x v="105"/>
    <s v="CUST-0105"/>
    <s v="PROD-059"/>
    <x v="6"/>
    <n v="9"/>
    <n v="3780"/>
    <n v="27.8"/>
    <n v="24562.44"/>
    <s v="Cancelled"/>
    <s v="Chennai"/>
    <x v="1"/>
    <s v="SMB"/>
    <n v="51"/>
    <x v="2"/>
  </r>
  <r>
    <s v="ORD-01164"/>
    <x v="192"/>
    <s v="CUST-0006"/>
    <s v="PROD-040"/>
    <x v="14"/>
    <n v="6"/>
    <n v="1080"/>
    <n v="17.5"/>
    <n v="5346"/>
    <s v="Completed"/>
    <s v="Pune"/>
    <x v="3"/>
    <s v="SMB"/>
    <n v="44"/>
    <x v="2"/>
  </r>
  <r>
    <s v="ORD-01165"/>
    <x v="348"/>
    <s v="CUST-0192"/>
    <s v="PROD-002"/>
    <x v="12"/>
    <n v="3"/>
    <n v="2600"/>
    <n v="1.9"/>
    <n v="7651.8"/>
    <s v="Completed"/>
    <s v="Bengaluru"/>
    <x v="4"/>
    <s v="Retail"/>
    <n v="55"/>
    <x v="3"/>
  </r>
  <r>
    <s v="ORD-01166"/>
    <x v="67"/>
    <s v="CUST-0290"/>
    <s v="PROD-015"/>
    <x v="4"/>
    <n v="5"/>
    <n v="2720"/>
    <n v="1.8"/>
    <n v="13355.2"/>
    <s v="Cancelled"/>
    <s v="Delhi"/>
    <x v="0"/>
    <s v="Retail"/>
    <n v="63"/>
    <x v="0"/>
  </r>
  <r>
    <s v="ORD-01167"/>
    <x v="270"/>
    <s v="CUST-0287"/>
    <s v="PROD-028"/>
    <x v="27"/>
    <n v="8"/>
    <n v="3660"/>
    <n v="29.5"/>
    <n v="20642.400000000001"/>
    <s v="Completed"/>
    <s v="Chennai"/>
    <x v="2"/>
    <s v="SMB"/>
    <n v="53"/>
    <x v="1"/>
  </r>
  <r>
    <s v="ORD-01168"/>
    <x v="237"/>
    <s v="CUST-0025"/>
    <s v="PROD-044"/>
    <x v="1"/>
    <n v="9"/>
    <n v="1650"/>
    <n v="19.8"/>
    <n v="11909.7"/>
    <s v="Refunded"/>
    <s v="Bengaluru"/>
    <x v="5"/>
    <s v="Retail"/>
    <n v="23"/>
    <x v="0"/>
  </r>
  <r>
    <s v="ORD-01169"/>
    <x v="349"/>
    <s v="CUST-0139"/>
    <s v="PROD-055"/>
    <x v="7"/>
    <n v="3"/>
    <n v="2860"/>
    <n v="22.7"/>
    <n v="6632.34"/>
    <s v="Completed"/>
    <s v="Hyderabad"/>
    <x v="1"/>
    <s v="SMB"/>
    <n v="65"/>
    <x v="3"/>
  </r>
  <r>
    <s v="ORD-01170"/>
    <x v="335"/>
    <s v="CUST-0278"/>
    <s v="PROD-051"/>
    <x v="5"/>
    <n v="4"/>
    <n v="3450"/>
    <n v="9.1999999999999993"/>
    <n v="12530.4"/>
    <s v="Completed"/>
    <s v="Hyderabad"/>
    <x v="1"/>
    <s v="Retail"/>
    <n v="41"/>
    <x v="2"/>
  </r>
  <r>
    <s v="ORD-01171"/>
    <x v="171"/>
    <s v="CUST-0258"/>
    <s v="PROD-033"/>
    <x v="11"/>
    <n v="4"/>
    <n v="2030"/>
    <n v="17.100000000000001"/>
    <n v="6731.48"/>
    <s v="Completed"/>
    <s v="Pune"/>
    <x v="3"/>
    <s v="Retail"/>
    <n v="44"/>
    <x v="0"/>
  </r>
  <r>
    <s v="ORD-01172"/>
    <x v="24"/>
    <s v="CUST-0106"/>
    <s v="PROD-022"/>
    <x v="29"/>
    <n v="4"/>
    <n v="2270"/>
    <n v="27.3"/>
    <n v="6601.16"/>
    <s v="Completed"/>
    <s v="Pune"/>
    <x v="2"/>
    <s v="Retail"/>
    <n v="22"/>
    <x v="1"/>
  </r>
  <r>
    <s v="ORD-01173"/>
    <x v="41"/>
    <s v="CUST-0009"/>
    <s v="PROD-034"/>
    <x v="22"/>
    <n v="9"/>
    <n v="5080"/>
    <n v="10.9"/>
    <n v="40736.519999999997"/>
    <s v="Completed"/>
    <s v="Mumbai"/>
    <x v="3"/>
    <s v="Retail"/>
    <n v="61"/>
    <x v="1"/>
  </r>
  <r>
    <s v="ORD-01174"/>
    <x v="341"/>
    <s v="CUST-0209"/>
    <s v="PROD-026"/>
    <x v="20"/>
    <n v="8"/>
    <n v="4070"/>
    <n v="17.7"/>
    <n v="26796.880000000001"/>
    <s v="Completed"/>
    <s v="Pune"/>
    <x v="2"/>
    <s v="Retail"/>
    <n v="31"/>
    <x v="2"/>
  </r>
  <r>
    <s v="ORD-01175"/>
    <x v="332"/>
    <s v="CUST-0111"/>
    <s v="PROD-041"/>
    <x v="1"/>
    <n v="1"/>
    <n v="1540"/>
    <n v="0.9"/>
    <n v="1526.14"/>
    <s v="Completed"/>
    <s v="Chennai"/>
    <x v="5"/>
    <s v="SMB"/>
    <n v="64"/>
    <x v="0"/>
  </r>
  <r>
    <s v="ORD-01176"/>
    <x v="104"/>
    <s v="CUST-0014"/>
    <s v="PROD-048"/>
    <x v="6"/>
    <n v="10"/>
    <n v="5100"/>
    <n v="3"/>
    <n v="49470"/>
    <s v="Completed"/>
    <s v="Bengaluru"/>
    <x v="5"/>
    <s v="Retail"/>
    <n v="48"/>
    <x v="2"/>
  </r>
  <r>
    <s v="ORD-01177"/>
    <x v="165"/>
    <s v="CUST-0073"/>
    <s v="PROD-014"/>
    <x v="3"/>
    <n v="6"/>
    <n v="3620"/>
    <n v="20.2"/>
    <n v="17332.560000000001"/>
    <s v="Completed"/>
    <s v="Pune"/>
    <x v="0"/>
    <s v="Corporate"/>
    <n v="40"/>
    <x v="0"/>
  </r>
  <r>
    <s v="ORD-01178"/>
    <x v="258"/>
    <s v="CUST-0147"/>
    <s v="PROD-046"/>
    <x v="11"/>
    <n v="7"/>
    <n v="4880"/>
    <n v="5"/>
    <n v="32452"/>
    <s v="Completed"/>
    <s v="Pune"/>
    <x v="5"/>
    <s v="Retail"/>
    <n v="56"/>
    <x v="0"/>
  </r>
  <r>
    <s v="ORD-01179"/>
    <x v="22"/>
    <s v="CUST-0006"/>
    <s v="PROD-010"/>
    <x v="6"/>
    <n v="1"/>
    <n v="2640"/>
    <n v="4.0999999999999996"/>
    <n v="2531.7600000000002"/>
    <s v="Completed"/>
    <s v="Pune"/>
    <x v="4"/>
    <s v="SMB"/>
    <n v="44"/>
    <x v="2"/>
  </r>
  <r>
    <s v="ORD-01180"/>
    <x v="118"/>
    <s v="CUST-0031"/>
    <s v="PROD-026"/>
    <x v="16"/>
    <n v="9"/>
    <n v="4070"/>
    <n v="4.4000000000000004"/>
    <n v="35018.28"/>
    <s v="Completed"/>
    <s v="Hyderabad"/>
    <x v="2"/>
    <s v="Retail"/>
    <n v="53"/>
    <x v="3"/>
  </r>
  <r>
    <s v="ORD-01181"/>
    <x v="7"/>
    <s v="CUST-0084"/>
    <s v="PROD-003"/>
    <x v="5"/>
    <n v="9"/>
    <n v="3570"/>
    <n v="24.8"/>
    <n v="24161.759999999998"/>
    <s v="Completed"/>
    <s v="Chennai"/>
    <x v="4"/>
    <s v="Retail"/>
    <n v="28"/>
    <x v="2"/>
  </r>
  <r>
    <s v="ORD-01182"/>
    <x v="19"/>
    <s v="CUST-0203"/>
    <s v="PROD-043"/>
    <x v="1"/>
    <n v="10"/>
    <n v="3350"/>
    <n v="25.1"/>
    <n v="25091.5"/>
    <s v="Cancelled"/>
    <s v="Chennai"/>
    <x v="5"/>
    <s v="SMB"/>
    <n v="55"/>
    <x v="0"/>
  </r>
  <r>
    <s v="ORD-01183"/>
    <x v="246"/>
    <s v="CUST-0138"/>
    <s v="PROD-059"/>
    <x v="5"/>
    <n v="3"/>
    <n v="3780"/>
    <n v="3.8"/>
    <n v="10909.08"/>
    <s v="Completed"/>
    <s v="Chennai"/>
    <x v="1"/>
    <s v="Retail"/>
    <n v="24"/>
    <x v="2"/>
  </r>
  <r>
    <s v="ORD-01184"/>
    <x v="330"/>
    <s v="CUST-0157"/>
    <s v="PROD-003"/>
    <x v="4"/>
    <n v="4"/>
    <n v="3570"/>
    <n v="0.9"/>
    <n v="14151.48"/>
    <s v="Pending"/>
    <s v="Pune"/>
    <x v="4"/>
    <s v="Corporate"/>
    <n v="52"/>
    <x v="0"/>
  </r>
  <r>
    <s v="ORD-01185"/>
    <x v="295"/>
    <s v="CUST-0298"/>
    <s v="PROD-055"/>
    <x v="6"/>
    <n v="5"/>
    <n v="2860"/>
    <n v="20.100000000000001"/>
    <n v="11425.7"/>
    <s v="Completed"/>
    <s v="Delhi"/>
    <x v="1"/>
    <s v="Retail"/>
    <n v="44"/>
    <x v="2"/>
  </r>
  <r>
    <s v="ORD-01186"/>
    <x v="79"/>
    <s v="CUST-0132"/>
    <s v="PROD-016"/>
    <x v="11"/>
    <n v="1"/>
    <n v="620"/>
    <n v="1.1000000000000001"/>
    <n v="613.17999999999995"/>
    <s v="Cancelled"/>
    <s v="Delhi"/>
    <x v="0"/>
    <s v="Retail"/>
    <n v="41"/>
    <x v="0"/>
  </r>
  <r>
    <s v="ORD-01187"/>
    <x v="39"/>
    <s v="CUST-0006"/>
    <s v="PROD-003"/>
    <x v="27"/>
    <n v="1"/>
    <n v="3570"/>
    <n v="11.1"/>
    <n v="3173.73"/>
    <s v="Cancelled"/>
    <s v="Pune"/>
    <x v="4"/>
    <s v="SMB"/>
    <n v="44"/>
    <x v="1"/>
  </r>
  <r>
    <s v="ORD-01188"/>
    <x v="317"/>
    <s v="CUST-0011"/>
    <s v="PROD-001"/>
    <x v="27"/>
    <n v="1"/>
    <n v="5330"/>
    <n v="3.5"/>
    <n v="5143.45"/>
    <s v="Completed"/>
    <s v="Chennai"/>
    <x v="4"/>
    <s v="Corporate"/>
    <n v="41"/>
    <x v="1"/>
  </r>
  <r>
    <s v="ORD-01189"/>
    <x v="333"/>
    <s v="CUST-0170"/>
    <s v="PROD-052"/>
    <x v="26"/>
    <n v="7"/>
    <n v="5410"/>
    <n v="26.2"/>
    <n v="27948.06"/>
    <s v="Completed"/>
    <s v="Mumbai"/>
    <x v="1"/>
    <s v="SMB"/>
    <n v="22"/>
    <x v="3"/>
  </r>
  <r>
    <s v="ORD-01190"/>
    <x v="163"/>
    <s v="CUST-0109"/>
    <s v="PROD-034"/>
    <x v="29"/>
    <n v="10"/>
    <n v="5080"/>
    <n v="3.7"/>
    <n v="48920.4"/>
    <s v="Pending"/>
    <s v="Pune"/>
    <x v="3"/>
    <s v="Retail"/>
    <n v="42"/>
    <x v="1"/>
  </r>
  <r>
    <s v="ORD-01191"/>
    <x v="43"/>
    <s v="CUST-0066"/>
    <s v="PROD-003"/>
    <x v="1"/>
    <n v="9"/>
    <n v="3570"/>
    <n v="5.6"/>
    <n v="30330.720000000001"/>
    <s v="Completed"/>
    <s v="Delhi"/>
    <x v="4"/>
    <s v="Retail"/>
    <n v="24"/>
    <x v="0"/>
  </r>
  <r>
    <s v="ORD-01192"/>
    <x v="165"/>
    <s v="CUST-0055"/>
    <s v="PROD-030"/>
    <x v="24"/>
    <n v="9"/>
    <n v="970"/>
    <n v="19.5"/>
    <n v="7027.65"/>
    <s v="Completed"/>
    <s v="Bengaluru"/>
    <x v="2"/>
    <s v="Retail"/>
    <n v="34"/>
    <x v="3"/>
  </r>
  <r>
    <s v="ORD-01193"/>
    <x v="298"/>
    <s v="CUST-0298"/>
    <s v="PROD-005"/>
    <x v="18"/>
    <n v="10"/>
    <n v="300"/>
    <n v="23"/>
    <n v="2310"/>
    <s v="Cancelled"/>
    <s v="Delhi"/>
    <x v="4"/>
    <s v="Retail"/>
    <n v="44"/>
    <x v="1"/>
  </r>
  <r>
    <s v="ORD-01194"/>
    <x v="319"/>
    <s v="CUST-0024"/>
    <s v="PROD-050"/>
    <x v="11"/>
    <n v="10"/>
    <n v="6080"/>
    <n v="3.9"/>
    <n v="58428.800000000003"/>
    <s v="Completed"/>
    <s v="Chennai"/>
    <x v="5"/>
    <s v="SMB"/>
    <n v="64"/>
    <x v="0"/>
  </r>
  <r>
    <s v="ORD-01195"/>
    <x v="149"/>
    <s v="CUST-0008"/>
    <s v="PROD-048"/>
    <x v="23"/>
    <n v="2"/>
    <n v="5100"/>
    <n v="11"/>
    <n v="9078"/>
    <s v="Completed"/>
    <s v="Pune"/>
    <x v="5"/>
    <s v="SMB"/>
    <n v="39"/>
    <x v="1"/>
  </r>
  <r>
    <s v="ORD-01196"/>
    <x v="18"/>
    <s v="CUST-0070"/>
    <s v="PROD-011"/>
    <x v="7"/>
    <n v="9"/>
    <n v="3450"/>
    <n v="23.7"/>
    <n v="23691.15"/>
    <s v="Completed"/>
    <s v="Mumbai"/>
    <x v="0"/>
    <s v="Retail"/>
    <n v="42"/>
    <x v="3"/>
  </r>
  <r>
    <s v="ORD-01197"/>
    <x v="164"/>
    <s v="CUST-0270"/>
    <s v="PROD-019"/>
    <x v="23"/>
    <n v="5"/>
    <n v="2480"/>
    <n v="20.399999999999999"/>
    <n v="9870.4"/>
    <s v="Completed"/>
    <s v="Bengaluru"/>
    <x v="0"/>
    <s v="Retail"/>
    <n v="29"/>
    <x v="1"/>
  </r>
  <r>
    <s v="ORD-01198"/>
    <x v="323"/>
    <s v="CUST-0175"/>
    <s v="PROD-060"/>
    <x v="9"/>
    <n v="4"/>
    <n v="190"/>
    <n v="2.6"/>
    <n v="740.24"/>
    <s v="Completed"/>
    <s v="Delhi"/>
    <x v="1"/>
    <s v="Corporate"/>
    <n v="55"/>
    <x v="1"/>
  </r>
  <r>
    <s v="ORD-01199"/>
    <x v="212"/>
    <s v="CUST-0227"/>
    <s v="PROD-022"/>
    <x v="16"/>
    <n v="4"/>
    <n v="2270"/>
    <n v="8.1"/>
    <n v="8344.52"/>
    <s v="Pending"/>
    <s v="Bengaluru"/>
    <x v="2"/>
    <s v="SMB"/>
    <n v="44"/>
    <x v="3"/>
  </r>
  <r>
    <s v="ORD-01200"/>
    <x v="169"/>
    <s v="CUST-0041"/>
    <s v="PROD-017"/>
    <x v="8"/>
    <n v="7"/>
    <n v="2510"/>
    <n v="25.5"/>
    <n v="13089.65"/>
    <s v="Completed"/>
    <s v="Bengaluru"/>
    <x v="0"/>
    <s v="SMB"/>
    <n v="26"/>
    <x v="2"/>
  </r>
  <r>
    <s v="ORD-01201"/>
    <x v="318"/>
    <s v="CUST-0147"/>
    <s v="PROD-059"/>
    <x v="10"/>
    <n v="3"/>
    <n v="3780"/>
    <n v="16.8"/>
    <n v="9434.8799999999992"/>
    <s v="Completed"/>
    <s v="Pune"/>
    <x v="1"/>
    <s v="Retail"/>
    <n v="56"/>
    <x v="0"/>
  </r>
  <r>
    <s v="ORD-01202"/>
    <x v="79"/>
    <s v="CUST-0185"/>
    <s v="PROD-003"/>
    <x v="9"/>
    <n v="7"/>
    <n v="3570"/>
    <n v="23.7"/>
    <n v="19067.37"/>
    <s v="Completed"/>
    <s v="Hyderabad"/>
    <x v="4"/>
    <s v="SMB"/>
    <n v="43"/>
    <x v="1"/>
  </r>
  <r>
    <s v="ORD-01203"/>
    <x v="115"/>
    <s v="CUST-0210"/>
    <s v="PROD-037"/>
    <x v="23"/>
    <n v="4"/>
    <n v="660"/>
    <n v="3.6"/>
    <n v="2544.96"/>
    <s v="Completed"/>
    <s v="Pune"/>
    <x v="3"/>
    <s v="Corporate"/>
    <n v="48"/>
    <x v="1"/>
  </r>
  <r>
    <s v="ORD-01204"/>
    <x v="350"/>
    <s v="CUST-0289"/>
    <s v="PROD-030"/>
    <x v="9"/>
    <n v="7"/>
    <n v="970"/>
    <n v="23.7"/>
    <n v="5180.7700000000004"/>
    <s v="Completed"/>
    <s v="Mumbai"/>
    <x v="2"/>
    <s v="Retail"/>
    <n v="54"/>
    <x v="1"/>
  </r>
  <r>
    <s v="ORD-01205"/>
    <x v="200"/>
    <s v="CUST-0017"/>
    <s v="PROD-024"/>
    <x v="3"/>
    <n v="8"/>
    <n v="2270"/>
    <n v="6.8"/>
    <n v="16925.12"/>
    <s v="Completed"/>
    <s v="Delhi"/>
    <x v="2"/>
    <s v="SMB"/>
    <n v="38"/>
    <x v="0"/>
  </r>
  <r>
    <s v="ORD-01206"/>
    <x v="65"/>
    <s v="CUST-0115"/>
    <s v="PROD-058"/>
    <x v="27"/>
    <n v="1"/>
    <n v="2400"/>
    <n v="26.5"/>
    <n v="1764"/>
    <s v="Completed"/>
    <s v="Mumbai"/>
    <x v="1"/>
    <s v="SMB"/>
    <n v="65"/>
    <x v="1"/>
  </r>
  <r>
    <s v="ORD-01207"/>
    <x v="283"/>
    <s v="CUST-0183"/>
    <s v="PROD-034"/>
    <x v="9"/>
    <n v="5"/>
    <n v="5080"/>
    <n v="29.6"/>
    <n v="17881.599999999999"/>
    <s v="Completed"/>
    <s v="Mumbai"/>
    <x v="3"/>
    <s v="SMB"/>
    <n v="27"/>
    <x v="1"/>
  </r>
  <r>
    <s v="ORD-01208"/>
    <x v="116"/>
    <s v="CUST-0193"/>
    <s v="PROD-043"/>
    <x v="2"/>
    <n v="9"/>
    <n v="3350"/>
    <n v="6.2"/>
    <n v="28280.7"/>
    <s v="Completed"/>
    <s v="Bengaluru"/>
    <x v="5"/>
    <s v="Retail"/>
    <n v="42"/>
    <x v="1"/>
  </r>
  <r>
    <s v="ORD-01209"/>
    <x v="9"/>
    <s v="CUST-0019"/>
    <s v="PROD-041"/>
    <x v="19"/>
    <n v="4"/>
    <n v="1540"/>
    <n v="22.2"/>
    <n v="4792.4799999999996"/>
    <s v="Completed"/>
    <s v="Chennai"/>
    <x v="5"/>
    <s v="Retail"/>
    <n v="22"/>
    <x v="0"/>
  </r>
  <r>
    <s v="ORD-01210"/>
    <x v="313"/>
    <s v="CUST-0097"/>
    <s v="PROD-034"/>
    <x v="25"/>
    <n v="10"/>
    <n v="5080"/>
    <n v="11.8"/>
    <n v="44805.599999999999"/>
    <s v="Completed"/>
    <s v="Mumbai"/>
    <x v="3"/>
    <s v="Retail"/>
    <n v="65"/>
    <x v="0"/>
  </r>
  <r>
    <s v="ORD-01211"/>
    <x v="197"/>
    <s v="CUST-0237"/>
    <s v="PROD-018"/>
    <x v="27"/>
    <n v="9"/>
    <n v="3560"/>
    <n v="15.9"/>
    <n v="26945.64"/>
    <s v="Completed"/>
    <s v="Mumbai"/>
    <x v="0"/>
    <s v="Retail"/>
    <n v="49"/>
    <x v="1"/>
  </r>
  <r>
    <s v="ORD-01212"/>
    <x v="98"/>
    <s v="CUST-0252"/>
    <s v="PROD-040"/>
    <x v="18"/>
    <n v="2"/>
    <n v="1080"/>
    <n v="21.1"/>
    <n v="1704.24"/>
    <s v="Completed"/>
    <s v="Bengaluru"/>
    <x v="3"/>
    <s v="Retail"/>
    <n v="27"/>
    <x v="1"/>
  </r>
  <r>
    <s v="ORD-01213"/>
    <x v="202"/>
    <s v="CUST-0216"/>
    <s v="PROD-023"/>
    <x v="26"/>
    <n v="5"/>
    <n v="2380"/>
    <n v="20.5"/>
    <n v="9460.5"/>
    <s v="Completed"/>
    <s v="Mumbai"/>
    <x v="2"/>
    <s v="Retail"/>
    <n v="50"/>
    <x v="3"/>
  </r>
  <r>
    <s v="ORD-01214"/>
    <x v="71"/>
    <s v="CUST-0248"/>
    <s v="PROD-019"/>
    <x v="5"/>
    <n v="9"/>
    <n v="2480"/>
    <n v="1.2"/>
    <n v="22052.16"/>
    <s v="Completed"/>
    <s v="Chennai"/>
    <x v="0"/>
    <s v="SMB"/>
    <n v="57"/>
    <x v="2"/>
  </r>
  <r>
    <s v="ORD-01215"/>
    <x v="333"/>
    <s v="CUST-0044"/>
    <s v="PROD-042"/>
    <x v="27"/>
    <n v="9"/>
    <n v="2290"/>
    <n v="0.9"/>
    <n v="20424.509999999998"/>
    <s v="Completed"/>
    <s v="Hyderabad"/>
    <x v="5"/>
    <s v="SMB"/>
    <n v="29"/>
    <x v="1"/>
  </r>
  <r>
    <s v="ORD-01216"/>
    <x v="143"/>
    <s v="CUST-0251"/>
    <s v="PROD-011"/>
    <x v="23"/>
    <n v="3"/>
    <n v="3450"/>
    <n v="29.5"/>
    <n v="7296.75"/>
    <s v="Completed"/>
    <s v="Mumbai"/>
    <x v="0"/>
    <s v="Retail"/>
    <n v="44"/>
    <x v="1"/>
  </r>
  <r>
    <s v="ORD-01217"/>
    <x v="28"/>
    <s v="CUST-0280"/>
    <s v="PROD-047"/>
    <x v="6"/>
    <n v="9"/>
    <n v="3450"/>
    <n v="19.399999999999999"/>
    <n v="25026.3"/>
    <s v="Completed"/>
    <s v="Delhi"/>
    <x v="5"/>
    <s v="SMB"/>
    <n v="27"/>
    <x v="2"/>
  </r>
  <r>
    <s v="ORD-01218"/>
    <x v="340"/>
    <s v="CUST-0108"/>
    <s v="PROD-002"/>
    <x v="14"/>
    <n v="2"/>
    <n v="2600"/>
    <n v="20.2"/>
    <n v="4149.6000000000004"/>
    <s v="Cancelled"/>
    <s v="Bengaluru"/>
    <x v="4"/>
    <s v="Corporate"/>
    <n v="59"/>
    <x v="2"/>
  </r>
  <r>
    <s v="ORD-01219"/>
    <x v="281"/>
    <s v="CUST-0058"/>
    <s v="PROD-021"/>
    <x v="5"/>
    <n v="1"/>
    <n v="2760"/>
    <n v="9.5"/>
    <n v="2497.8000000000002"/>
    <s v="Completed"/>
    <s v="Bengaluru"/>
    <x v="2"/>
    <s v="SMB"/>
    <n v="49"/>
    <x v="2"/>
  </r>
  <r>
    <s v="ORD-01220"/>
    <x v="106"/>
    <s v="CUST-0090"/>
    <s v="PROD-039"/>
    <x v="11"/>
    <n v="4"/>
    <n v="4610"/>
    <n v="14.8"/>
    <n v="15710.88"/>
    <s v="Completed"/>
    <s v="Bengaluru"/>
    <x v="3"/>
    <s v="Corporate"/>
    <n v="26"/>
    <x v="0"/>
  </r>
  <r>
    <s v="ORD-01221"/>
    <x v="147"/>
    <s v="CUST-0204"/>
    <s v="PROD-019"/>
    <x v="6"/>
    <n v="3"/>
    <n v="2480"/>
    <n v="3.7"/>
    <n v="7164.72"/>
    <s v="Completed"/>
    <s v="Hyderabad"/>
    <x v="0"/>
    <s v="Retail"/>
    <n v="60"/>
    <x v="2"/>
  </r>
  <r>
    <s v="ORD-01222"/>
    <x v="294"/>
    <s v="CUST-0044"/>
    <s v="PROD-056"/>
    <x v="23"/>
    <n v="5"/>
    <n v="6940"/>
    <n v="0.3"/>
    <n v="34595.9"/>
    <s v="Completed"/>
    <s v="Hyderabad"/>
    <x v="1"/>
    <s v="SMB"/>
    <n v="29"/>
    <x v="1"/>
  </r>
  <r>
    <s v="ORD-01223"/>
    <x v="9"/>
    <s v="CUST-0068"/>
    <s v="PROD-022"/>
    <x v="12"/>
    <n v="8"/>
    <n v="2270"/>
    <n v="15.6"/>
    <n v="15327.04"/>
    <s v="Pending"/>
    <s v="Delhi"/>
    <x v="2"/>
    <s v="SMB"/>
    <n v="48"/>
    <x v="3"/>
  </r>
  <r>
    <s v="ORD-01224"/>
    <x v="313"/>
    <s v="CUST-0127"/>
    <s v="PROD-048"/>
    <x v="14"/>
    <n v="5"/>
    <n v="5100"/>
    <n v="9.5"/>
    <n v="23077.5"/>
    <s v="Completed"/>
    <s v="Bengaluru"/>
    <x v="5"/>
    <s v="SMB"/>
    <n v="36"/>
    <x v="2"/>
  </r>
  <r>
    <s v="ORD-01225"/>
    <x v="345"/>
    <s v="CUST-0191"/>
    <s v="PROD-036"/>
    <x v="23"/>
    <n v="5"/>
    <n v="3250"/>
    <n v="8.1"/>
    <n v="14933.75"/>
    <s v="Completed"/>
    <s v="Hyderabad"/>
    <x v="3"/>
    <s v="SMB"/>
    <n v="43"/>
    <x v="1"/>
  </r>
  <r>
    <s v="ORD-01226"/>
    <x v="303"/>
    <s v="CUST-0028"/>
    <s v="PROD-006"/>
    <x v="11"/>
    <n v="6"/>
    <n v="3970"/>
    <n v="18.8"/>
    <n v="19341.84"/>
    <s v="Pending"/>
    <s v="Bengaluru"/>
    <x v="4"/>
    <s v="Retail"/>
    <n v="59"/>
    <x v="0"/>
  </r>
  <r>
    <s v="ORD-01227"/>
    <x v="14"/>
    <s v="CUST-0027"/>
    <s v="PROD-001"/>
    <x v="5"/>
    <n v="4"/>
    <n v="5330"/>
    <n v="19.7"/>
    <n v="17119.96"/>
    <s v="Completed"/>
    <s v="Hyderabad"/>
    <x v="4"/>
    <s v="Corporate"/>
    <n v="52"/>
    <x v="2"/>
  </r>
  <r>
    <s v="ORD-01228"/>
    <x v="84"/>
    <s v="CUST-0193"/>
    <s v="PROD-008"/>
    <x v="10"/>
    <n v="7"/>
    <n v="2660"/>
    <n v="8.5"/>
    <n v="17037.3"/>
    <s v="Completed"/>
    <s v="Bengaluru"/>
    <x v="4"/>
    <s v="Retail"/>
    <n v="42"/>
    <x v="0"/>
  </r>
  <r>
    <s v="ORD-01229"/>
    <x v="124"/>
    <s v="CUST-0202"/>
    <s v="PROD-012"/>
    <x v="20"/>
    <n v="5"/>
    <n v="3160"/>
    <n v="13.4"/>
    <n v="13682.8"/>
    <s v="Pending"/>
    <s v="Chennai"/>
    <x v="0"/>
    <s v="Retail"/>
    <n v="39"/>
    <x v="2"/>
  </r>
  <r>
    <s v="ORD-01230"/>
    <x v="287"/>
    <s v="CUST-0230"/>
    <s v="PROD-054"/>
    <x v="7"/>
    <n v="10"/>
    <n v="1010"/>
    <n v="14"/>
    <n v="8686"/>
    <s v="Completed"/>
    <s v="Pune"/>
    <x v="1"/>
    <s v="Corporate"/>
    <n v="33"/>
    <x v="3"/>
  </r>
  <r>
    <s v="ORD-01231"/>
    <x v="351"/>
    <s v="CUST-0280"/>
    <s v="PROD-041"/>
    <x v="11"/>
    <n v="3"/>
    <n v="1540"/>
    <n v="13.7"/>
    <n v="3987.06"/>
    <s v="Pending"/>
    <s v="Delhi"/>
    <x v="5"/>
    <s v="SMB"/>
    <n v="27"/>
    <x v="0"/>
  </r>
  <r>
    <s v="ORD-01232"/>
    <x v="343"/>
    <s v="CUST-0196"/>
    <s v="PROD-048"/>
    <x v="18"/>
    <n v="10"/>
    <n v="5100"/>
    <n v="13.8"/>
    <n v="43962"/>
    <s v="Completed"/>
    <s v="Chennai"/>
    <x v="5"/>
    <s v="Retail"/>
    <n v="26"/>
    <x v="1"/>
  </r>
  <r>
    <s v="ORD-01233"/>
    <x v="136"/>
    <s v="CUST-0019"/>
    <s v="PROD-007"/>
    <x v="14"/>
    <n v="3"/>
    <n v="1430"/>
    <n v="1.5"/>
    <n v="4225.6499999999996"/>
    <s v="Completed"/>
    <s v="Chennai"/>
    <x v="4"/>
    <s v="Retail"/>
    <n v="22"/>
    <x v="2"/>
  </r>
  <r>
    <s v="ORD-01234"/>
    <x v="247"/>
    <s v="CUST-0201"/>
    <s v="PROD-038"/>
    <x v="22"/>
    <n v="8"/>
    <n v="5490"/>
    <n v="23.2"/>
    <n v="33730.559999999998"/>
    <s v="Completed"/>
    <s v="Hyderabad"/>
    <x v="3"/>
    <s v="Retail"/>
    <n v="31"/>
    <x v="1"/>
  </r>
  <r>
    <s v="ORD-01235"/>
    <x v="185"/>
    <s v="CUST-0146"/>
    <s v="PROD-044"/>
    <x v="4"/>
    <n v="6"/>
    <n v="1650"/>
    <n v="16.8"/>
    <n v="8236.7999999999993"/>
    <s v="Completed"/>
    <s v="Hyderabad"/>
    <x v="5"/>
    <s v="Retail"/>
    <n v="22"/>
    <x v="0"/>
  </r>
  <r>
    <s v="ORD-01236"/>
    <x v="151"/>
    <s v="CUST-0199"/>
    <s v="PROD-045"/>
    <x v="26"/>
    <n v="3"/>
    <n v="3020"/>
    <n v="14.5"/>
    <n v="7746.3"/>
    <s v="Completed"/>
    <s v="Hyderabad"/>
    <x v="5"/>
    <s v="SMB"/>
    <n v="31"/>
    <x v="3"/>
  </r>
  <r>
    <s v="ORD-01237"/>
    <x v="334"/>
    <s v="CUST-0099"/>
    <s v="PROD-041"/>
    <x v="11"/>
    <n v="5"/>
    <n v="1540"/>
    <n v="27.2"/>
    <n v="5605.6"/>
    <s v="Completed"/>
    <s v="Bengaluru"/>
    <x v="5"/>
    <s v="SMB"/>
    <n v="54"/>
    <x v="0"/>
  </r>
  <r>
    <s v="ORD-00372"/>
    <x v="246"/>
    <s v="CUST-0094"/>
    <s v="PROD-056"/>
    <x v="12"/>
    <n v="4"/>
    <n v="6940"/>
    <n v="3.2"/>
    <n v="26871.68"/>
    <s v="Completed"/>
    <s v="Pune"/>
    <x v="1"/>
    <s v="SMB"/>
    <n v="60"/>
    <x v="3"/>
  </r>
  <r>
    <s v="ORD-01239"/>
    <x v="25"/>
    <s v="CUST-0275"/>
    <s v="PROD-048"/>
    <x v="21"/>
    <n v="2"/>
    <n v="5100"/>
    <n v="18.100000000000001"/>
    <n v="8353.7999999999993"/>
    <s v="Completed"/>
    <s v="Mumbai"/>
    <x v="5"/>
    <s v="Retail"/>
    <n v="36"/>
    <x v="3"/>
  </r>
  <r>
    <s v="ORD-01240"/>
    <x v="189"/>
    <s v="CUST-0230"/>
    <s v="PROD-001"/>
    <x v="29"/>
    <n v="6"/>
    <n v="5330"/>
    <n v="0.3"/>
    <n v="31884.06"/>
    <s v="Pending"/>
    <s v="Pune"/>
    <x v="4"/>
    <s v="Corporate"/>
    <n v="33"/>
    <x v="1"/>
  </r>
  <r>
    <s v="ORD-01241"/>
    <x v="121"/>
    <s v="CUST-0227"/>
    <s v="PROD-057"/>
    <x v="20"/>
    <n v="5"/>
    <n v="960"/>
    <n v="16.600000000000001"/>
    <n v="4003.2"/>
    <s v="Completed"/>
    <s v="Bengaluru"/>
    <x v="1"/>
    <s v="SMB"/>
    <n v="44"/>
    <x v="2"/>
  </r>
  <r>
    <s v="ORD-01365"/>
    <x v="214"/>
    <s v="CUST-0200"/>
    <s v="PROD-014"/>
    <x v="24"/>
    <n v="7"/>
    <n v="3620"/>
    <n v="5.4"/>
    <n v="23971.64"/>
    <s v="Completed"/>
    <s v="Hyderabad"/>
    <x v="0"/>
    <s v="Corporate"/>
    <n v="46"/>
    <x v="3"/>
  </r>
  <r>
    <s v="ORD-01243"/>
    <x v="213"/>
    <s v="CUST-0268"/>
    <s v="PROD-002"/>
    <x v="3"/>
    <n v="6"/>
    <n v="2600"/>
    <n v="25.9"/>
    <n v="11559.6"/>
    <s v="Completed"/>
    <s v="Chennai"/>
    <x v="4"/>
    <s v="Retail"/>
    <n v="35"/>
    <x v="0"/>
  </r>
  <r>
    <s v="ORD-01244"/>
    <x v="129"/>
    <s v="CUST-0163"/>
    <s v="PROD-008"/>
    <x v="22"/>
    <n v="7"/>
    <n v="2660"/>
    <n v="20.2"/>
    <n v="14858.76"/>
    <s v="Completed"/>
    <s v="Pune"/>
    <x v="4"/>
    <s v="Retail"/>
    <n v="49"/>
    <x v="1"/>
  </r>
  <r>
    <s v="ORD-01245"/>
    <x v="22"/>
    <s v="CUST-0233"/>
    <s v="PROD-019"/>
    <x v="24"/>
    <n v="9"/>
    <n v="2480"/>
    <n v="14.7"/>
    <n v="19038.96"/>
    <s v="Completed"/>
    <s v="Mumbai"/>
    <x v="0"/>
    <s v="SMB"/>
    <n v="65"/>
    <x v="3"/>
  </r>
  <r>
    <s v="ORD-01246"/>
    <x v="296"/>
    <s v="CUST-0181"/>
    <s v="PROD-008"/>
    <x v="15"/>
    <n v="4"/>
    <n v="2660"/>
    <n v="8.9"/>
    <n v="9693.0400000000009"/>
    <s v="Completed"/>
    <s v="Delhi"/>
    <x v="4"/>
    <s v="SMB"/>
    <n v="38"/>
    <x v="1"/>
  </r>
  <r>
    <s v="ORD-01247"/>
    <x v="326"/>
    <s v="CUST-0254"/>
    <s v="PROD-001"/>
    <x v="9"/>
    <n v="1"/>
    <n v="5330"/>
    <n v="26.8"/>
    <n v="3901.56"/>
    <s v="Completed"/>
    <s v="Bengaluru"/>
    <x v="4"/>
    <s v="Retail"/>
    <n v="35"/>
    <x v="1"/>
  </r>
  <r>
    <s v="ORD-01248"/>
    <x v="227"/>
    <s v="CUST-0116"/>
    <s v="PROD-051"/>
    <x v="28"/>
    <n v="6"/>
    <n v="3450"/>
    <n v="19.2"/>
    <n v="16725.599999999999"/>
    <s v="Pending"/>
    <s v="Bengaluru"/>
    <x v="1"/>
    <s v="Retail"/>
    <n v="53"/>
    <x v="2"/>
  </r>
  <r>
    <s v="ORD-01249"/>
    <x v="323"/>
    <s v="CUST-0259"/>
    <s v="PROD-060"/>
    <x v="5"/>
    <n v="10"/>
    <n v="190"/>
    <n v="18.100000000000001"/>
    <n v="1556.1"/>
    <s v="Completed"/>
    <s v="Mumbai"/>
    <x v="1"/>
    <s v="Retail"/>
    <n v="34"/>
    <x v="2"/>
  </r>
  <r>
    <s v="ORD-01250"/>
    <x v="241"/>
    <s v="CUST-0198"/>
    <s v="PROD-006"/>
    <x v="18"/>
    <n v="9"/>
    <n v="3970"/>
    <n v="18.2"/>
    <n v="29227.14"/>
    <s v="Pending"/>
    <s v="Chennai"/>
    <x v="4"/>
    <s v="Corporate"/>
    <n v="22"/>
    <x v="1"/>
  </r>
  <r>
    <s v="ORD-01251"/>
    <x v="280"/>
    <s v="CUST-0204"/>
    <s v="PROD-039"/>
    <x v="25"/>
    <n v="4"/>
    <n v="4610"/>
    <n v="15.1"/>
    <n v="15655.56"/>
    <s v="Cancelled"/>
    <s v="Hyderabad"/>
    <x v="3"/>
    <s v="Retail"/>
    <n v="60"/>
    <x v="0"/>
  </r>
  <r>
    <s v="ORD-01252"/>
    <x v="233"/>
    <s v="CUST-0216"/>
    <s v="PROD-016"/>
    <x v="5"/>
    <n v="2"/>
    <n v="620"/>
    <n v="3.3"/>
    <n v="1199.08"/>
    <s v="Completed"/>
    <s v="Mumbai"/>
    <x v="0"/>
    <s v="Retail"/>
    <n v="50"/>
    <x v="2"/>
  </r>
  <r>
    <s v="ORD-01253"/>
    <x v="214"/>
    <s v="CUST-0030"/>
    <s v="PROD-041"/>
    <x v="5"/>
    <n v="7"/>
    <n v="1540"/>
    <n v="27.5"/>
    <n v="7815.5"/>
    <s v="Completed"/>
    <s v="Bengaluru"/>
    <x v="5"/>
    <s v="Corporate"/>
    <n v="43"/>
    <x v="2"/>
  </r>
  <r>
    <s v="ORD-01254"/>
    <x v="178"/>
    <s v="CUST-0019"/>
    <s v="PROD-053"/>
    <x v="21"/>
    <n v="10"/>
    <n v="470"/>
    <n v="3.9"/>
    <n v="4516.7"/>
    <s v="Completed"/>
    <s v="Chennai"/>
    <x v="1"/>
    <s v="Retail"/>
    <n v="22"/>
    <x v="3"/>
  </r>
  <r>
    <s v="ORD-01255"/>
    <x v="348"/>
    <s v="CUST-0034"/>
    <s v="PROD-046"/>
    <x v="25"/>
    <n v="5"/>
    <n v="4880"/>
    <n v="27.4"/>
    <n v="17714.400000000001"/>
    <s v="Completed"/>
    <s v="Delhi"/>
    <x v="5"/>
    <s v="Retail"/>
    <n v="47"/>
    <x v="0"/>
  </r>
  <r>
    <s v="ORD-01256"/>
    <x v="289"/>
    <s v="CUST-0063"/>
    <s v="PROD-052"/>
    <x v="20"/>
    <n v="1"/>
    <n v="5410"/>
    <n v="8.3000000000000007"/>
    <n v="4960.97"/>
    <s v="Completed"/>
    <s v="Mumbai"/>
    <x v="1"/>
    <s v="SMB"/>
    <n v="53"/>
    <x v="2"/>
  </r>
  <r>
    <s v="ORD-01257"/>
    <x v="337"/>
    <s v="CUST-0203"/>
    <s v="PROD-004"/>
    <x v="24"/>
    <n v="8"/>
    <n v="3870"/>
    <n v="9.3000000000000007"/>
    <n v="28080.720000000001"/>
    <s v="Pending"/>
    <s v="Chennai"/>
    <x v="4"/>
    <s v="SMB"/>
    <n v="55"/>
    <x v="3"/>
  </r>
  <r>
    <s v="ORD-01258"/>
    <x v="136"/>
    <s v="CUST-0016"/>
    <s v="PROD-010"/>
    <x v="21"/>
    <n v="10"/>
    <n v="2640"/>
    <n v="19.899999999999999"/>
    <n v="21146.400000000001"/>
    <s v="Completed"/>
    <s v="Delhi"/>
    <x v="4"/>
    <s v="SMB"/>
    <n v="26"/>
    <x v="3"/>
  </r>
  <r>
    <s v="ORD-01259"/>
    <x v="118"/>
    <s v="CUST-0198"/>
    <s v="PROD-034"/>
    <x v="0"/>
    <n v="1"/>
    <n v="5080"/>
    <n v="8.6"/>
    <n v="4643.12"/>
    <s v="Completed"/>
    <s v="Chennai"/>
    <x v="3"/>
    <s v="Corporate"/>
    <n v="22"/>
    <x v="0"/>
  </r>
  <r>
    <s v="ORD-01260"/>
    <x v="342"/>
    <s v="CUST-0212"/>
    <s v="PROD-036"/>
    <x v="26"/>
    <n v="9"/>
    <n v="3250"/>
    <n v="18.2"/>
    <n v="23926.5"/>
    <s v="Pending"/>
    <s v="Chennai"/>
    <x v="3"/>
    <s v="SMB"/>
    <n v="46"/>
    <x v="3"/>
  </r>
  <r>
    <s v="ORD-01261"/>
    <x v="84"/>
    <s v="CUST-0265"/>
    <s v="PROD-006"/>
    <x v="25"/>
    <n v="8"/>
    <n v="3970"/>
    <n v="22.4"/>
    <n v="24645.759999999998"/>
    <s v="Completed"/>
    <s v="Chennai"/>
    <x v="4"/>
    <s v="Retail"/>
    <n v="49"/>
    <x v="0"/>
  </r>
  <r>
    <s v="ORD-01262"/>
    <x v="192"/>
    <s v="CUST-0165"/>
    <s v="PROD-037"/>
    <x v="21"/>
    <n v="3"/>
    <n v="660"/>
    <n v="3.1"/>
    <n v="1918.62"/>
    <s v="Completed"/>
    <s v="Pune"/>
    <x v="3"/>
    <s v="Retail"/>
    <n v="29"/>
    <x v="3"/>
  </r>
  <r>
    <s v="ORD-01263"/>
    <x v="298"/>
    <s v="CUST-0109"/>
    <s v="PROD-002"/>
    <x v="24"/>
    <n v="7"/>
    <n v="2600"/>
    <n v="15.4"/>
    <n v="15397.2"/>
    <s v="Completed"/>
    <s v="Pune"/>
    <x v="4"/>
    <s v="Retail"/>
    <n v="42"/>
    <x v="3"/>
  </r>
  <r>
    <s v="ORD-01264"/>
    <x v="45"/>
    <s v="CUST-0155"/>
    <s v="PROD-037"/>
    <x v="15"/>
    <n v="9"/>
    <n v="660"/>
    <n v="23.7"/>
    <n v="4532.22"/>
    <s v="Completed"/>
    <s v="Pune"/>
    <x v="3"/>
    <s v="Corporate"/>
    <n v="40"/>
    <x v="1"/>
  </r>
  <r>
    <s v="ORD-01265"/>
    <x v="183"/>
    <s v="CUST-0194"/>
    <s v="PROD-023"/>
    <x v="13"/>
    <n v="3"/>
    <n v="2380"/>
    <n v="19.5"/>
    <n v="5747.7"/>
    <s v="Cancelled"/>
    <s v="Delhi"/>
    <x v="2"/>
    <s v="SMB"/>
    <n v="55"/>
    <x v="3"/>
  </r>
  <r>
    <s v="ORD-01266"/>
    <x v="207"/>
    <s v="CUST-0084"/>
    <s v="PROD-044"/>
    <x v="9"/>
    <n v="9"/>
    <n v="1650"/>
    <n v="2.5"/>
    <n v="14478.75"/>
    <s v="Completed"/>
    <s v="Chennai"/>
    <x v="5"/>
    <s v="Retail"/>
    <n v="28"/>
    <x v="1"/>
  </r>
  <r>
    <s v="ORD-01267"/>
    <x v="181"/>
    <s v="CUST-9684"/>
    <s v="PROD-010"/>
    <x v="3"/>
    <n v="8"/>
    <n v="2640"/>
    <n v="24.4"/>
    <n v="15966.72"/>
    <s v="Completed"/>
    <s v="Mumbai"/>
    <x v="4"/>
    <s v=""/>
    <s v=""/>
    <x v="0"/>
  </r>
  <r>
    <s v="ORD-01268"/>
    <x v="43"/>
    <s v="CUST-0218"/>
    <s v="PROD-023"/>
    <x v="22"/>
    <n v="8"/>
    <n v="2380"/>
    <n v="24.2"/>
    <n v="14432.32"/>
    <s v="Completed"/>
    <s v="Mumbai"/>
    <x v="2"/>
    <s v="Retail"/>
    <n v="39"/>
    <x v="1"/>
  </r>
  <r>
    <s v="ORD-01269"/>
    <x v="41"/>
    <s v="CUST-0194"/>
    <s v="PROD-029"/>
    <x v="0"/>
    <n v="10"/>
    <n v="2210"/>
    <n v="3.6"/>
    <n v="21304.400000000001"/>
    <s v="Completed"/>
    <s v="Delhi"/>
    <x v="2"/>
    <s v="SMB"/>
    <n v="55"/>
    <x v="0"/>
  </r>
  <r>
    <s v="ORD-01270"/>
    <x v="139"/>
    <s v="CUST-0037"/>
    <s v="PROD-050"/>
    <x v="26"/>
    <n v="9"/>
    <n v="6080"/>
    <n v="17.2"/>
    <n v="45308.160000000003"/>
    <s v="Pending"/>
    <s v="Bengaluru"/>
    <x v="5"/>
    <s v="Retail"/>
    <n v="52"/>
    <x v="3"/>
  </r>
  <r>
    <s v="ORD-01271"/>
    <x v="10"/>
    <s v="CUST-0245"/>
    <s v="PROD-054"/>
    <x v="24"/>
    <n v="8"/>
    <n v="1010"/>
    <n v="12.3"/>
    <n v="7086.16"/>
    <s v="Completed"/>
    <s v="Hyderabad"/>
    <x v="1"/>
    <s v="Retail"/>
    <n v="65"/>
    <x v="3"/>
  </r>
  <r>
    <s v="ORD-01272"/>
    <x v="329"/>
    <s v="CUST-0266"/>
    <s v="PROD-028"/>
    <x v="23"/>
    <n v="8"/>
    <n v="3660"/>
    <n v="8.4"/>
    <n v="26820.48"/>
    <s v="Completed"/>
    <s v="Pune"/>
    <x v="2"/>
    <s v="Retail"/>
    <n v="65"/>
    <x v="1"/>
  </r>
  <r>
    <s v="ORD-01273"/>
    <x v="68"/>
    <s v="CUST-0058"/>
    <s v="PROD-039"/>
    <x v="20"/>
    <n v="8"/>
    <n v="4610"/>
    <n v="15.4"/>
    <n v="31200.48"/>
    <s v="Cancelled"/>
    <s v="Bengaluru"/>
    <x v="3"/>
    <s v="SMB"/>
    <n v="49"/>
    <x v="2"/>
  </r>
  <r>
    <s v="ORD-01274"/>
    <x v="283"/>
    <s v="CUST-0058"/>
    <s v="PROD-048"/>
    <x v="3"/>
    <n v="9"/>
    <n v="5100"/>
    <n v="25.2"/>
    <n v="34333.199999999997"/>
    <s v="Cancelled"/>
    <s v="Bengaluru"/>
    <x v="5"/>
    <s v="SMB"/>
    <n v="49"/>
    <x v="0"/>
  </r>
  <r>
    <s v="ORD-01275"/>
    <x v="312"/>
    <s v="CUST-0028"/>
    <s v="PROD-045"/>
    <x v="7"/>
    <n v="5"/>
    <n v="3020"/>
    <n v="23"/>
    <n v="11627"/>
    <s v="Completed"/>
    <s v="Bengaluru"/>
    <x v="5"/>
    <s v="Retail"/>
    <n v="59"/>
    <x v="3"/>
  </r>
  <r>
    <s v="ORD-01276"/>
    <x v="3"/>
    <s v="CUST-0262"/>
    <s v="PROD-059"/>
    <x v="15"/>
    <n v="8"/>
    <n v="3780"/>
    <n v="17.100000000000001"/>
    <n v="25068.959999999999"/>
    <s v="Completed"/>
    <s v="Mumbai"/>
    <x v="1"/>
    <s v="Retail"/>
    <n v="52"/>
    <x v="1"/>
  </r>
  <r>
    <s v="ORD-01277"/>
    <x v="352"/>
    <s v="CUST-0241"/>
    <s v="PROD-029"/>
    <x v="19"/>
    <n v="10"/>
    <n v="2210"/>
    <n v="8.5"/>
    <n v="20221.5"/>
    <s v="Completed"/>
    <s v="Pune"/>
    <x v="2"/>
    <s v="Corporate"/>
    <n v="47"/>
    <x v="0"/>
  </r>
  <r>
    <s v="ORD-01278"/>
    <x v="117"/>
    <s v="CUST-0109"/>
    <s v="PROD-029"/>
    <x v="15"/>
    <n v="4"/>
    <n v="2210"/>
    <n v="3.1"/>
    <n v="8565.9599999999991"/>
    <s v="Completed"/>
    <s v="Pune"/>
    <x v="2"/>
    <s v="Retail"/>
    <n v="42"/>
    <x v="1"/>
  </r>
  <r>
    <s v="ORD-01279"/>
    <x v="326"/>
    <s v="CUST-0228"/>
    <s v="PROD-044"/>
    <x v="15"/>
    <n v="1"/>
    <n v="1650"/>
    <n v="10"/>
    <n v="1485"/>
    <s v="Completed"/>
    <s v="Pune"/>
    <x v="5"/>
    <s v="Corporate"/>
    <n v="37"/>
    <x v="1"/>
  </r>
  <r>
    <s v="ORD-01280"/>
    <x v="100"/>
    <s v="CUST-0239"/>
    <s v="PROD-060"/>
    <x v="1"/>
    <n v="6"/>
    <n v="190"/>
    <n v="3.5"/>
    <n v="1100.0999999999999"/>
    <s v="Cancelled"/>
    <s v="Mumbai"/>
    <x v="1"/>
    <s v="Retail"/>
    <n v="61"/>
    <x v="0"/>
  </r>
  <r>
    <s v="ORD-01281"/>
    <x v="55"/>
    <s v="CUST-0092"/>
    <s v="PROD-055"/>
    <x v="28"/>
    <n v="8"/>
    <n v="2860"/>
    <n v="14.7"/>
    <n v="19516.64"/>
    <s v="Completed"/>
    <s v="Bengaluru"/>
    <x v="1"/>
    <s v="SMB"/>
    <n v="28"/>
    <x v="2"/>
  </r>
  <r>
    <s v="ORD-01282"/>
    <x v="120"/>
    <s v="CUST-0283"/>
    <s v="PROD-005"/>
    <x v="14"/>
    <n v="9"/>
    <n v="300"/>
    <n v="19.5"/>
    <n v="2173.5"/>
    <s v="Completed"/>
    <s v="Delhi"/>
    <x v="4"/>
    <s v="SMB"/>
    <n v="50"/>
    <x v="2"/>
  </r>
  <r>
    <s v="ORD-01283"/>
    <x v="170"/>
    <s v="CUST-0206"/>
    <s v="PROD-049"/>
    <x v="0"/>
    <n v="10"/>
    <n v="960"/>
    <n v="9.6999999999999993"/>
    <n v="8668.7999999999993"/>
    <s v="Completed"/>
    <s v="Mumbai"/>
    <x v="5"/>
    <s v="Retail"/>
    <n v="40"/>
    <x v="0"/>
  </r>
  <r>
    <s v="ORD-01284"/>
    <x v="292"/>
    <s v="CUST-0174"/>
    <s v="PROD-020"/>
    <x v="22"/>
    <n v="5"/>
    <n v="820"/>
    <n v="0.5"/>
    <n v="4079.5"/>
    <s v="Completed"/>
    <s v="Pune"/>
    <x v="0"/>
    <s v="Retail"/>
    <n v="54"/>
    <x v="1"/>
  </r>
  <r>
    <s v="ORD-01285"/>
    <x v="266"/>
    <s v="CUST-0040"/>
    <s v="PROD-032"/>
    <x v="10"/>
    <n v="2"/>
    <n v="370"/>
    <n v="10.5"/>
    <n v="662.3"/>
    <s v="Pending"/>
    <s v="Chennai"/>
    <x v="3"/>
    <s v="Retail"/>
    <n v="28"/>
    <x v="0"/>
  </r>
  <r>
    <s v="ORD-01286"/>
    <x v="99"/>
    <s v="CUST-0153"/>
    <s v="PROD-038"/>
    <x v="12"/>
    <n v="9"/>
    <n v="5490"/>
    <n v="14.2"/>
    <n v="42393.78"/>
    <s v="Cancelled"/>
    <s v="Mumbai"/>
    <x v="3"/>
    <s v="Retail"/>
    <n v="35"/>
    <x v="3"/>
  </r>
  <r>
    <s v="ORD-01287"/>
    <x v="62"/>
    <s v="CUST-0236"/>
    <s v="PROD-032"/>
    <x v="26"/>
    <n v="3"/>
    <n v="370"/>
    <n v="18.399999999999999"/>
    <n v="905.76"/>
    <s v="Completed"/>
    <s v="Hyderabad"/>
    <x v="3"/>
    <s v="SMB"/>
    <n v="28"/>
    <x v="3"/>
  </r>
  <r>
    <s v="ORD-01288"/>
    <x v="241"/>
    <s v="CUST-0295"/>
    <s v="PROD-060"/>
    <x v="26"/>
    <n v="6"/>
    <n v="190"/>
    <n v="12.9"/>
    <n v="992.94"/>
    <s v="Completed"/>
    <s v="Delhi"/>
    <x v="1"/>
    <s v="SMB"/>
    <n v="48"/>
    <x v="3"/>
  </r>
  <r>
    <s v="ORD-01289"/>
    <x v="245"/>
    <s v="CUST-0145"/>
    <s v="PROD-029"/>
    <x v="12"/>
    <n v="8"/>
    <n v="2210"/>
    <n v="9.8000000000000007"/>
    <n v="15947.36"/>
    <s v="Completed"/>
    <s v="Bengaluru"/>
    <x v="2"/>
    <s v="SMB"/>
    <n v="44"/>
    <x v="3"/>
  </r>
  <r>
    <s v="ORD-01290"/>
    <x v="99"/>
    <s v="CUST-0192"/>
    <s v="PROD-044"/>
    <x v="18"/>
    <n v="7"/>
    <n v="1650"/>
    <n v="8.4"/>
    <n v="10579.8"/>
    <s v="Completed"/>
    <s v="Bengaluru"/>
    <x v="5"/>
    <s v="Retail"/>
    <n v="55"/>
    <x v="1"/>
  </r>
  <r>
    <s v="ORD-01291"/>
    <x v="353"/>
    <s v="CUST-0148"/>
    <s v="PROD-037"/>
    <x v="22"/>
    <n v="8"/>
    <n v="660"/>
    <n v="7.5"/>
    <n v="4884"/>
    <s v="Completed"/>
    <s v="Chennai"/>
    <x v="3"/>
    <s v="Retail"/>
    <n v="32"/>
    <x v="1"/>
  </r>
  <r>
    <s v="ORD-01292"/>
    <x v="128"/>
    <s v="CUST-0227"/>
    <s v="PROD-039"/>
    <x v="10"/>
    <n v="3"/>
    <n v="4610"/>
    <n v="29.6"/>
    <n v="9736.32"/>
    <s v="Completed"/>
    <s v="Bengaluru"/>
    <x v="3"/>
    <s v="SMB"/>
    <n v="44"/>
    <x v="0"/>
  </r>
  <r>
    <s v="ORD-01293"/>
    <x v="354"/>
    <s v="CUST-0170"/>
    <s v="PROD-029"/>
    <x v="5"/>
    <n v="6"/>
    <n v="2210"/>
    <n v="9.5"/>
    <n v="12000.3"/>
    <s v="Completed"/>
    <s v="Mumbai"/>
    <x v="2"/>
    <s v="SMB"/>
    <n v="22"/>
    <x v="2"/>
  </r>
  <r>
    <s v="ORD-01294"/>
    <x v="80"/>
    <s v="CUST-0102"/>
    <s v="PROD-042"/>
    <x v="21"/>
    <n v="4"/>
    <n v="2290"/>
    <n v="3.3"/>
    <n v="8857.7199999999993"/>
    <s v="Completed"/>
    <s v="Chennai"/>
    <x v="5"/>
    <s v="SMB"/>
    <n v="62"/>
    <x v="3"/>
  </r>
  <r>
    <s v="ORD-01295"/>
    <x v="264"/>
    <s v="CUST-0071"/>
    <s v="PROD-040"/>
    <x v="17"/>
    <n v="5"/>
    <n v="1080"/>
    <n v="26.1"/>
    <n v="3990.6"/>
    <s v="Completed"/>
    <s v="Delhi"/>
    <x v="3"/>
    <s v="Corporate"/>
    <n v="46"/>
    <x v="2"/>
  </r>
  <r>
    <s v="ORD-01296"/>
    <x v="42"/>
    <s v="CUST-0080"/>
    <s v="PROD-057"/>
    <x v="9"/>
    <n v="7"/>
    <n v="960"/>
    <n v="17.7"/>
    <n v="5530.56"/>
    <s v="Completed"/>
    <s v="Pune"/>
    <x v="1"/>
    <s v="SMB"/>
    <n v="30"/>
    <x v="1"/>
  </r>
  <r>
    <s v="ORD-01297"/>
    <x v="338"/>
    <s v="CUST-0272"/>
    <s v="PROD-058"/>
    <x v="4"/>
    <n v="1"/>
    <n v="2400"/>
    <n v="29.9"/>
    <n v="1682.4"/>
    <s v="Completed"/>
    <s v="Mumbai"/>
    <x v="1"/>
    <s v="SMB"/>
    <n v="47"/>
    <x v="0"/>
  </r>
  <r>
    <s v="ORD-01298"/>
    <x v="184"/>
    <s v="CUST-0076"/>
    <s v="PROD-042"/>
    <x v="9"/>
    <n v="9"/>
    <n v="2290"/>
    <n v="28.8"/>
    <n v="14674.32"/>
    <s v="Completed"/>
    <s v="Mumbai"/>
    <x v="5"/>
    <s v="Retail"/>
    <n v="38"/>
    <x v="1"/>
  </r>
  <r>
    <s v="ORD-01299"/>
    <x v="137"/>
    <s v="CUST-0222"/>
    <s v="PROD-040"/>
    <x v="26"/>
    <n v="9"/>
    <n v="1080"/>
    <n v="10.3"/>
    <n v="8718.84"/>
    <s v="Completed"/>
    <s v="Chennai"/>
    <x v="3"/>
    <s v="Retail"/>
    <n v="37"/>
    <x v="3"/>
  </r>
  <r>
    <s v="ORD-01300"/>
    <x v="121"/>
    <s v="CUST-0091"/>
    <s v="PROD-035"/>
    <x v="10"/>
    <n v="1"/>
    <n v="1090"/>
    <n v="5.8"/>
    <n v="1026.78"/>
    <s v="Cancelled"/>
    <s v="Delhi"/>
    <x v="3"/>
    <s v="Retail"/>
    <n v="55"/>
    <x v="0"/>
  </r>
  <r>
    <s v="ORD-01301"/>
    <x v="9"/>
    <s v="CUST-0126"/>
    <s v="PROD-029"/>
    <x v="26"/>
    <n v="3"/>
    <n v="2210"/>
    <n v="18.2"/>
    <n v="5423.34"/>
    <s v="Pending"/>
    <s v="Mumbai"/>
    <x v="2"/>
    <s v="Retail"/>
    <n v="37"/>
    <x v="3"/>
  </r>
  <r>
    <s v="ORD-01302"/>
    <x v="276"/>
    <s v="CUST-0241"/>
    <s v="PROD-014"/>
    <x v="15"/>
    <n v="8"/>
    <n v="3620"/>
    <n v="1.4"/>
    <n v="28554.560000000001"/>
    <s v="Completed"/>
    <s v="Pune"/>
    <x v="0"/>
    <s v="Corporate"/>
    <n v="47"/>
    <x v="1"/>
  </r>
  <r>
    <s v="ORD-01303"/>
    <x v="107"/>
    <s v="CUST-0118"/>
    <s v="PROD-033"/>
    <x v="23"/>
    <n v="7"/>
    <n v="2030"/>
    <n v="27.7"/>
    <n v="10273.83"/>
    <s v="Completed"/>
    <s v="Hyderabad"/>
    <x v="3"/>
    <s v="Retail"/>
    <n v="26"/>
    <x v="1"/>
  </r>
  <r>
    <s v="ORD-01304"/>
    <x v="309"/>
    <s v="CUST-0090"/>
    <s v="PROD-004"/>
    <x v="12"/>
    <n v="1"/>
    <n v="3870"/>
    <n v="29.6"/>
    <n v="2724.48"/>
    <s v="Completed"/>
    <s v="Bengaluru"/>
    <x v="4"/>
    <s v="Corporate"/>
    <n v="26"/>
    <x v="3"/>
  </r>
  <r>
    <s v="ORD-01305"/>
    <x v="258"/>
    <s v="CUST-0037"/>
    <s v="PROD-003"/>
    <x v="2"/>
    <n v="5"/>
    <n v="3570"/>
    <n v="11.8"/>
    <n v="15743.7"/>
    <s v="Refunded"/>
    <s v="Bengaluru"/>
    <x v="4"/>
    <s v="Retail"/>
    <n v="52"/>
    <x v="1"/>
  </r>
  <r>
    <s v="ORD-01306"/>
    <x v="181"/>
    <s v="CUST-0083"/>
    <s v="PROD-001"/>
    <x v="7"/>
    <n v="7"/>
    <n v="5330"/>
    <n v="8.1999999999999993"/>
    <n v="34250.58"/>
    <s v="Completed"/>
    <s v="Bengaluru"/>
    <x v="4"/>
    <s v="Corporate"/>
    <n v="31"/>
    <x v="3"/>
  </r>
  <r>
    <s v="ORD-01307"/>
    <x v="148"/>
    <s v="CUST-0154"/>
    <s v="PROD-009"/>
    <x v="18"/>
    <n v="5"/>
    <n v="1220"/>
    <n v="17.8"/>
    <n v="5014.2"/>
    <s v="Refunded"/>
    <s v="Pune"/>
    <x v="4"/>
    <s v="Retail"/>
    <n v="36"/>
    <x v="1"/>
  </r>
  <r>
    <s v="ORD-01308"/>
    <x v="78"/>
    <s v="CUST-0265"/>
    <s v="PROD-011"/>
    <x v="7"/>
    <n v="7"/>
    <n v="3450"/>
    <n v="29.3"/>
    <n v="17074.05"/>
    <s v="Completed"/>
    <s v="Chennai"/>
    <x v="0"/>
    <s v="Retail"/>
    <n v="49"/>
    <x v="3"/>
  </r>
  <r>
    <s v="ORD-01309"/>
    <x v="152"/>
    <s v="CUST-0115"/>
    <s v="PROD-018"/>
    <x v="22"/>
    <n v="6"/>
    <n v="3560"/>
    <n v="9.4"/>
    <n v="19352.16"/>
    <s v="Pending"/>
    <s v="Mumbai"/>
    <x v="0"/>
    <s v="SMB"/>
    <n v="65"/>
    <x v="1"/>
  </r>
  <r>
    <s v="ORD-01310"/>
    <x v="217"/>
    <s v="CUST-0274"/>
    <s v="PROD-032"/>
    <x v="1"/>
    <n v="4"/>
    <n v="370"/>
    <n v="4.9000000000000004"/>
    <n v="1407.48"/>
    <s v="Completed"/>
    <s v="Bengaluru"/>
    <x v="3"/>
    <s v="Corporate"/>
    <n v="36"/>
    <x v="0"/>
  </r>
  <r>
    <s v="ORD-01311"/>
    <x v="262"/>
    <s v="CUST-0269"/>
    <s v="PROD-009"/>
    <x v="11"/>
    <n v="1"/>
    <n v="1220"/>
    <n v="15.2"/>
    <n v="1034.56"/>
    <s v="Completed"/>
    <s v="Pune"/>
    <x v="4"/>
    <s v="Retail"/>
    <n v="48"/>
    <x v="0"/>
  </r>
  <r>
    <s v="ORD-01312"/>
    <x v="12"/>
    <s v="CUST-0045"/>
    <s v="PROD-013"/>
    <x v="3"/>
    <n v="3"/>
    <n v="3640"/>
    <n v="12.3"/>
    <n v="9576.84"/>
    <s v="Pending"/>
    <s v="Chennai"/>
    <x v="0"/>
    <s v="SMB"/>
    <n v="39"/>
    <x v="0"/>
  </r>
  <r>
    <s v="ORD-01313"/>
    <x v="115"/>
    <s v="CUST-0054"/>
    <s v="PROD-045"/>
    <x v="9"/>
    <n v="8"/>
    <n v="3020"/>
    <n v="28.2"/>
    <n v="17346.88"/>
    <s v="Pending"/>
    <s v="Mumbai"/>
    <x v="5"/>
    <s v="Corporate"/>
    <n v="62"/>
    <x v="1"/>
  </r>
  <r>
    <s v="ORD-01314"/>
    <x v="277"/>
    <s v="CUST-0160"/>
    <s v="PROD-048"/>
    <x v="4"/>
    <n v="3"/>
    <n v="5100"/>
    <n v="7.8"/>
    <n v="14106.6"/>
    <s v="Completed"/>
    <s v="Hyderabad"/>
    <x v="5"/>
    <s v="Retail"/>
    <n v="27"/>
    <x v="0"/>
  </r>
  <r>
    <s v="ORD-01315"/>
    <x v="192"/>
    <s v="CUST-0163"/>
    <s v="PROD-005"/>
    <x v="19"/>
    <n v="9"/>
    <n v="300"/>
    <n v="19"/>
    <n v="2187"/>
    <s v="Completed"/>
    <s v="Pune"/>
    <x v="4"/>
    <s v="Retail"/>
    <n v="49"/>
    <x v="0"/>
  </r>
  <r>
    <s v="ORD-01316"/>
    <x v="287"/>
    <s v="CUST-0006"/>
    <s v="PROD-042"/>
    <x v="0"/>
    <n v="10"/>
    <n v="2290"/>
    <n v="27.7"/>
    <n v="16556.7"/>
    <s v="Completed"/>
    <s v="Pune"/>
    <x v="5"/>
    <s v="SMB"/>
    <n v="44"/>
    <x v="0"/>
  </r>
  <r>
    <s v="ORD-01317"/>
    <x v="253"/>
    <s v="CUST-0142"/>
    <s v="PROD-013"/>
    <x v="6"/>
    <n v="9"/>
    <n v="3640"/>
    <n v="20.100000000000001"/>
    <n v="26175.24"/>
    <s v="Completed"/>
    <s v="Chennai"/>
    <x v="0"/>
    <s v="Corporate"/>
    <n v="55"/>
    <x v="2"/>
  </r>
  <r>
    <s v="ORD-01318"/>
    <x v="45"/>
    <s v="CUST-0262"/>
    <s v="PROD-020"/>
    <x v="24"/>
    <n v="4"/>
    <n v="820"/>
    <n v="7.6"/>
    <n v="3030.72"/>
    <s v="Completed"/>
    <s v="Mumbai"/>
    <x v="0"/>
    <s v="Retail"/>
    <n v="52"/>
    <x v="3"/>
  </r>
  <r>
    <s v="ORD-01319"/>
    <x v="68"/>
    <s v="CUST-0049"/>
    <s v="PROD-030"/>
    <x v="2"/>
    <n v="1"/>
    <n v="970"/>
    <n v="1.7"/>
    <n v="953.51"/>
    <s v="Completed"/>
    <s v="Mumbai"/>
    <x v="2"/>
    <s v="Corporate"/>
    <n v="42"/>
    <x v="1"/>
  </r>
  <r>
    <s v="ORD-01320"/>
    <x v="125"/>
    <s v="CUST-0204"/>
    <s v="PROD-018"/>
    <x v="7"/>
    <n v="5"/>
    <n v="3560"/>
    <n v="10.5"/>
    <n v="15931"/>
    <s v="Completed"/>
    <s v="Hyderabad"/>
    <x v="0"/>
    <s v="Retail"/>
    <n v="60"/>
    <x v="3"/>
  </r>
  <r>
    <s v="ORD-01321"/>
    <x v="231"/>
    <s v="CUST-0164"/>
    <s v="PROD-035"/>
    <x v="18"/>
    <n v="6"/>
    <n v="1090"/>
    <n v="2.4"/>
    <n v="6383.04"/>
    <s v="Pending"/>
    <s v="Chennai"/>
    <x v="3"/>
    <s v="Retail"/>
    <n v="60"/>
    <x v="1"/>
  </r>
  <r>
    <s v="ORD-01322"/>
    <x v="141"/>
    <s v="CUST-0003"/>
    <s v="PROD-008"/>
    <x v="21"/>
    <n v="6"/>
    <n v="2660"/>
    <n v="6.4"/>
    <n v="14938.56"/>
    <s v="Completed"/>
    <s v="Mumbai"/>
    <x v="4"/>
    <s v="Retail"/>
    <n v="33"/>
    <x v="3"/>
  </r>
  <r>
    <s v="ORD-01323"/>
    <x v="39"/>
    <s v="CUST-0032"/>
    <s v="PROD-006"/>
    <x v="19"/>
    <n v="5"/>
    <n v="3970"/>
    <n v="18.8"/>
    <n v="16118.2"/>
    <s v="Pending"/>
    <s v="Hyderabad"/>
    <x v="4"/>
    <s v="Retail"/>
    <n v="28"/>
    <x v="0"/>
  </r>
  <r>
    <s v="ORD-01324"/>
    <x v="264"/>
    <s v="CUST-0208"/>
    <s v="PROD-056"/>
    <x v="13"/>
    <n v="7"/>
    <n v="6940"/>
    <n v="23.8"/>
    <n v="37017.96"/>
    <s v="Refunded"/>
    <s v="Mumbai"/>
    <x v="1"/>
    <s v="Retail"/>
    <n v="49"/>
    <x v="3"/>
  </r>
  <r>
    <s v="ORD-01325"/>
    <x v="227"/>
    <s v="CUST-0183"/>
    <s v="PROD-058"/>
    <x v="10"/>
    <n v="3"/>
    <n v="2400"/>
    <n v="9.8000000000000007"/>
    <n v="6494.4"/>
    <s v="Completed"/>
    <s v="Mumbai"/>
    <x v="1"/>
    <s v="SMB"/>
    <n v="27"/>
    <x v="0"/>
  </r>
  <r>
    <s v="ORD-01326"/>
    <x v="183"/>
    <s v="CUST-0021"/>
    <s v="PROD-051"/>
    <x v="12"/>
    <n v="8"/>
    <n v="3450"/>
    <n v="26.6"/>
    <n v="20258.400000000001"/>
    <s v="Cancelled"/>
    <s v="Pune"/>
    <x v="1"/>
    <s v="Retail"/>
    <n v="44"/>
    <x v="3"/>
  </r>
  <r>
    <s v="ORD-01327"/>
    <x v="44"/>
    <s v="CUST-0080"/>
    <s v="PROD-009"/>
    <x v="10"/>
    <n v="4"/>
    <n v="1220"/>
    <n v="5.5"/>
    <n v="4611.6000000000004"/>
    <s v="Completed"/>
    <s v="Pune"/>
    <x v="4"/>
    <s v="SMB"/>
    <n v="30"/>
    <x v="0"/>
  </r>
  <r>
    <s v="ORD-01328"/>
    <x v="355"/>
    <s v="CUST-0286"/>
    <s v="PROD-016"/>
    <x v="0"/>
    <n v="1"/>
    <n v="620"/>
    <n v="22.3"/>
    <n v="481.74"/>
    <s v="Pending"/>
    <s v="Delhi"/>
    <x v="0"/>
    <s v="Retail"/>
    <n v="62"/>
    <x v="0"/>
  </r>
  <r>
    <s v="ORD-01329"/>
    <x v="333"/>
    <s v="CUST-0152"/>
    <s v="PROD-005"/>
    <x v="12"/>
    <n v="1"/>
    <n v="300"/>
    <n v="12.5"/>
    <n v="262.5"/>
    <s v="Completed"/>
    <s v="Bengaluru"/>
    <x v="4"/>
    <s v="SMB"/>
    <n v="64"/>
    <x v="3"/>
  </r>
  <r>
    <s v="ORD-01330"/>
    <x v="349"/>
    <s v="CUST-0254"/>
    <s v="PROD-054"/>
    <x v="16"/>
    <n v="3"/>
    <n v="1010"/>
    <n v="14.1"/>
    <n v="2602.77"/>
    <s v="Completed"/>
    <s v="Bengaluru"/>
    <x v="1"/>
    <s v="Retail"/>
    <n v="35"/>
    <x v="3"/>
  </r>
  <r>
    <s v="ORD-01331"/>
    <x v="77"/>
    <s v="CUST-0290"/>
    <s v="PROD-034"/>
    <x v="28"/>
    <n v="2"/>
    <n v="5080"/>
    <n v="16.8"/>
    <n v="8453.1200000000008"/>
    <s v="Completed"/>
    <s v="Delhi"/>
    <x v="3"/>
    <s v="Retail"/>
    <n v="63"/>
    <x v="2"/>
  </r>
  <r>
    <s v="ORD-01332"/>
    <x v="104"/>
    <s v="CUST-0101"/>
    <s v="PROD-012"/>
    <x v="28"/>
    <n v="2"/>
    <n v="3160"/>
    <n v="21.4"/>
    <n v="4967.5200000000004"/>
    <s v="Completed"/>
    <s v="Hyderabad"/>
    <x v="0"/>
    <s v="SMB"/>
    <n v="40"/>
    <x v="2"/>
  </r>
  <r>
    <s v="ORD-01333"/>
    <x v="275"/>
    <s v="CUST-0058"/>
    <s v="PROD-047"/>
    <x v="29"/>
    <n v="7"/>
    <n v="3450"/>
    <n v="21.3"/>
    <n v="19006.05"/>
    <s v="Completed"/>
    <s v="Bengaluru"/>
    <x v="5"/>
    <s v="SMB"/>
    <n v="49"/>
    <x v="1"/>
  </r>
  <r>
    <s v="ORD-01334"/>
    <x v="94"/>
    <s v="CUST-0296"/>
    <s v="PROD-001"/>
    <x v="3"/>
    <n v="2"/>
    <n v="5330"/>
    <n v="4.3"/>
    <n v="10201.620000000001"/>
    <s v="Completed"/>
    <s v="Delhi"/>
    <x v="4"/>
    <s v="Corporate"/>
    <n v="47"/>
    <x v="0"/>
  </r>
  <r>
    <s v="ORD-01335"/>
    <x v="17"/>
    <s v="CUST-0249"/>
    <s v="PROD-056"/>
    <x v="2"/>
    <n v="5"/>
    <n v="6940"/>
    <n v="2.9"/>
    <n v="33693.699999999997"/>
    <s v="Completed"/>
    <s v="Mumbai"/>
    <x v="1"/>
    <s v="Retail"/>
    <n v="44"/>
    <x v="1"/>
  </r>
  <r>
    <s v="ORD-01336"/>
    <x v="166"/>
    <s v="CUST-0055"/>
    <s v="PROD-037"/>
    <x v="8"/>
    <n v="5"/>
    <n v="660"/>
    <n v="15.8"/>
    <n v="2778.6"/>
    <s v="Completed"/>
    <s v="Bengaluru"/>
    <x v="3"/>
    <s v="Retail"/>
    <n v="34"/>
    <x v="2"/>
  </r>
  <r>
    <s v="ORD-01337"/>
    <x v="281"/>
    <s v="CUST-0005"/>
    <s v="PROD-048"/>
    <x v="22"/>
    <n v="9"/>
    <n v="5100"/>
    <n v="0.4"/>
    <n v="45716.4"/>
    <s v="Completed"/>
    <s v="Chennai"/>
    <x v="5"/>
    <s v="Corporate"/>
    <n v="52"/>
    <x v="1"/>
  </r>
  <r>
    <s v="ORD-01338"/>
    <x v="162"/>
    <s v="CUST-9595"/>
    <s v="PROD-044"/>
    <x v="2"/>
    <n v="5"/>
    <n v="1650"/>
    <n v="0.8"/>
    <n v="8184"/>
    <s v="Pending"/>
    <s v="Chennai"/>
    <x v="5"/>
    <s v=""/>
    <s v=""/>
    <x v="1"/>
  </r>
  <r>
    <s v="ORD-01339"/>
    <x v="286"/>
    <s v="CUST-0138"/>
    <s v="PROD-013"/>
    <x v="26"/>
    <n v="7"/>
    <n v="3640"/>
    <n v="25.5"/>
    <n v="18982.599999999999"/>
    <s v="Completed"/>
    <s v="Chennai"/>
    <x v="0"/>
    <s v="Retail"/>
    <n v="24"/>
    <x v="3"/>
  </r>
  <r>
    <s v="ORD-01340"/>
    <x v="175"/>
    <s v="CUST-0112"/>
    <s v="PROD-046"/>
    <x v="20"/>
    <n v="6"/>
    <n v="4880"/>
    <n v="12.6"/>
    <n v="25590.720000000001"/>
    <s v="Cancelled"/>
    <s v="Hyderabad"/>
    <x v="5"/>
    <s v="Retail"/>
    <n v="64"/>
    <x v="2"/>
  </r>
  <r>
    <s v="ORD-01341"/>
    <x v="124"/>
    <s v="CUST-0254"/>
    <s v="PROD-001"/>
    <x v="8"/>
    <n v="4"/>
    <n v="5330"/>
    <n v="16.2"/>
    <n v="17866.16"/>
    <s v="Completed"/>
    <s v="Bengaluru"/>
    <x v="4"/>
    <s v="Retail"/>
    <n v="35"/>
    <x v="2"/>
  </r>
  <r>
    <s v="ORD-01342"/>
    <x v="169"/>
    <s v="CUST-0087"/>
    <s v="PROD-038"/>
    <x v="12"/>
    <n v="3"/>
    <n v="5490"/>
    <n v="26.7"/>
    <n v="12072.51"/>
    <s v="Completed"/>
    <s v="Pune"/>
    <x v="3"/>
    <s v="SMB"/>
    <n v="49"/>
    <x v="3"/>
  </r>
  <r>
    <s v="ORD-01343"/>
    <x v="148"/>
    <s v="CUST-0142"/>
    <s v="PROD-060"/>
    <x v="25"/>
    <n v="7"/>
    <n v="190"/>
    <n v="11.6"/>
    <n v="1175.72"/>
    <s v="Completed"/>
    <s v="Chennai"/>
    <x v="1"/>
    <s v="Corporate"/>
    <n v="55"/>
    <x v="0"/>
  </r>
  <r>
    <s v="ORD-01344"/>
    <x v="352"/>
    <s v="CUST-0293"/>
    <s v="PROD-012"/>
    <x v="29"/>
    <n v="5"/>
    <n v="3160"/>
    <n v="24.1"/>
    <n v="11992.2"/>
    <s v="Completed"/>
    <s v="Bengaluru"/>
    <x v="0"/>
    <s v="Retail"/>
    <n v="27"/>
    <x v="1"/>
  </r>
  <r>
    <s v="ORD-01345"/>
    <x v="183"/>
    <s v="CUST-0025"/>
    <s v="PROD-035"/>
    <x v="12"/>
    <n v="1"/>
    <n v="1090"/>
    <n v="9.6"/>
    <n v="985.36"/>
    <s v="Refunded"/>
    <s v="Bengaluru"/>
    <x v="3"/>
    <s v="Retail"/>
    <n v="23"/>
    <x v="3"/>
  </r>
  <r>
    <s v="ORD-01346"/>
    <x v="130"/>
    <s v="CUST-0096"/>
    <s v="PROD-032"/>
    <x v="10"/>
    <n v="9"/>
    <n v="370"/>
    <n v="4"/>
    <n v="3196.8"/>
    <s v="Completed"/>
    <s v="Delhi"/>
    <x v="3"/>
    <s v="Corporate"/>
    <n v="27"/>
    <x v="0"/>
  </r>
  <r>
    <s v="ORD-01347"/>
    <x v="212"/>
    <s v="CUST-0069"/>
    <s v="PROD-008"/>
    <x v="25"/>
    <n v="5"/>
    <n v="2660"/>
    <n v="24.6"/>
    <n v="10028.200000000001"/>
    <s v="Cancelled"/>
    <s v="Chennai"/>
    <x v="4"/>
    <s v="Retail"/>
    <n v="51"/>
    <x v="0"/>
  </r>
  <r>
    <s v="ORD-01348"/>
    <x v="322"/>
    <s v="CUST-0220"/>
    <s v="PROD-018"/>
    <x v="26"/>
    <n v="4"/>
    <n v="3560"/>
    <n v="25.7"/>
    <n v="10580.32"/>
    <s v="Completed"/>
    <s v="Chennai"/>
    <x v="0"/>
    <s v="Retail"/>
    <n v="34"/>
    <x v="3"/>
  </r>
  <r>
    <s v="ORD-01349"/>
    <x v="306"/>
    <s v="CUST-0005"/>
    <s v="PROD-049"/>
    <x v="1"/>
    <n v="8"/>
    <n v="960"/>
    <n v="0.1"/>
    <n v="7672.32"/>
    <s v="Completed"/>
    <s v="Chennai"/>
    <x v="5"/>
    <s v="Corporate"/>
    <n v="52"/>
    <x v="0"/>
  </r>
  <r>
    <s v="ORD-01350"/>
    <x v="128"/>
    <s v="CUST-0222"/>
    <s v="PROD-032"/>
    <x v="6"/>
    <n v="10"/>
    <n v="370"/>
    <n v="16.399999999999999"/>
    <n v="3093.2"/>
    <s v="Cancelled"/>
    <s v="Chennai"/>
    <x v="3"/>
    <s v="Retail"/>
    <n v="37"/>
    <x v="2"/>
  </r>
  <r>
    <s v="ORD-01351"/>
    <x v="342"/>
    <s v="CUST-0039"/>
    <s v="PROD-015"/>
    <x v="20"/>
    <n v="4"/>
    <n v="2720"/>
    <n v="3.1"/>
    <n v="10542.72"/>
    <s v="Completed"/>
    <s v="Bengaluru"/>
    <x v="0"/>
    <s v="Retail"/>
    <n v="37"/>
    <x v="2"/>
  </r>
  <r>
    <s v="ORD-01352"/>
    <x v="236"/>
    <s v="CUST-0224"/>
    <s v="PROD-034"/>
    <x v="1"/>
    <n v="10"/>
    <n v="5080"/>
    <n v="6.8"/>
    <n v="47345.599999999999"/>
    <s v="Completed"/>
    <s v="Chennai"/>
    <x v="3"/>
    <s v="Corporate"/>
    <n v="24"/>
    <x v="0"/>
  </r>
  <r>
    <s v="ORD-01353"/>
    <x v="229"/>
    <s v="CUST-0288"/>
    <s v="PROD-042"/>
    <x v="4"/>
    <n v="6"/>
    <n v="2290"/>
    <n v="22.6"/>
    <n v="10634.76"/>
    <s v="Completed"/>
    <s v="Hyderabad"/>
    <x v="5"/>
    <s v="Corporate"/>
    <n v="25"/>
    <x v="0"/>
  </r>
  <r>
    <s v="ORD-01354"/>
    <x v="349"/>
    <s v="CUST-0002"/>
    <s v="PROD-021"/>
    <x v="3"/>
    <n v="4"/>
    <n v="2760"/>
    <n v="27.2"/>
    <n v="8037.12"/>
    <s v="Refunded"/>
    <s v="Pune"/>
    <x v="2"/>
    <s v="Corporate"/>
    <n v="42"/>
    <x v="0"/>
  </r>
  <r>
    <s v="ORD-01355"/>
    <x v="12"/>
    <s v="CUST-0172"/>
    <s v="PROD-024"/>
    <x v="28"/>
    <n v="9"/>
    <n v="2270"/>
    <n v="5.2"/>
    <n v="19367.64"/>
    <s v="Completed"/>
    <s v="Pune"/>
    <x v="2"/>
    <s v="Retail"/>
    <n v="65"/>
    <x v="2"/>
  </r>
  <r>
    <s v="ORD-01356"/>
    <x v="66"/>
    <s v="CUST-0287"/>
    <s v="PROD-017"/>
    <x v="4"/>
    <n v="3"/>
    <n v="2510"/>
    <n v="16.399999999999999"/>
    <n v="6295.08"/>
    <s v="Completed"/>
    <s v="Chennai"/>
    <x v="0"/>
    <s v="SMB"/>
    <n v="53"/>
    <x v="0"/>
  </r>
  <r>
    <s v="ORD-01357"/>
    <x v="186"/>
    <s v="CUST-0020"/>
    <s v="PROD-023"/>
    <x v="27"/>
    <n v="1"/>
    <n v="2380"/>
    <n v="23.5"/>
    <n v="1820.7"/>
    <s v="Completed"/>
    <s v="Hyderabad"/>
    <x v="2"/>
    <s v="Retail"/>
    <n v="46"/>
    <x v="1"/>
  </r>
  <r>
    <s v="ORD-01358"/>
    <x v="130"/>
    <s v="CUST-0039"/>
    <s v="PROD-059"/>
    <x v="7"/>
    <n v="2"/>
    <n v="3780"/>
    <n v="29.1"/>
    <n v="5360.04"/>
    <s v="Completed"/>
    <s v="Bengaluru"/>
    <x v="1"/>
    <s v="Retail"/>
    <n v="37"/>
    <x v="3"/>
  </r>
  <r>
    <s v="ORD-01359"/>
    <x v="14"/>
    <s v="CUST-0128"/>
    <s v="PROD-011"/>
    <x v="17"/>
    <n v="1"/>
    <n v="3450"/>
    <n v="17.8"/>
    <n v="2835.9"/>
    <s v="Completed"/>
    <s v="Hyderabad"/>
    <x v="0"/>
    <s v="Retail"/>
    <n v="35"/>
    <x v="2"/>
  </r>
  <r>
    <s v="ORD-01360"/>
    <x v="310"/>
    <s v="CUST-0149"/>
    <s v="PROD-046"/>
    <x v="3"/>
    <n v="6"/>
    <n v="4880"/>
    <n v="15.6"/>
    <n v="24712.32"/>
    <s v="Pending"/>
    <s v="Hyderabad"/>
    <x v="5"/>
    <s v="Retail"/>
    <n v="44"/>
    <x v="0"/>
  </r>
  <r>
    <s v="ORD-01361"/>
    <x v="273"/>
    <s v="CUST-0101"/>
    <s v="PROD-049"/>
    <x v="29"/>
    <n v="6"/>
    <n v="960"/>
    <n v="7.5"/>
    <n v="5328"/>
    <s v="Pending"/>
    <s v="Hyderabad"/>
    <x v="5"/>
    <s v="SMB"/>
    <n v="40"/>
    <x v="1"/>
  </r>
  <r>
    <s v="ORD-01362"/>
    <x v="147"/>
    <s v="CUST-0106"/>
    <s v="PROD-018"/>
    <x v="12"/>
    <n v="1"/>
    <n v="3560"/>
    <n v="12.9"/>
    <n v="3100.76"/>
    <s v="Completed"/>
    <s v="Pune"/>
    <x v="0"/>
    <s v="Retail"/>
    <n v="22"/>
    <x v="3"/>
  </r>
  <r>
    <s v="ORD-01363"/>
    <x v="12"/>
    <s v="CUST-0085"/>
    <s v="PROD-025"/>
    <x v="1"/>
    <n v="5"/>
    <n v="4060"/>
    <n v="18.100000000000001"/>
    <n v="16625.7"/>
    <s v="Pending"/>
    <s v="Chennai"/>
    <x v="2"/>
    <s v="Retail"/>
    <n v="26"/>
    <x v="0"/>
  </r>
  <r>
    <s v="ORD-01364"/>
    <x v="182"/>
    <s v="CUST-0071"/>
    <s v="PROD-015"/>
    <x v="16"/>
    <n v="10"/>
    <n v="2720"/>
    <n v="23.2"/>
    <n v="20889.599999999999"/>
    <s v="Completed"/>
    <s v="Delhi"/>
    <x v="0"/>
    <s v="Corporate"/>
    <n v="46"/>
    <x v="3"/>
  </r>
  <r>
    <s v="ORD-01365"/>
    <x v="74"/>
    <s v="CUST-0185"/>
    <s v="PROD-029"/>
    <x v="24"/>
    <n v="1"/>
    <n v="2210"/>
    <n v="5.8"/>
    <n v="2081.8200000000002"/>
    <s v="Pending"/>
    <s v="Hyderabad"/>
    <x v="2"/>
    <s v="SMB"/>
    <n v="43"/>
    <x v="3"/>
  </r>
  <r>
    <s v="ORD-01366"/>
    <x v="74"/>
    <s v="CUST-0182"/>
    <s v="PROD-047"/>
    <x v="22"/>
    <n v="5"/>
    <n v="3450"/>
    <n v="27.9"/>
    <n v="12437.25"/>
    <s v="Pending"/>
    <s v="Mumbai"/>
    <x v="5"/>
    <s v="Retail"/>
    <n v="54"/>
    <x v="1"/>
  </r>
  <r>
    <s v="ORD-01367"/>
    <x v="269"/>
    <s v="CUST-0177"/>
    <s v="PROD-023"/>
    <x v="12"/>
    <n v="9"/>
    <n v="2380"/>
    <n v="15.2"/>
    <n v="18164.16"/>
    <s v="Refunded"/>
    <s v="Mumbai"/>
    <x v="2"/>
    <s v="SMB"/>
    <n v="36"/>
    <x v="3"/>
  </r>
  <r>
    <s v="ORD-01368"/>
    <x v="317"/>
    <s v="CUST-0253"/>
    <s v="PROD-023"/>
    <x v="25"/>
    <n v="2"/>
    <n v="2380"/>
    <n v="24.3"/>
    <n v="3603.32"/>
    <s v="Completed"/>
    <s v="Delhi"/>
    <x v="2"/>
    <s v="SMB"/>
    <n v="53"/>
    <x v="0"/>
  </r>
  <r>
    <s v="ORD-01369"/>
    <x v="9"/>
    <s v="CUST-0071"/>
    <s v="PROD-018"/>
    <x v="27"/>
    <n v="9"/>
    <n v="3560"/>
    <n v="6.6"/>
    <n v="29925.360000000001"/>
    <s v="Refunded"/>
    <s v="Delhi"/>
    <x v="0"/>
    <s v="Corporate"/>
    <n v="46"/>
    <x v="1"/>
  </r>
  <r>
    <s v="ORD-01370"/>
    <x v="259"/>
    <s v="CUST-0240"/>
    <s v="PROD-009"/>
    <x v="26"/>
    <n v="7"/>
    <n v="1220"/>
    <n v="29.4"/>
    <n v="6029.24"/>
    <s v="Completed"/>
    <s v="Chennai"/>
    <x v="4"/>
    <s v="Corporate"/>
    <n v="35"/>
    <x v="3"/>
  </r>
  <r>
    <s v="ORD-01371"/>
    <x v="9"/>
    <s v="CUST-0050"/>
    <s v="PROD-056"/>
    <x v="21"/>
    <n v="7"/>
    <n v="6940"/>
    <n v="9.6"/>
    <n v="43916.32"/>
    <s v="Completed"/>
    <s v="Mumbai"/>
    <x v="1"/>
    <s v="Retail"/>
    <n v="37"/>
    <x v="3"/>
  </r>
  <r>
    <s v="ORD-01372"/>
    <x v="183"/>
    <s v="CUST-0089"/>
    <s v="PROD-035"/>
    <x v="24"/>
    <n v="2"/>
    <n v="1090"/>
    <n v="17"/>
    <n v="1809.4"/>
    <s v="Completed"/>
    <s v="Mumbai"/>
    <x v="3"/>
    <s v="SMB"/>
    <n v="43"/>
    <x v="3"/>
  </r>
  <r>
    <s v="ORD-01373"/>
    <x v="97"/>
    <s v="CUST-0209"/>
    <s v="PROD-023"/>
    <x v="8"/>
    <n v="4"/>
    <n v="2380"/>
    <n v="18.899999999999999"/>
    <n v="7720.72"/>
    <s v="Pending"/>
    <s v="Pune"/>
    <x v="2"/>
    <s v="Retail"/>
    <n v="31"/>
    <x v="2"/>
  </r>
  <r>
    <s v="ORD-01374"/>
    <x v="344"/>
    <s v="CUST-0089"/>
    <s v="PROD-024"/>
    <x v="10"/>
    <n v="6"/>
    <n v="2270"/>
    <n v="20.9"/>
    <n v="10773.42"/>
    <s v="Pending"/>
    <s v="Mumbai"/>
    <x v="2"/>
    <s v="SMB"/>
    <n v="43"/>
    <x v="0"/>
  </r>
  <r>
    <s v="ORD-01375"/>
    <x v="248"/>
    <s v="CUST-0093"/>
    <s v="PROD-033"/>
    <x v="7"/>
    <n v="10"/>
    <n v="2030"/>
    <n v="25"/>
    <n v="15225"/>
    <s v="Completed"/>
    <s v="Pune"/>
    <x v="3"/>
    <s v="Retail"/>
    <n v="36"/>
    <x v="3"/>
  </r>
  <r>
    <s v="ORD-01376"/>
    <x v="118"/>
    <s v="CUST-0018"/>
    <s v="PROD-035"/>
    <x v="28"/>
    <n v="3"/>
    <n v="1090"/>
    <n v="12.1"/>
    <n v="2874.33"/>
    <s v="Completed"/>
    <s v="Pune"/>
    <x v="3"/>
    <s v="SMB"/>
    <n v="54"/>
    <x v="2"/>
  </r>
  <r>
    <s v="ORD-01377"/>
    <x v="291"/>
    <s v="CUST-0089"/>
    <s v="PROD-017"/>
    <x v="21"/>
    <n v="3"/>
    <n v="2510"/>
    <n v="28.7"/>
    <n v="5368.89"/>
    <s v="Completed"/>
    <s v="Mumbai"/>
    <x v="0"/>
    <s v="SMB"/>
    <n v="43"/>
    <x v="3"/>
  </r>
  <r>
    <s v="ORD-01378"/>
    <x v="249"/>
    <s v="CUST-0116"/>
    <s v="PROD-024"/>
    <x v="17"/>
    <n v="9"/>
    <n v="2270"/>
    <n v="25.4"/>
    <n v="15240.78"/>
    <s v="Pending"/>
    <s v="Bengaluru"/>
    <x v="2"/>
    <s v="Retail"/>
    <n v="53"/>
    <x v="2"/>
  </r>
  <r>
    <s v="ORD-01379"/>
    <x v="169"/>
    <s v="CUST-0071"/>
    <s v="PROD-006"/>
    <x v="20"/>
    <n v="9"/>
    <n v="3970"/>
    <n v="10.1"/>
    <n v="32121.27"/>
    <s v="Cancelled"/>
    <s v="Delhi"/>
    <x v="4"/>
    <s v="Corporate"/>
    <n v="46"/>
    <x v="2"/>
  </r>
  <r>
    <s v="ORD-01380"/>
    <x v="23"/>
    <s v="CUST-0115"/>
    <s v="PROD-029"/>
    <x v="2"/>
    <n v="6"/>
    <n v="2210"/>
    <n v="7.4"/>
    <n v="12278.76"/>
    <s v="Completed"/>
    <s v="Mumbai"/>
    <x v="2"/>
    <s v="SMB"/>
    <n v="65"/>
    <x v="1"/>
  </r>
  <r>
    <s v="ORD-01381"/>
    <x v="107"/>
    <s v="CUST-0258"/>
    <s v="PROD-041"/>
    <x v="21"/>
    <n v="7"/>
    <n v="1540"/>
    <n v="20.6"/>
    <n v="8559.32"/>
    <s v="Completed"/>
    <s v="Pune"/>
    <x v="5"/>
    <s v="Retail"/>
    <n v="44"/>
    <x v="3"/>
  </r>
  <r>
    <s v="ORD-01382"/>
    <x v="323"/>
    <s v="CUST-0290"/>
    <s v="PROD-039"/>
    <x v="28"/>
    <n v="9"/>
    <n v="4610"/>
    <n v="2.1"/>
    <n v="40618.71"/>
    <s v="Completed"/>
    <s v="Delhi"/>
    <x v="3"/>
    <s v="Retail"/>
    <n v="63"/>
    <x v="2"/>
  </r>
  <r>
    <s v="ORD-01383"/>
    <x v="159"/>
    <s v="CUST-0279"/>
    <s v="PROD-006"/>
    <x v="25"/>
    <n v="10"/>
    <n v="3970"/>
    <n v="13.3"/>
    <n v="34419.9"/>
    <s v="Pending"/>
    <s v="Mumbai"/>
    <x v="4"/>
    <s v="Retail"/>
    <n v="56"/>
    <x v="0"/>
  </r>
  <r>
    <s v="ORD-01384"/>
    <x v="166"/>
    <s v="CUST-0132"/>
    <s v="PROD-008"/>
    <x v="4"/>
    <n v="8"/>
    <n v="2660"/>
    <n v="16.8"/>
    <n v="17704.96"/>
    <s v="Completed"/>
    <s v="Delhi"/>
    <x v="4"/>
    <s v="Retail"/>
    <n v="41"/>
    <x v="0"/>
  </r>
  <r>
    <s v="ORD-01385"/>
    <x v="90"/>
    <s v="CUST-0029"/>
    <s v="PROD-047"/>
    <x v="13"/>
    <n v="6"/>
    <n v="3450"/>
    <n v="23.4"/>
    <n v="15856.2"/>
    <s v="Completed"/>
    <s v="Chennai"/>
    <x v="5"/>
    <s v="Corporate"/>
    <n v="54"/>
    <x v="3"/>
  </r>
  <r>
    <s v="ORD-01386"/>
    <x v="356"/>
    <s v="CUST-0295"/>
    <s v="PROD-053"/>
    <x v="0"/>
    <n v="10"/>
    <n v="470"/>
    <n v="21.2"/>
    <n v="3703.6"/>
    <s v="Completed"/>
    <s v="Delhi"/>
    <x v="1"/>
    <s v="SMB"/>
    <n v="48"/>
    <x v="0"/>
  </r>
  <r>
    <s v="ORD-00168"/>
    <x v="323"/>
    <s v="CUST-0106"/>
    <s v="PROD-059"/>
    <x v="24"/>
    <n v="7"/>
    <n v="3780"/>
    <n v="10.1"/>
    <n v="23787.54"/>
    <s v="Completed"/>
    <s v="Pune"/>
    <x v="1"/>
    <s v="Retail"/>
    <n v="22"/>
    <x v="3"/>
  </r>
  <r>
    <s v="ORD-01388"/>
    <x v="258"/>
    <s v="CUST-0127"/>
    <s v="PROD-014"/>
    <x v="28"/>
    <n v="3"/>
    <n v="3620"/>
    <n v="4.2"/>
    <n v="10403.879999999999"/>
    <s v="Completed"/>
    <s v="Bengaluru"/>
    <x v="0"/>
    <s v="SMB"/>
    <n v="36"/>
    <x v="2"/>
  </r>
  <r>
    <s v="ORD-01389"/>
    <x v="110"/>
    <s v="CUST-0031"/>
    <s v="PROD-049"/>
    <x v="8"/>
    <n v="7"/>
    <n v="960"/>
    <n v="9"/>
    <n v="6115.2"/>
    <s v="Completed"/>
    <s v="Hyderabad"/>
    <x v="5"/>
    <s v="Retail"/>
    <n v="53"/>
    <x v="2"/>
  </r>
  <r>
    <s v="ORD-01390"/>
    <x v="112"/>
    <s v="CUST-0256"/>
    <s v="PROD-043"/>
    <x v="0"/>
    <n v="10"/>
    <n v="3350"/>
    <n v="1.2"/>
    <n v="33098"/>
    <s v="Cancelled"/>
    <s v="Hyderabad"/>
    <x v="5"/>
    <s v="Retail"/>
    <n v="28"/>
    <x v="0"/>
  </r>
  <r>
    <s v="ORD-01391"/>
    <x v="321"/>
    <s v="CUST-0131"/>
    <s v="PROD-058"/>
    <x v="14"/>
    <n v="3"/>
    <n v="2400"/>
    <n v="15.4"/>
    <n v="6091.2"/>
    <s v="Completed"/>
    <s v="Delhi"/>
    <x v="1"/>
    <s v="SMB"/>
    <n v="28"/>
    <x v="2"/>
  </r>
  <r>
    <s v="ORD-01392"/>
    <x v="192"/>
    <s v="CUST-0270"/>
    <s v="PROD-055"/>
    <x v="25"/>
    <n v="2"/>
    <n v="2860"/>
    <n v="10.5"/>
    <n v="5119.3999999999996"/>
    <s v="Completed"/>
    <s v="Bengaluru"/>
    <x v="1"/>
    <s v="Retail"/>
    <n v="29"/>
    <x v="0"/>
  </r>
  <r>
    <s v="ORD-01393"/>
    <x v="247"/>
    <s v="CUST-0212"/>
    <s v="PROD-042"/>
    <x v="4"/>
    <n v="4"/>
    <n v="2290"/>
    <n v="5.9"/>
    <n v="8619.56"/>
    <s v="Completed"/>
    <s v="Chennai"/>
    <x v="5"/>
    <s v="SMB"/>
    <n v="46"/>
    <x v="0"/>
  </r>
  <r>
    <s v="ORD-01394"/>
    <x v="59"/>
    <s v="CUST-0216"/>
    <s v="PROD-001"/>
    <x v="12"/>
    <n v="7"/>
    <n v="5330"/>
    <n v="3.5"/>
    <n v="36004.15"/>
    <s v="Cancelled"/>
    <s v="Mumbai"/>
    <x v="4"/>
    <s v="Retail"/>
    <n v="50"/>
    <x v="3"/>
  </r>
  <r>
    <s v="ORD-01395"/>
    <x v="65"/>
    <s v="CUST-0189"/>
    <s v="PROD-013"/>
    <x v="26"/>
    <n v="10"/>
    <n v="3640"/>
    <n v="20.100000000000001"/>
    <n v="29083.599999999999"/>
    <s v="Completed"/>
    <s v="Chennai"/>
    <x v="0"/>
    <s v="Retail"/>
    <n v="41"/>
    <x v="3"/>
  </r>
  <r>
    <s v="ORD-01396"/>
    <x v="142"/>
    <s v="CUST-0064"/>
    <s v="PROD-034"/>
    <x v="6"/>
    <n v="10"/>
    <n v="5080"/>
    <n v="2.1"/>
    <n v="49733.2"/>
    <s v="Completed"/>
    <s v="Hyderabad"/>
    <x v="3"/>
    <s v="SMB"/>
    <n v="40"/>
    <x v="2"/>
  </r>
  <r>
    <s v="ORD-01397"/>
    <x v="25"/>
    <s v="CUST-0016"/>
    <s v="PROD-035"/>
    <x v="26"/>
    <n v="4"/>
    <n v="1090"/>
    <n v="18.5"/>
    <n v="3553.4"/>
    <s v="Refunded"/>
    <s v="Delhi"/>
    <x v="3"/>
    <s v="SMB"/>
    <n v="26"/>
    <x v="3"/>
  </r>
  <r>
    <s v="ORD-01398"/>
    <x v="218"/>
    <s v="CUST-0296"/>
    <s v="PROD-047"/>
    <x v="14"/>
    <n v="10"/>
    <n v="3450"/>
    <n v="26.5"/>
    <n v="25357.5"/>
    <s v="Refunded"/>
    <s v="Delhi"/>
    <x v="5"/>
    <s v="Corporate"/>
    <n v="47"/>
    <x v="2"/>
  </r>
  <r>
    <s v="ORD-01399"/>
    <x v="64"/>
    <s v="CUST-0031"/>
    <s v="PROD-052"/>
    <x v="18"/>
    <n v="9"/>
    <n v="5410"/>
    <n v="11.5"/>
    <n v="43090.65"/>
    <s v="Completed"/>
    <s v="Hyderabad"/>
    <x v="1"/>
    <s v="Retail"/>
    <n v="53"/>
    <x v="1"/>
  </r>
  <r>
    <s v="ORD-01400"/>
    <x v="338"/>
    <s v="CUST-0207"/>
    <s v="PROD-011"/>
    <x v="14"/>
    <n v="9"/>
    <n v="3450"/>
    <n v="0.3"/>
    <n v="30956.85"/>
    <s v="Refunded"/>
    <s v="Hyderabad"/>
    <x v="0"/>
    <s v="SMB"/>
    <n v="34"/>
    <x v="2"/>
  </r>
  <r>
    <s v="ORD-01401"/>
    <x v="105"/>
    <s v="CUST-0165"/>
    <s v="PROD-012"/>
    <x v="5"/>
    <n v="10"/>
    <n v="3160"/>
    <n v="13.6"/>
    <n v="27302.400000000001"/>
    <s v="Completed"/>
    <s v="Pune"/>
    <x v="0"/>
    <s v="Retail"/>
    <n v="29"/>
    <x v="2"/>
  </r>
  <r>
    <s v="ORD-01402"/>
    <x v="301"/>
    <s v="CUST-0281"/>
    <s v="PROD-041"/>
    <x v="17"/>
    <n v="3"/>
    <n v="1540"/>
    <n v="21.2"/>
    <n v="3640.56"/>
    <s v="Completed"/>
    <s v="Bengaluru"/>
    <x v="5"/>
    <s v="Corporate"/>
    <n v="57"/>
    <x v="2"/>
  </r>
  <r>
    <s v="ORD-01403"/>
    <x v="73"/>
    <s v="CUST-0018"/>
    <s v="PROD-013"/>
    <x v="24"/>
    <n v="5"/>
    <n v="3640"/>
    <n v="17.5"/>
    <n v="15015"/>
    <s v="Completed"/>
    <s v="Pune"/>
    <x v="0"/>
    <s v="SMB"/>
    <n v="54"/>
    <x v="3"/>
  </r>
  <r>
    <s v="ORD-01404"/>
    <x v="272"/>
    <s v="CUST-0204"/>
    <s v="PROD-059"/>
    <x v="25"/>
    <n v="4"/>
    <n v="3780"/>
    <n v="9"/>
    <n v="13759.2"/>
    <s v="Pending"/>
    <s v="Hyderabad"/>
    <x v="1"/>
    <s v="Retail"/>
    <n v="60"/>
    <x v="0"/>
  </r>
  <r>
    <s v="ORD-01405"/>
    <x v="357"/>
    <s v="CUST-0028"/>
    <s v="PROD-015"/>
    <x v="5"/>
    <n v="9"/>
    <n v="2720"/>
    <n v="8.9"/>
    <n v="22301.279999999999"/>
    <s v="Completed"/>
    <s v="Bengaluru"/>
    <x v="0"/>
    <s v="Retail"/>
    <n v="59"/>
    <x v="2"/>
  </r>
  <r>
    <s v="ORD-01406"/>
    <x v="83"/>
    <s v="CUST-0144"/>
    <s v="PROD-014"/>
    <x v="10"/>
    <n v="4"/>
    <n v="3620"/>
    <n v="8"/>
    <n v="13321.6"/>
    <s v="Pending"/>
    <s v="Chennai"/>
    <x v="0"/>
    <s v="Retail"/>
    <n v="49"/>
    <x v="0"/>
  </r>
  <r>
    <s v="ORD-01407"/>
    <x v="354"/>
    <s v="CUST-0043"/>
    <s v="PROD-011"/>
    <x v="10"/>
    <n v="1"/>
    <n v="3450"/>
    <n v="0.2"/>
    <n v="3443.1"/>
    <s v="Completed"/>
    <s v="Hyderabad"/>
    <x v="0"/>
    <s v="Retail"/>
    <n v="61"/>
    <x v="0"/>
  </r>
  <r>
    <s v="ORD-01408"/>
    <x v="93"/>
    <s v="CUST-0246"/>
    <s v="PROD-013"/>
    <x v="2"/>
    <n v="7"/>
    <n v="3640"/>
    <n v="4.5999999999999996"/>
    <n v="24307.919999999998"/>
    <s v="Completed"/>
    <s v="Delhi"/>
    <x v="0"/>
    <s v="SMB"/>
    <n v="29"/>
    <x v="1"/>
  </r>
  <r>
    <s v="ORD-01409"/>
    <x v="318"/>
    <s v="CUST-0156"/>
    <s v="PROD-016"/>
    <x v="12"/>
    <n v="9"/>
    <n v="620"/>
    <n v="8.5"/>
    <n v="5105.7"/>
    <s v="Completed"/>
    <s v="Mumbai"/>
    <x v="0"/>
    <s v="Retail"/>
    <n v="33"/>
    <x v="3"/>
  </r>
  <r>
    <s v="ORD-01410"/>
    <x v="318"/>
    <s v="CUST-0066"/>
    <s v="PROD-059"/>
    <x v="29"/>
    <n v="10"/>
    <n v="3780"/>
    <n v="5.8"/>
    <n v="35607.599999999999"/>
    <s v="Completed"/>
    <s v="Delhi"/>
    <x v="1"/>
    <s v="Retail"/>
    <n v="24"/>
    <x v="1"/>
  </r>
  <r>
    <s v="ORD-01411"/>
    <x v="79"/>
    <s v="CUST-0121"/>
    <s v="PROD-003"/>
    <x v="18"/>
    <n v="7"/>
    <n v="3570"/>
    <n v="26.1"/>
    <n v="18467.61"/>
    <s v="Completed"/>
    <s v="Delhi"/>
    <x v="4"/>
    <s v="SMB"/>
    <n v="55"/>
    <x v="1"/>
  </r>
  <r>
    <s v="ORD-01412"/>
    <x v="141"/>
    <s v="CUST-0066"/>
    <s v="PROD-044"/>
    <x v="25"/>
    <n v="2"/>
    <n v="1650"/>
    <n v="3.8"/>
    <n v="3174.6"/>
    <s v="Completed"/>
    <s v="Delhi"/>
    <x v="5"/>
    <s v="Retail"/>
    <n v="24"/>
    <x v="0"/>
  </r>
  <r>
    <s v="ORD-01413"/>
    <x v="63"/>
    <s v="CUST-0099"/>
    <s v="PROD-049"/>
    <x v="27"/>
    <n v="2"/>
    <n v="960"/>
    <n v="6.8"/>
    <n v="1789.44"/>
    <s v="Completed"/>
    <s v="Bengaluru"/>
    <x v="5"/>
    <s v="SMB"/>
    <n v="54"/>
    <x v="1"/>
  </r>
  <r>
    <s v="ORD-01414"/>
    <x v="351"/>
    <s v="CUST-0054"/>
    <s v="PROD-005"/>
    <x v="3"/>
    <n v="2"/>
    <n v="300"/>
    <n v="2.8"/>
    <n v="583.20000000000005"/>
    <s v="Completed"/>
    <s v="Mumbai"/>
    <x v="4"/>
    <s v="Corporate"/>
    <n v="62"/>
    <x v="0"/>
  </r>
  <r>
    <s v="ORD-01415"/>
    <x v="230"/>
    <s v="CUST-0124"/>
    <s v="PROD-025"/>
    <x v="28"/>
    <n v="10"/>
    <n v="4060"/>
    <n v="15.1"/>
    <n v="34469.4"/>
    <s v="Completed"/>
    <s v="Pune"/>
    <x v="2"/>
    <s v="Retail"/>
    <n v="57"/>
    <x v="2"/>
  </r>
  <r>
    <s v="ORD-01416"/>
    <x v="153"/>
    <s v="CUST-0211"/>
    <s v="PROD-001"/>
    <x v="24"/>
    <n v="6"/>
    <n v="5330"/>
    <n v="2"/>
    <n v="31340.400000000001"/>
    <s v="Completed"/>
    <s v="Bengaluru"/>
    <x v="4"/>
    <s v="Retail"/>
    <n v="36"/>
    <x v="3"/>
  </r>
  <r>
    <s v="ORD-01417"/>
    <x v="160"/>
    <s v="CUST-0298"/>
    <s v="PROD-031"/>
    <x v="13"/>
    <n v="9"/>
    <n v="3730"/>
    <n v="24.5"/>
    <n v="25345.35"/>
    <s v="Refunded"/>
    <s v="Delhi"/>
    <x v="3"/>
    <s v="Retail"/>
    <n v="44"/>
    <x v="3"/>
  </r>
  <r>
    <s v="ORD-01418"/>
    <x v="4"/>
    <s v="CUST-0164"/>
    <s v="PROD-050"/>
    <x v="14"/>
    <n v="1"/>
    <n v="6080"/>
    <n v="4.4000000000000004"/>
    <n v="5812.48"/>
    <s v="Cancelled"/>
    <s v="Chennai"/>
    <x v="5"/>
    <s v="Retail"/>
    <n v="60"/>
    <x v="2"/>
  </r>
  <r>
    <s v="ORD-01419"/>
    <x v="111"/>
    <s v="CUST-0003"/>
    <s v="PROD-015"/>
    <x v="5"/>
    <n v="5"/>
    <n v="2720"/>
    <n v="9.1999999999999993"/>
    <n v="12348.8"/>
    <s v="Completed"/>
    <s v="Mumbai"/>
    <x v="0"/>
    <s v="Retail"/>
    <n v="33"/>
    <x v="2"/>
  </r>
  <r>
    <s v="ORD-01420"/>
    <x v="334"/>
    <s v="CUST-0239"/>
    <s v="PROD-011"/>
    <x v="12"/>
    <n v="1"/>
    <n v="3450"/>
    <n v="15.6"/>
    <n v="2911.8"/>
    <s v="Completed"/>
    <s v="Mumbai"/>
    <x v="0"/>
    <s v="Retail"/>
    <n v="61"/>
    <x v="3"/>
  </r>
  <r>
    <s v="ORD-01421"/>
    <x v="285"/>
    <s v="CUST-0116"/>
    <s v="PROD-035"/>
    <x v="24"/>
    <n v="2"/>
    <n v="1090"/>
    <n v="0.4"/>
    <n v="2171.2800000000002"/>
    <s v="Refunded"/>
    <s v="Bengaluru"/>
    <x v="3"/>
    <s v="Retail"/>
    <n v="53"/>
    <x v="3"/>
  </r>
  <r>
    <s v="ORD-01422"/>
    <x v="175"/>
    <s v="CUST-0232"/>
    <s v="PROD-003"/>
    <x v="21"/>
    <n v="2"/>
    <n v="3570"/>
    <n v="9"/>
    <n v="6497.4"/>
    <s v="Completed"/>
    <s v="Hyderabad"/>
    <x v="4"/>
    <s v="Retail"/>
    <n v="38"/>
    <x v="3"/>
  </r>
  <r>
    <s v="ORD-01423"/>
    <x v="352"/>
    <s v="CUST-0121"/>
    <s v="PROD-019"/>
    <x v="2"/>
    <n v="9"/>
    <n v="2480"/>
    <n v="3.6"/>
    <n v="21516.48"/>
    <s v="Pending"/>
    <s v="Delhi"/>
    <x v="0"/>
    <s v="SMB"/>
    <n v="55"/>
    <x v="1"/>
  </r>
  <r>
    <s v="ORD-01424"/>
    <x v="291"/>
    <s v="CUST-0178"/>
    <s v="PROD-027"/>
    <x v="24"/>
    <n v="9"/>
    <n v="3780"/>
    <n v="4.5"/>
    <n v="32489.1"/>
    <s v="Completed"/>
    <s v="Hyderabad"/>
    <x v="2"/>
    <s v="Retail"/>
    <n v="25"/>
    <x v="3"/>
  </r>
  <r>
    <s v="ORD-01425"/>
    <x v="252"/>
    <s v="CUST-0131"/>
    <s v="PROD-025"/>
    <x v="9"/>
    <n v="5"/>
    <n v="4060"/>
    <n v="2.7"/>
    <n v="19751.900000000001"/>
    <s v="Completed"/>
    <s v="Delhi"/>
    <x v="2"/>
    <s v="SMB"/>
    <n v="28"/>
    <x v="1"/>
  </r>
  <r>
    <s v="ORD-01426"/>
    <x v="148"/>
    <s v="CUST-0155"/>
    <s v="PROD-005"/>
    <x v="25"/>
    <n v="8"/>
    <n v="300"/>
    <n v="19.8"/>
    <n v="1924.8"/>
    <s v="Cancelled"/>
    <s v="Pune"/>
    <x v="4"/>
    <s v="Corporate"/>
    <n v="40"/>
    <x v="0"/>
  </r>
  <r>
    <s v="ORD-01427"/>
    <x v="253"/>
    <s v="CUST-0170"/>
    <s v="PROD-036"/>
    <x v="25"/>
    <n v="10"/>
    <n v="3250"/>
    <n v="21.3"/>
    <n v="25577.5"/>
    <s v="Cancelled"/>
    <s v="Mumbai"/>
    <x v="3"/>
    <s v="SMB"/>
    <n v="22"/>
    <x v="0"/>
  </r>
  <r>
    <s v="ORD-01428"/>
    <x v="48"/>
    <s v="CUST-0180"/>
    <s v="PROD-055"/>
    <x v="18"/>
    <n v="2"/>
    <n v="2860"/>
    <n v="13.7"/>
    <n v="4936.3599999999997"/>
    <s v="Completed"/>
    <s v="Chennai"/>
    <x v="1"/>
    <s v="Retail"/>
    <n v="36"/>
    <x v="1"/>
  </r>
  <r>
    <s v="ORD-01429"/>
    <x v="271"/>
    <s v="CUST-0066"/>
    <s v="PROD-009"/>
    <x v="21"/>
    <n v="10"/>
    <n v="1220"/>
    <n v="15.4"/>
    <n v="10321.200000000001"/>
    <s v="Completed"/>
    <s v="Delhi"/>
    <x v="4"/>
    <s v="Retail"/>
    <n v="24"/>
    <x v="3"/>
  </r>
  <r>
    <s v="ORD-01430"/>
    <x v="96"/>
    <s v="CUST-0267"/>
    <s v="PROD-027"/>
    <x v="9"/>
    <n v="3"/>
    <n v="3780"/>
    <n v="1.9"/>
    <n v="11124.54"/>
    <s v="Completed"/>
    <s v="Hyderabad"/>
    <x v="2"/>
    <s v="Retail"/>
    <n v="27"/>
    <x v="1"/>
  </r>
  <r>
    <s v="ORD-01431"/>
    <x v="133"/>
    <s v="CUST-0034"/>
    <s v="PROD-038"/>
    <x v="26"/>
    <n v="6"/>
    <n v="5490"/>
    <n v="0.5"/>
    <n v="32775.300000000003"/>
    <s v="Pending"/>
    <s v="Delhi"/>
    <x v="3"/>
    <s v="Retail"/>
    <n v="47"/>
    <x v="3"/>
  </r>
  <r>
    <s v="ORD-01432"/>
    <x v="185"/>
    <s v="CUST-0029"/>
    <s v="PROD-022"/>
    <x v="20"/>
    <n v="6"/>
    <n v="2270"/>
    <n v="21.5"/>
    <n v="10691.7"/>
    <s v="Completed"/>
    <s v="Chennai"/>
    <x v="2"/>
    <s v="Corporate"/>
    <n v="54"/>
    <x v="2"/>
  </r>
  <r>
    <s v="ORD-01433"/>
    <x v="77"/>
    <s v="CUST-0224"/>
    <s v="PROD-029"/>
    <x v="12"/>
    <n v="7"/>
    <n v="2210"/>
    <n v="10.3"/>
    <n v="13876.59"/>
    <s v="Completed"/>
    <s v="Chennai"/>
    <x v="2"/>
    <s v="Corporate"/>
    <n v="24"/>
    <x v="3"/>
  </r>
  <r>
    <s v="ORD-01434"/>
    <x v="150"/>
    <s v="CUST-9889"/>
    <s v="PROD-035"/>
    <x v="18"/>
    <n v="8"/>
    <n v="1090"/>
    <n v="21.7"/>
    <n v="6827.76"/>
    <s v="Completed"/>
    <s v="Pune"/>
    <x v="3"/>
    <s v=""/>
    <s v=""/>
    <x v="1"/>
  </r>
  <r>
    <s v="ORD-01435"/>
    <x v="311"/>
    <s v="CUST-0130"/>
    <s v="PROD-018"/>
    <x v="25"/>
    <n v="5"/>
    <n v="3560"/>
    <n v="19.399999999999999"/>
    <n v="14346.8"/>
    <s v="Pending"/>
    <s v="Bengaluru"/>
    <x v="0"/>
    <s v="Corporate"/>
    <n v="41"/>
    <x v="0"/>
  </r>
  <r>
    <s v="ORD-01436"/>
    <x v="358"/>
    <s v="CUST-0060"/>
    <s v="PROD-054"/>
    <x v="8"/>
    <n v="7"/>
    <n v="1010"/>
    <n v="28.2"/>
    <n v="5076.26"/>
    <s v="Completed"/>
    <s v="Pune"/>
    <x v="1"/>
    <s v="Retail"/>
    <n v="39"/>
    <x v="2"/>
  </r>
  <r>
    <s v="ORD-01437"/>
    <x v="19"/>
    <s v="CUST-0299"/>
    <s v="PROD-033"/>
    <x v="15"/>
    <n v="2"/>
    <n v="2030"/>
    <n v="27.3"/>
    <n v="2951.62"/>
    <s v="Refunded"/>
    <s v="Mumbai"/>
    <x v="3"/>
    <s v="Corporate"/>
    <n v="51"/>
    <x v="1"/>
  </r>
  <r>
    <s v="ORD-01438"/>
    <x v="154"/>
    <s v="CUST-0013"/>
    <s v="PROD-001"/>
    <x v="27"/>
    <n v="6"/>
    <n v="5330"/>
    <n v="0.6"/>
    <n v="31788.12"/>
    <s v="Completed"/>
    <s v="Delhi"/>
    <x v="4"/>
    <s v="Retail"/>
    <n v="41"/>
    <x v="1"/>
  </r>
  <r>
    <s v="ORD-01439"/>
    <x v="282"/>
    <s v="CUST-0193"/>
    <s v="PROD-010"/>
    <x v="0"/>
    <n v="2"/>
    <n v="2640"/>
    <n v="26"/>
    <n v="3907.2"/>
    <s v="Pending"/>
    <s v="Bengaluru"/>
    <x v="4"/>
    <s v="Retail"/>
    <n v="42"/>
    <x v="0"/>
  </r>
  <r>
    <s v="ORD-01440"/>
    <x v="130"/>
    <s v="CUST-0170"/>
    <s v="PROD-008"/>
    <x v="27"/>
    <n v="8"/>
    <n v="2660"/>
    <n v="2.9"/>
    <n v="20662.88"/>
    <s v="Completed"/>
    <s v="Mumbai"/>
    <x v="4"/>
    <s v="SMB"/>
    <n v="22"/>
    <x v="1"/>
  </r>
  <r>
    <s v="ORD-01441"/>
    <x v="69"/>
    <s v="CUST-0063"/>
    <s v="PROD-036"/>
    <x v="12"/>
    <n v="6"/>
    <n v="3250"/>
    <n v="11.1"/>
    <n v="17335.5"/>
    <s v="Completed"/>
    <s v="Mumbai"/>
    <x v="3"/>
    <s v="SMB"/>
    <n v="53"/>
    <x v="3"/>
  </r>
  <r>
    <s v="ORD-01442"/>
    <x v="246"/>
    <s v="CUST-0168"/>
    <s v="PROD-029"/>
    <x v="10"/>
    <n v="1"/>
    <n v="2210"/>
    <n v="3.5"/>
    <n v="2132.65"/>
    <s v="Completed"/>
    <s v="Pune"/>
    <x v="2"/>
    <s v="Retail"/>
    <n v="25"/>
    <x v="0"/>
  </r>
  <r>
    <s v="ORD-01443"/>
    <x v="39"/>
    <s v="CUST-0124"/>
    <s v="PROD-032"/>
    <x v="7"/>
    <n v="9"/>
    <n v="370"/>
    <n v="12.4"/>
    <n v="2917.08"/>
    <s v="Completed"/>
    <s v="Pune"/>
    <x v="3"/>
    <s v="Retail"/>
    <n v="57"/>
    <x v="3"/>
  </r>
  <r>
    <s v="ORD-01444"/>
    <x v="99"/>
    <s v="CUST-0138"/>
    <s v="PROD-059"/>
    <x v="24"/>
    <n v="3"/>
    <n v="3780"/>
    <n v="8.5"/>
    <n v="10376.1"/>
    <s v="Pending"/>
    <s v="Chennai"/>
    <x v="1"/>
    <s v="Retail"/>
    <n v="24"/>
    <x v="3"/>
  </r>
  <r>
    <s v="ORD-01445"/>
    <x v="245"/>
    <s v="CUST-0146"/>
    <s v="PROD-054"/>
    <x v="25"/>
    <n v="2"/>
    <n v="1010"/>
    <n v="2.7"/>
    <n v="1965.46"/>
    <s v="Completed"/>
    <s v="Hyderabad"/>
    <x v="1"/>
    <s v="Retail"/>
    <n v="22"/>
    <x v="0"/>
  </r>
  <r>
    <s v="ORD-01446"/>
    <x v="167"/>
    <s v="CUST-0244"/>
    <s v="PROD-020"/>
    <x v="27"/>
    <n v="2"/>
    <n v="820"/>
    <n v="13.2"/>
    <n v="1423.52"/>
    <s v="Pending"/>
    <s v="Bengaluru"/>
    <x v="0"/>
    <s v="Retail"/>
    <n v="61"/>
    <x v="1"/>
  </r>
  <r>
    <s v="ORD-01447"/>
    <x v="337"/>
    <s v="CUST-0291"/>
    <s v="PROD-028"/>
    <x v="27"/>
    <n v="1"/>
    <n v="3660"/>
    <n v="14"/>
    <n v="3147.6"/>
    <s v="Refunded"/>
    <s v="Pune"/>
    <x v="2"/>
    <s v="SMB"/>
    <n v="29"/>
    <x v="1"/>
  </r>
  <r>
    <s v="ORD-01448"/>
    <x v="130"/>
    <s v="CUST-0222"/>
    <s v="PROD-022"/>
    <x v="21"/>
    <n v="6"/>
    <n v="2270"/>
    <n v="16"/>
    <n v="11440.8"/>
    <s v="Completed"/>
    <s v="Chennai"/>
    <x v="2"/>
    <s v="Retail"/>
    <n v="37"/>
    <x v="3"/>
  </r>
  <r>
    <s v="ORD-01449"/>
    <x v="311"/>
    <s v="CUST-0137"/>
    <s v="PROD-049"/>
    <x v="7"/>
    <n v="7"/>
    <n v="960"/>
    <n v="28.8"/>
    <n v="4784.6400000000003"/>
    <s v="Refunded"/>
    <s v="Mumbai"/>
    <x v="5"/>
    <s v="Retail"/>
    <n v="41"/>
    <x v="3"/>
  </r>
  <r>
    <s v="ORD-01450"/>
    <x v="218"/>
    <s v="CUST-0150"/>
    <s v="PROD-033"/>
    <x v="5"/>
    <n v="9"/>
    <n v="2030"/>
    <n v="3.4"/>
    <n v="17648.82"/>
    <s v="Completed"/>
    <s v="Pune"/>
    <x v="3"/>
    <s v="SMB"/>
    <n v="53"/>
    <x v="2"/>
  </r>
  <r>
    <s v="ORD-01451"/>
    <x v="193"/>
    <s v="CUST-0058"/>
    <s v="PROD-023"/>
    <x v="1"/>
    <n v="6"/>
    <n v="2380"/>
    <n v="13.2"/>
    <n v="12395.04"/>
    <s v="Completed"/>
    <s v="Bengaluru"/>
    <x v="2"/>
    <s v="SMB"/>
    <n v="49"/>
    <x v="0"/>
  </r>
  <r>
    <s v="ORD-01452"/>
    <x v="231"/>
    <s v="CUST-0187"/>
    <s v="PROD-047"/>
    <x v="18"/>
    <n v="10"/>
    <n v="3450"/>
    <n v="8.6999999999999993"/>
    <n v="31498.5"/>
    <s v="Completed"/>
    <s v="Chennai"/>
    <x v="5"/>
    <s v="SMB"/>
    <n v="51"/>
    <x v="1"/>
  </r>
  <r>
    <s v="ORD-01453"/>
    <x v="173"/>
    <s v="CUST-0116"/>
    <s v="PROD-049"/>
    <x v="13"/>
    <n v="6"/>
    <n v="960"/>
    <n v="20.6"/>
    <n v="4573.4399999999996"/>
    <s v="Pending"/>
    <s v="Bengaluru"/>
    <x v="5"/>
    <s v="Retail"/>
    <n v="53"/>
    <x v="3"/>
  </r>
  <r>
    <s v="ORD-01454"/>
    <x v="123"/>
    <s v="CUST-0290"/>
    <s v="PROD-018"/>
    <x v="22"/>
    <n v="10"/>
    <n v="3560"/>
    <n v="1.4"/>
    <n v="35101.599999999999"/>
    <s v="Pending"/>
    <s v="Delhi"/>
    <x v="0"/>
    <s v="Retail"/>
    <n v="63"/>
    <x v="1"/>
  </r>
  <r>
    <s v="ORD-01455"/>
    <x v="20"/>
    <s v="CUST-0053"/>
    <s v="PROD-015"/>
    <x v="2"/>
    <n v="4"/>
    <n v="2720"/>
    <n v="19.399999999999999"/>
    <n v="8769.2800000000007"/>
    <s v="Refunded"/>
    <s v="Delhi"/>
    <x v="0"/>
    <s v="Retail"/>
    <n v="53"/>
    <x v="1"/>
  </r>
  <r>
    <s v="ORD-01456"/>
    <x v="86"/>
    <s v="CUST-0044"/>
    <s v="PROD-009"/>
    <x v="20"/>
    <n v="5"/>
    <n v="1220"/>
    <n v="15.6"/>
    <n v="5148.3999999999996"/>
    <s v="Completed"/>
    <s v="Hyderabad"/>
    <x v="4"/>
    <s v="SMB"/>
    <n v="29"/>
    <x v="2"/>
  </r>
  <r>
    <s v="ORD-01457"/>
    <x v="234"/>
    <s v="CUST-0267"/>
    <s v="PROD-035"/>
    <x v="17"/>
    <n v="5"/>
    <n v="1090"/>
    <n v="15"/>
    <n v="4632.5"/>
    <s v="Completed"/>
    <s v="Hyderabad"/>
    <x v="3"/>
    <s v="Retail"/>
    <n v="27"/>
    <x v="2"/>
  </r>
  <r>
    <s v="ORD-01458"/>
    <x v="221"/>
    <s v="CUST-0179"/>
    <s v="PROD-032"/>
    <x v="20"/>
    <n v="9"/>
    <n v="370"/>
    <n v="25.4"/>
    <n v="2484.1799999999998"/>
    <s v="Completed"/>
    <s v="Mumbai"/>
    <x v="3"/>
    <s v="SMB"/>
    <n v="54"/>
    <x v="2"/>
  </r>
  <r>
    <s v="ORD-01459"/>
    <x v="145"/>
    <s v="CUST-0089"/>
    <s v="PROD-055"/>
    <x v="0"/>
    <n v="7"/>
    <n v="2860"/>
    <n v="14"/>
    <n v="17217.2"/>
    <s v="Completed"/>
    <s v="Mumbai"/>
    <x v="1"/>
    <s v="SMB"/>
    <n v="43"/>
    <x v="0"/>
  </r>
  <r>
    <s v="ORD-01460"/>
    <x v="156"/>
    <s v="CUST-0090"/>
    <s v="PROD-029"/>
    <x v="17"/>
    <n v="1"/>
    <n v="2210"/>
    <n v="1.7"/>
    <n v="2172.4299999999998"/>
    <s v="Completed"/>
    <s v="Bengaluru"/>
    <x v="2"/>
    <s v="Corporate"/>
    <n v="26"/>
    <x v="2"/>
  </r>
  <r>
    <s v="ORD-01461"/>
    <x v="241"/>
    <s v="CUST-0135"/>
    <s v="PROD-030"/>
    <x v="5"/>
    <n v="3"/>
    <n v="970"/>
    <n v="20.3"/>
    <n v="2319.27"/>
    <s v="Pending"/>
    <s v="Pune"/>
    <x v="2"/>
    <s v="SMB"/>
    <n v="24"/>
    <x v="2"/>
  </r>
  <r>
    <s v="ORD-01462"/>
    <x v="233"/>
    <s v="CUST-0252"/>
    <s v="PROD-018"/>
    <x v="13"/>
    <n v="5"/>
    <n v="3560"/>
    <n v="17.100000000000001"/>
    <n v="14756.2"/>
    <s v="Completed"/>
    <s v="Bengaluru"/>
    <x v="0"/>
    <s v="Retail"/>
    <n v="27"/>
    <x v="3"/>
  </r>
  <r>
    <s v="ORD-01463"/>
    <x v="244"/>
    <s v="CUST-0086"/>
    <s v="PROD-040"/>
    <x v="12"/>
    <n v="10"/>
    <n v="1080"/>
    <n v="12.8"/>
    <n v="9417.6"/>
    <s v="Completed"/>
    <s v="Hyderabad"/>
    <x v="3"/>
    <s v="Corporate"/>
    <n v="56"/>
    <x v="3"/>
  </r>
  <r>
    <s v="ORD-01464"/>
    <x v="258"/>
    <s v="CUST-0264"/>
    <s v="PROD-009"/>
    <x v="23"/>
    <n v="3"/>
    <n v="1220"/>
    <n v="1.9"/>
    <n v="3590.46"/>
    <s v="Completed"/>
    <s v="Pune"/>
    <x v="4"/>
    <s v="Retail"/>
    <n v="59"/>
    <x v="1"/>
  </r>
  <r>
    <s v="ORD-01465"/>
    <x v="319"/>
    <s v="CUST-9851"/>
    <s v="PROD-031"/>
    <x v="18"/>
    <n v="1"/>
    <n v="3730"/>
    <n v="14.7"/>
    <n v="3181.69"/>
    <s v="Pending"/>
    <s v="Pune"/>
    <x v="3"/>
    <s v=""/>
    <s v=""/>
    <x v="1"/>
  </r>
  <r>
    <s v="ORD-01466"/>
    <x v="108"/>
    <s v="CUST-0143"/>
    <s v="PROD-007"/>
    <x v="19"/>
    <n v="3"/>
    <n v="1430"/>
    <n v="13.2"/>
    <n v="3723.72"/>
    <s v="Completed"/>
    <s v="Chennai"/>
    <x v="4"/>
    <s v="SMB"/>
    <n v="52"/>
    <x v="0"/>
  </r>
  <r>
    <s v="ORD-01467"/>
    <x v="3"/>
    <s v="CUST-0086"/>
    <s v="PROD-050"/>
    <x v="26"/>
    <n v="2"/>
    <n v="6080"/>
    <n v="21.8"/>
    <n v="9509.1200000000008"/>
    <s v="Cancelled"/>
    <s v="Hyderabad"/>
    <x v="5"/>
    <s v="Corporate"/>
    <n v="56"/>
    <x v="3"/>
  </r>
  <r>
    <s v="ORD-01468"/>
    <x v="30"/>
    <s v="CUST-0196"/>
    <s v="PROD-048"/>
    <x v="15"/>
    <n v="9"/>
    <n v="5100"/>
    <n v="29.3"/>
    <n v="32451.3"/>
    <s v="Completed"/>
    <s v="Chennai"/>
    <x v="5"/>
    <s v="Retail"/>
    <n v="26"/>
    <x v="1"/>
  </r>
  <r>
    <s v="ORD-01469"/>
    <x v="75"/>
    <s v="CUST-0089"/>
    <s v="PROD-011"/>
    <x v="2"/>
    <n v="5"/>
    <n v="3450"/>
    <n v="5.3"/>
    <n v="16335.75"/>
    <s v="Completed"/>
    <s v="Mumbai"/>
    <x v="0"/>
    <s v="SMB"/>
    <n v="43"/>
    <x v="1"/>
  </r>
  <r>
    <s v="ORD-01470"/>
    <x v="215"/>
    <s v="CUST-0149"/>
    <s v="PROD-003"/>
    <x v="25"/>
    <n v="6"/>
    <n v="3570"/>
    <n v="17.3"/>
    <n v="17714.34"/>
    <s v="Completed"/>
    <s v="Hyderabad"/>
    <x v="4"/>
    <s v="Retail"/>
    <n v="44"/>
    <x v="0"/>
  </r>
  <r>
    <s v="ORD-01471"/>
    <x v="328"/>
    <s v="CUST-0161"/>
    <s v="PROD-031"/>
    <x v="26"/>
    <n v="6"/>
    <n v="3730"/>
    <n v="1"/>
    <n v="22156.2"/>
    <s v="Completed"/>
    <s v="Chennai"/>
    <x v="3"/>
    <s v="Retail"/>
    <n v="38"/>
    <x v="3"/>
  </r>
  <r>
    <s v="ORD-01472"/>
    <x v="182"/>
    <s v="CUST-0022"/>
    <s v="PROD-059"/>
    <x v="7"/>
    <n v="4"/>
    <n v="3780"/>
    <n v="13.1"/>
    <n v="13139.28"/>
    <s v="Completed"/>
    <s v="Bengaluru"/>
    <x v="1"/>
    <s v="Corporate"/>
    <n v="55"/>
    <x v="3"/>
  </r>
  <r>
    <s v="ORD-01473"/>
    <x v="187"/>
    <s v="CUST-0169"/>
    <s v="PROD-017"/>
    <x v="23"/>
    <n v="1"/>
    <n v="2510"/>
    <n v="27.8"/>
    <n v="1812.22"/>
    <s v="Cancelled"/>
    <s v="Bengaluru"/>
    <x v="0"/>
    <s v="SMB"/>
    <n v="42"/>
    <x v="1"/>
  </r>
  <r>
    <s v="ORD-01474"/>
    <x v="251"/>
    <s v="CUST-0290"/>
    <s v="PROD-037"/>
    <x v="0"/>
    <n v="9"/>
    <n v="660"/>
    <n v="29.3"/>
    <n v="4199.58"/>
    <s v="Completed"/>
    <s v="Delhi"/>
    <x v="3"/>
    <s v="Retail"/>
    <n v="63"/>
    <x v="0"/>
  </r>
  <r>
    <s v="ORD-01475"/>
    <x v="11"/>
    <s v="CUST-0156"/>
    <s v="PROD-013"/>
    <x v="14"/>
    <n v="7"/>
    <n v="3640"/>
    <n v="11.6"/>
    <n v="22524.32"/>
    <s v="Completed"/>
    <s v="Mumbai"/>
    <x v="0"/>
    <s v="Retail"/>
    <n v="33"/>
    <x v="2"/>
  </r>
  <r>
    <s v="ORD-01476"/>
    <x v="209"/>
    <s v="CUST-0005"/>
    <s v="PROD-052"/>
    <x v="7"/>
    <n v="8"/>
    <n v="5410"/>
    <n v="25.6"/>
    <n v="32200.32"/>
    <s v="Completed"/>
    <s v="Chennai"/>
    <x v="1"/>
    <s v="Corporate"/>
    <n v="52"/>
    <x v="3"/>
  </r>
  <r>
    <s v="ORD-01477"/>
    <x v="305"/>
    <s v="CUST-0206"/>
    <s v="PROD-058"/>
    <x v="4"/>
    <n v="4"/>
    <n v="2400"/>
    <n v="10.4"/>
    <n v="8601.6"/>
    <s v="Completed"/>
    <s v="Mumbai"/>
    <x v="1"/>
    <s v="Retail"/>
    <n v="40"/>
    <x v="0"/>
  </r>
  <r>
    <s v="ORD-01478"/>
    <x v="144"/>
    <s v="CUST-0240"/>
    <s v="PROD-038"/>
    <x v="8"/>
    <n v="2"/>
    <n v="5490"/>
    <n v="5.4"/>
    <n v="10387.08"/>
    <s v="Completed"/>
    <s v="Chennai"/>
    <x v="3"/>
    <s v="Corporate"/>
    <n v="35"/>
    <x v="2"/>
  </r>
  <r>
    <s v="ORD-01479"/>
    <x v="340"/>
    <s v="CUST-0109"/>
    <s v="PROD-041"/>
    <x v="29"/>
    <n v="6"/>
    <n v="1540"/>
    <n v="0.6"/>
    <n v="9184.56"/>
    <s v="Completed"/>
    <s v="Pune"/>
    <x v="5"/>
    <s v="Retail"/>
    <n v="42"/>
    <x v="1"/>
  </r>
  <r>
    <s v="ORD-01480"/>
    <x v="30"/>
    <s v="CUST-0201"/>
    <s v="PROD-001"/>
    <x v="19"/>
    <n v="3"/>
    <n v="5330"/>
    <n v="1"/>
    <n v="15830.1"/>
    <s v="Pending"/>
    <s v="Hyderabad"/>
    <x v="4"/>
    <s v="Retail"/>
    <n v="31"/>
    <x v="0"/>
  </r>
  <r>
    <s v="ORD-01481"/>
    <x v="190"/>
    <s v="CUST-0100"/>
    <s v="PROD-055"/>
    <x v="27"/>
    <n v="6"/>
    <n v="2860"/>
    <n v="13.3"/>
    <n v="14877.72"/>
    <s v="Completed"/>
    <s v="Hyderabad"/>
    <x v="1"/>
    <s v="Corporate"/>
    <n v="60"/>
    <x v="1"/>
  </r>
  <r>
    <s v="ORD-01482"/>
    <x v="359"/>
    <s v="CUST-0262"/>
    <s v="PROD-046"/>
    <x v="3"/>
    <n v="3"/>
    <n v="4880"/>
    <n v="12.1"/>
    <n v="12868.56"/>
    <s v="Completed"/>
    <s v="Mumbai"/>
    <x v="5"/>
    <s v="Retail"/>
    <n v="52"/>
    <x v="0"/>
  </r>
  <r>
    <s v="ORD-01483"/>
    <x v="177"/>
    <s v="CUST-0067"/>
    <s v="PROD-017"/>
    <x v="1"/>
    <n v="5"/>
    <n v="2510"/>
    <n v="2.9"/>
    <n v="12186.05"/>
    <s v="Pending"/>
    <s v="Delhi"/>
    <x v="0"/>
    <s v="SMB"/>
    <n v="59"/>
    <x v="0"/>
  </r>
  <r>
    <s v="ORD-01484"/>
    <x v="283"/>
    <s v="CUST-9844"/>
    <s v="PROD-006"/>
    <x v="16"/>
    <n v="9"/>
    <n v="3970"/>
    <n v="28"/>
    <n v="25725.599999999999"/>
    <s v="Completed"/>
    <s v="Pune"/>
    <x v="4"/>
    <s v=""/>
    <s v=""/>
    <x v="3"/>
  </r>
  <r>
    <s v="ORD-01485"/>
    <x v="106"/>
    <s v="CUST-0122"/>
    <s v="PROD-053"/>
    <x v="28"/>
    <n v="4"/>
    <n v="470"/>
    <n v="19.100000000000001"/>
    <n v="1520.92"/>
    <s v="Pending"/>
    <s v="Mumbai"/>
    <x v="1"/>
    <s v="Retail"/>
    <n v="44"/>
    <x v="2"/>
  </r>
  <r>
    <s v="ORD-01486"/>
    <x v="269"/>
    <s v="CUST-0129"/>
    <s v="PROD-001"/>
    <x v="5"/>
    <n v="7"/>
    <n v="5330"/>
    <n v="17.2"/>
    <n v="30892.68"/>
    <s v="Cancelled"/>
    <s v="Hyderabad"/>
    <x v="4"/>
    <s v="Retail"/>
    <n v="29"/>
    <x v="2"/>
  </r>
  <r>
    <s v="ORD-01487"/>
    <x v="187"/>
    <s v="CUST-0056"/>
    <s v="PROD-035"/>
    <x v="27"/>
    <n v="4"/>
    <n v="1090"/>
    <n v="4.9000000000000004"/>
    <n v="4146.3599999999997"/>
    <s v="Cancelled"/>
    <s v="Bengaluru"/>
    <x v="3"/>
    <s v="SMB"/>
    <n v="46"/>
    <x v="1"/>
  </r>
  <r>
    <s v="ORD-01488"/>
    <x v="145"/>
    <s v="CUST-0080"/>
    <s v="PROD-054"/>
    <x v="18"/>
    <n v="2"/>
    <n v="1010"/>
    <n v="14"/>
    <n v="1737.2"/>
    <s v="Completed"/>
    <s v="Pune"/>
    <x v="1"/>
    <s v="SMB"/>
    <n v="30"/>
    <x v="1"/>
  </r>
  <r>
    <s v="ORD-01489"/>
    <x v="30"/>
    <s v="CUST-0155"/>
    <s v="PROD-004"/>
    <x v="29"/>
    <n v="9"/>
    <n v="3870"/>
    <n v="8.1999999999999993"/>
    <n v="31973.94"/>
    <s v="Completed"/>
    <s v="Pune"/>
    <x v="4"/>
    <s v="Corporate"/>
    <n v="40"/>
    <x v="1"/>
  </r>
  <r>
    <s v="ORD-01490"/>
    <x v="304"/>
    <s v="CUST-0278"/>
    <s v="PROD-008"/>
    <x v="22"/>
    <n v="7"/>
    <n v="2660"/>
    <n v="15.9"/>
    <n v="15659.42"/>
    <s v="Completed"/>
    <s v="Hyderabad"/>
    <x v="4"/>
    <s v="Retail"/>
    <n v="41"/>
    <x v="1"/>
  </r>
  <r>
    <s v="ORD-01491"/>
    <x v="204"/>
    <s v="CUST-0075"/>
    <s v="PROD-007"/>
    <x v="7"/>
    <n v="4"/>
    <n v="1430"/>
    <n v="25.6"/>
    <n v="4255.68"/>
    <s v="Completed"/>
    <s v="Mumbai"/>
    <x v="4"/>
    <s v="Corporate"/>
    <n v="55"/>
    <x v="3"/>
  </r>
  <r>
    <s v="ORD-01492"/>
    <x v="163"/>
    <s v="CUST-0274"/>
    <s v="PROD-046"/>
    <x v="12"/>
    <n v="4"/>
    <n v="4880"/>
    <n v="19.399999999999999"/>
    <n v="15733.12"/>
    <s v="Cancelled"/>
    <s v="Bengaluru"/>
    <x v="5"/>
    <s v="Corporate"/>
    <n v="36"/>
    <x v="3"/>
  </r>
  <r>
    <s v="ORD-01493"/>
    <x v="286"/>
    <s v="CUST-0197"/>
    <s v="PROD-060"/>
    <x v="19"/>
    <n v="2"/>
    <n v="190"/>
    <n v="9"/>
    <n v="345.8"/>
    <s v="Completed"/>
    <s v="Bengaluru"/>
    <x v="1"/>
    <s v="Retail"/>
    <n v="55"/>
    <x v="0"/>
  </r>
  <r>
    <s v="ORD-01494"/>
    <x v="209"/>
    <s v="CUST-0294"/>
    <s v="PROD-045"/>
    <x v="7"/>
    <n v="1"/>
    <n v="3020"/>
    <n v="3.6"/>
    <n v="2911.28"/>
    <s v="Refunded"/>
    <s v="Delhi"/>
    <x v="5"/>
    <s v="Corporate"/>
    <n v="31"/>
    <x v="3"/>
  </r>
  <r>
    <s v="ORD-01495"/>
    <x v="131"/>
    <s v="CUST-0281"/>
    <s v="PROD-046"/>
    <x v="7"/>
    <n v="2"/>
    <n v="4880"/>
    <n v="2"/>
    <n v="9564.7999999999993"/>
    <s v="Cancelled"/>
    <s v="Bengaluru"/>
    <x v="5"/>
    <s v="Corporate"/>
    <n v="57"/>
    <x v="3"/>
  </r>
  <r>
    <s v="ORD-01496"/>
    <x v="158"/>
    <s v="CUST-0130"/>
    <s v="PROD-058"/>
    <x v="28"/>
    <n v="4"/>
    <n v="2400"/>
    <n v="11.5"/>
    <n v="8496"/>
    <s v="Completed"/>
    <s v="Bengaluru"/>
    <x v="1"/>
    <s v="Corporate"/>
    <n v="41"/>
    <x v="2"/>
  </r>
  <r>
    <s v="ORD-01497"/>
    <x v="298"/>
    <s v="CUST-0097"/>
    <s v="PROD-050"/>
    <x v="25"/>
    <n v="2"/>
    <n v="6080"/>
    <n v="0.5"/>
    <n v="12099.2"/>
    <s v="Cancelled"/>
    <s v="Mumbai"/>
    <x v="5"/>
    <s v="Retail"/>
    <n v="65"/>
    <x v="0"/>
  </r>
  <r>
    <s v="ORD-01498"/>
    <x v="360"/>
    <s v="CUST-0148"/>
    <s v="PROD-023"/>
    <x v="12"/>
    <n v="7"/>
    <n v="2380"/>
    <n v="12.3"/>
    <n v="14610.82"/>
    <s v="Completed"/>
    <s v="Chennai"/>
    <x v="2"/>
    <s v="Retail"/>
    <n v="32"/>
    <x v="3"/>
  </r>
  <r>
    <s v="ORD-01499"/>
    <x v="89"/>
    <s v="CUST-0102"/>
    <s v="PROD-041"/>
    <x v="19"/>
    <n v="10"/>
    <n v="1540"/>
    <n v="20.6"/>
    <n v="12227.6"/>
    <s v="Completed"/>
    <s v="Chennai"/>
    <x v="5"/>
    <s v="SMB"/>
    <n v="62"/>
    <x v="0"/>
  </r>
  <r>
    <s v="ORD-01500"/>
    <x v="226"/>
    <s v="CUST-0265"/>
    <s v="PROD-004"/>
    <x v="8"/>
    <n v="7"/>
    <n v="3870"/>
    <n v="6.1"/>
    <n v="25437.51"/>
    <s v="Completed"/>
    <s v="Chennai"/>
    <x v="4"/>
    <s v="Retail"/>
    <n v="49"/>
    <x v="2"/>
  </r>
  <r>
    <s v="ORD-01501"/>
    <x v="266"/>
    <s v="CUST-0073"/>
    <s v="PROD-032"/>
    <x v="13"/>
    <n v="3"/>
    <n v="370"/>
    <n v="13.7"/>
    <n v="957.93"/>
    <s v="Completed"/>
    <s v="Pune"/>
    <x v="3"/>
    <s v="Corporate"/>
    <n v="40"/>
    <x v="3"/>
  </r>
  <r>
    <s v="ORD-01502"/>
    <x v="60"/>
    <s v="CUST-0070"/>
    <s v="PROD-060"/>
    <x v="28"/>
    <n v="8"/>
    <n v="190"/>
    <n v="0.2"/>
    <n v="1516.96"/>
    <s v="Completed"/>
    <s v="Mumbai"/>
    <x v="1"/>
    <s v="Retail"/>
    <n v="42"/>
    <x v="2"/>
  </r>
  <r>
    <s v="ORD-01503"/>
    <x v="350"/>
    <s v="CUST-0202"/>
    <s v="PROD-007"/>
    <x v="23"/>
    <n v="6"/>
    <n v="1430"/>
    <n v="0.1"/>
    <n v="8571.42"/>
    <s v="Completed"/>
    <s v="Chennai"/>
    <x v="4"/>
    <s v="Retail"/>
    <n v="39"/>
    <x v="1"/>
  </r>
  <r>
    <s v="ORD-01504"/>
    <x v="63"/>
    <s v="CUST-0240"/>
    <s v="PROD-053"/>
    <x v="16"/>
    <n v="4"/>
    <n v="470"/>
    <n v="3"/>
    <n v="1823.6"/>
    <s v="Completed"/>
    <s v="Chennai"/>
    <x v="1"/>
    <s v="Corporate"/>
    <n v="35"/>
    <x v="3"/>
  </r>
  <r>
    <s v="ORD-01505"/>
    <x v="225"/>
    <s v="CUST-0163"/>
    <s v="PROD-018"/>
    <x v="10"/>
    <n v="4"/>
    <n v="3560"/>
    <n v="1.1000000000000001"/>
    <n v="14083.36"/>
    <s v="Completed"/>
    <s v="Pune"/>
    <x v="0"/>
    <s v="Retail"/>
    <n v="49"/>
    <x v="0"/>
  </r>
  <r>
    <s v="ORD-01506"/>
    <x v="126"/>
    <s v="CUST-0238"/>
    <s v="PROD-046"/>
    <x v="27"/>
    <n v="5"/>
    <n v="4880"/>
    <n v="17"/>
    <n v="20252"/>
    <s v="Completed"/>
    <s v="Delhi"/>
    <x v="5"/>
    <s v="Retail"/>
    <n v="49"/>
    <x v="1"/>
  </r>
  <r>
    <s v="ORD-01507"/>
    <x v="64"/>
    <s v="CUST-0196"/>
    <s v="PROD-003"/>
    <x v="18"/>
    <n v="9"/>
    <n v="3570"/>
    <n v="12"/>
    <n v="28274.400000000001"/>
    <s v="Completed"/>
    <s v="Chennai"/>
    <x v="4"/>
    <s v="Retail"/>
    <n v="26"/>
    <x v="1"/>
  </r>
  <r>
    <s v="ORD-01508"/>
    <x v="43"/>
    <s v="CUST-0220"/>
    <s v="PROD-051"/>
    <x v="5"/>
    <n v="6"/>
    <n v="3450"/>
    <n v="22.7"/>
    <n v="16001.1"/>
    <s v="Cancelled"/>
    <s v="Chennai"/>
    <x v="1"/>
    <s v="Retail"/>
    <n v="34"/>
    <x v="2"/>
  </r>
  <r>
    <s v="ORD-01509"/>
    <x v="145"/>
    <s v="CUST-0142"/>
    <s v="PROD-040"/>
    <x v="25"/>
    <n v="10"/>
    <n v="1080"/>
    <n v="27.4"/>
    <n v="7840.8"/>
    <s v="Completed"/>
    <s v="Chennai"/>
    <x v="3"/>
    <s v="Corporate"/>
    <n v="55"/>
    <x v="0"/>
  </r>
  <r>
    <s v="ORD-01510"/>
    <x v="150"/>
    <s v="CUST-0217"/>
    <s v="PROD-041"/>
    <x v="5"/>
    <n v="6"/>
    <n v="1540"/>
    <n v="17.100000000000001"/>
    <n v="7659.96"/>
    <s v="Completed"/>
    <s v="Pune"/>
    <x v="5"/>
    <s v="SMB"/>
    <n v="59"/>
    <x v="2"/>
  </r>
  <r>
    <s v="ORD-01511"/>
    <x v="361"/>
    <s v="CUST-9582"/>
    <s v="PROD-015"/>
    <x v="22"/>
    <n v="6"/>
    <n v="2720"/>
    <n v="28.1"/>
    <n v="11734.08"/>
    <s v="Completed"/>
    <s v="Mumbai"/>
    <x v="0"/>
    <s v=""/>
    <s v=""/>
    <x v="1"/>
  </r>
  <r>
    <s v="ORD-01512"/>
    <x v="28"/>
    <s v="CUST-0267"/>
    <s v="PROD-034"/>
    <x v="1"/>
    <n v="2"/>
    <n v="5080"/>
    <n v="11.1"/>
    <n v="9032.24"/>
    <s v="Completed"/>
    <s v="Hyderabad"/>
    <x v="3"/>
    <s v="Retail"/>
    <n v="27"/>
    <x v="0"/>
  </r>
  <r>
    <s v="ORD-01513"/>
    <x v="90"/>
    <s v="CUST-9565"/>
    <s v="PROD-016"/>
    <x v="4"/>
    <n v="5"/>
    <n v="620"/>
    <n v="10.9"/>
    <n v="2762.1"/>
    <s v="Pending"/>
    <s v="Chennai"/>
    <x v="0"/>
    <s v=""/>
    <s v=""/>
    <x v="0"/>
  </r>
  <r>
    <s v="ORD-01514"/>
    <x v="312"/>
    <s v="CUST-0051"/>
    <s v="PROD-019"/>
    <x v="11"/>
    <n v="3"/>
    <n v="2480"/>
    <n v="5"/>
    <n v="7068"/>
    <s v="Completed"/>
    <s v="Pune"/>
    <x v="0"/>
    <s v="SMB"/>
    <n v="54"/>
    <x v="0"/>
  </r>
  <r>
    <s v="ORD-01515"/>
    <x v="205"/>
    <s v="CUST-0075"/>
    <s v="PROD-054"/>
    <x v="1"/>
    <n v="9"/>
    <n v="1010"/>
    <n v="21.9"/>
    <n v="7099.29"/>
    <s v="Completed"/>
    <s v="Mumbai"/>
    <x v="1"/>
    <s v="Corporate"/>
    <n v="55"/>
    <x v="0"/>
  </r>
  <r>
    <s v="ORD-01516"/>
    <x v="269"/>
    <s v="CUST-0106"/>
    <s v="PROD-040"/>
    <x v="10"/>
    <n v="2"/>
    <n v="1080"/>
    <n v="8.5"/>
    <n v="1976.4"/>
    <s v="Completed"/>
    <s v="Pune"/>
    <x v="3"/>
    <s v="Retail"/>
    <n v="22"/>
    <x v="0"/>
  </r>
  <r>
    <s v="ORD-01517"/>
    <x v="354"/>
    <s v="CUST-0053"/>
    <s v="PROD-053"/>
    <x v="5"/>
    <n v="5"/>
    <n v="470"/>
    <n v="8"/>
    <n v="2162"/>
    <s v="Completed"/>
    <s v="Delhi"/>
    <x v="1"/>
    <s v="Retail"/>
    <n v="53"/>
    <x v="2"/>
  </r>
  <r>
    <s v="ORD-01518"/>
    <x v="67"/>
    <s v="CUST-0042"/>
    <s v="PROD-006"/>
    <x v="16"/>
    <n v="9"/>
    <n v="3970"/>
    <n v="18.5"/>
    <n v="29119.95"/>
    <s v="Completed"/>
    <s v="Pune"/>
    <x v="4"/>
    <s v="Retail"/>
    <n v="25"/>
    <x v="3"/>
  </r>
  <r>
    <s v="ORD-01519"/>
    <x v="105"/>
    <s v="CUST-0120"/>
    <s v="PROD-044"/>
    <x v="9"/>
    <n v="9"/>
    <n v="1650"/>
    <n v="19.5"/>
    <n v="11954.25"/>
    <s v="Completed"/>
    <s v="Mumbai"/>
    <x v="5"/>
    <s v="Retail"/>
    <n v="29"/>
    <x v="1"/>
  </r>
  <r>
    <s v="ORD-01520"/>
    <x v="234"/>
    <s v="CUST-0166"/>
    <s v="PROD-043"/>
    <x v="3"/>
    <n v="9"/>
    <n v="3350"/>
    <n v="4.0999999999999996"/>
    <n v="28913.85"/>
    <s v="Completed"/>
    <s v="Hyderabad"/>
    <x v="5"/>
    <s v="Retail"/>
    <n v="31"/>
    <x v="0"/>
  </r>
  <r>
    <s v="ORD-01521"/>
    <x v="305"/>
    <s v="CUST-0175"/>
    <s v="PROD-006"/>
    <x v="12"/>
    <n v="7"/>
    <n v="3970"/>
    <n v="15.6"/>
    <n v="23454.76"/>
    <s v="Completed"/>
    <s v="Delhi"/>
    <x v="4"/>
    <s v="Corporate"/>
    <n v="55"/>
    <x v="3"/>
  </r>
  <r>
    <s v="ORD-01522"/>
    <x v="253"/>
    <s v="CUST-0001"/>
    <s v="PROD-027"/>
    <x v="26"/>
    <n v="7"/>
    <n v="3780"/>
    <n v="18.7"/>
    <n v="21511.98"/>
    <s v="Completed"/>
    <s v="Pune"/>
    <x v="2"/>
    <s v="Retail"/>
    <n v="36"/>
    <x v="3"/>
  </r>
  <r>
    <s v="ORD-01523"/>
    <x v="327"/>
    <s v="CUST-0238"/>
    <s v="PROD-020"/>
    <x v="22"/>
    <n v="4"/>
    <n v="820"/>
    <n v="18.8"/>
    <n v="2663.36"/>
    <s v="Cancelled"/>
    <s v="Delhi"/>
    <x v="0"/>
    <s v="Retail"/>
    <n v="49"/>
    <x v="1"/>
  </r>
  <r>
    <s v="ORD-01524"/>
    <x v="77"/>
    <s v="CUST-0279"/>
    <s v="PROD-044"/>
    <x v="24"/>
    <n v="1"/>
    <n v="1650"/>
    <n v="18.8"/>
    <n v="1339.8"/>
    <s v="Cancelled"/>
    <s v="Mumbai"/>
    <x v="5"/>
    <s v="Retail"/>
    <n v="56"/>
    <x v="3"/>
  </r>
  <r>
    <s v="ORD-01525"/>
    <x v="245"/>
    <s v="CUST-0042"/>
    <s v="PROD-027"/>
    <x v="13"/>
    <n v="2"/>
    <n v="3780"/>
    <n v="1"/>
    <n v="7484.4"/>
    <s v="Refunded"/>
    <s v="Pune"/>
    <x v="2"/>
    <s v="Retail"/>
    <n v="25"/>
    <x v="3"/>
  </r>
  <r>
    <s v="ORD-01526"/>
    <x v="53"/>
    <s v="CUST-0137"/>
    <s v="PROD-029"/>
    <x v="28"/>
    <n v="5"/>
    <n v="2210"/>
    <n v="16.600000000000001"/>
    <n v="9215.7000000000007"/>
    <s v="Completed"/>
    <s v="Mumbai"/>
    <x v="2"/>
    <s v="Retail"/>
    <n v="41"/>
    <x v="2"/>
  </r>
  <r>
    <s v="ORD-01527"/>
    <x v="173"/>
    <s v="CUST-0160"/>
    <s v="PROD-056"/>
    <x v="9"/>
    <n v="10"/>
    <n v="6940"/>
    <n v="10.6"/>
    <n v="62043.6"/>
    <s v="Completed"/>
    <s v="Hyderabad"/>
    <x v="1"/>
    <s v="Retail"/>
    <n v="27"/>
    <x v="1"/>
  </r>
  <r>
    <s v="ORD-01528"/>
    <x v="253"/>
    <s v="CUST-0102"/>
    <s v="PROD-042"/>
    <x v="1"/>
    <n v="8"/>
    <n v="2290"/>
    <n v="12.2"/>
    <n v="16084.96"/>
    <s v="Completed"/>
    <s v="Chennai"/>
    <x v="5"/>
    <s v="SMB"/>
    <n v="62"/>
    <x v="0"/>
  </r>
  <r>
    <s v="ORD-01529"/>
    <x v="201"/>
    <s v="CUST-0133"/>
    <s v="PROD-033"/>
    <x v="5"/>
    <n v="5"/>
    <n v="2030"/>
    <n v="23.8"/>
    <n v="7734.3"/>
    <s v="Cancelled"/>
    <s v="Chennai"/>
    <x v="3"/>
    <s v="Retail"/>
    <n v="26"/>
    <x v="2"/>
  </r>
  <r>
    <s v="ORD-01530"/>
    <x v="14"/>
    <s v="CUST-0080"/>
    <s v="PROD-006"/>
    <x v="20"/>
    <n v="3"/>
    <n v="3970"/>
    <n v="7.7"/>
    <n v="10992.93"/>
    <s v="Completed"/>
    <s v="Pune"/>
    <x v="4"/>
    <s v="SMB"/>
    <n v="30"/>
    <x v="2"/>
  </r>
  <r>
    <s v="ORD-01821"/>
    <x v="214"/>
    <s v="CUST-0299"/>
    <s v="PROD-020"/>
    <x v="29"/>
    <n v="1"/>
    <n v="820"/>
    <n v="5.4"/>
    <n v="775.72"/>
    <s v="Completed"/>
    <s v="Mumbai"/>
    <x v="0"/>
    <s v="Corporate"/>
    <n v="51"/>
    <x v="1"/>
  </r>
  <r>
    <s v="ORD-01532"/>
    <x v="22"/>
    <s v="CUST-0078"/>
    <s v="PROD-004"/>
    <x v="5"/>
    <n v="3"/>
    <n v="3870"/>
    <n v="1.9"/>
    <n v="11389.41"/>
    <s v="Completed"/>
    <s v="Delhi"/>
    <x v="4"/>
    <s v="Retail"/>
    <n v="31"/>
    <x v="2"/>
  </r>
  <r>
    <s v="ORD-01533"/>
    <x v="197"/>
    <s v="CUST-0251"/>
    <s v="PROD-030"/>
    <x v="24"/>
    <n v="6"/>
    <n v="970"/>
    <n v="27.1"/>
    <n v="4242.78"/>
    <s v="Completed"/>
    <s v="Mumbai"/>
    <x v="2"/>
    <s v="Retail"/>
    <n v="44"/>
    <x v="3"/>
  </r>
  <r>
    <s v="ORD-01534"/>
    <x v="237"/>
    <s v="CUST-0191"/>
    <s v="PROD-046"/>
    <x v="5"/>
    <n v="1"/>
    <n v="4880"/>
    <n v="26.8"/>
    <n v="3572.16"/>
    <s v="Completed"/>
    <s v="Hyderabad"/>
    <x v="5"/>
    <s v="SMB"/>
    <n v="43"/>
    <x v="2"/>
  </r>
  <r>
    <s v="ORD-01535"/>
    <x v="186"/>
    <s v="CUST-0130"/>
    <s v="PROD-022"/>
    <x v="12"/>
    <n v="1"/>
    <n v="2270"/>
    <n v="22.2"/>
    <n v="1766.06"/>
    <s v="Completed"/>
    <s v="Bengaluru"/>
    <x v="2"/>
    <s v="Corporate"/>
    <n v="41"/>
    <x v="3"/>
  </r>
  <r>
    <s v="ORD-01536"/>
    <x v="351"/>
    <s v="CUST-0056"/>
    <s v="PROD-047"/>
    <x v="17"/>
    <n v="10"/>
    <n v="3450"/>
    <n v="21.9"/>
    <n v="26944.5"/>
    <s v="Completed"/>
    <s v="Bengaluru"/>
    <x v="5"/>
    <s v="SMB"/>
    <n v="46"/>
    <x v="2"/>
  </r>
  <r>
    <s v="ORD-01537"/>
    <x v="48"/>
    <s v="CUST-0185"/>
    <s v="PROD-022"/>
    <x v="23"/>
    <n v="3"/>
    <n v="2270"/>
    <n v="19.100000000000001"/>
    <n v="5509.29"/>
    <s v="Cancelled"/>
    <s v="Hyderabad"/>
    <x v="2"/>
    <s v="SMB"/>
    <n v="43"/>
    <x v="1"/>
  </r>
  <r>
    <s v="ORD-01538"/>
    <x v="107"/>
    <s v="CUST-0195"/>
    <s v="PROD-029"/>
    <x v="14"/>
    <n v="10"/>
    <n v="2210"/>
    <n v="22.3"/>
    <n v="17171.7"/>
    <s v="Completed"/>
    <s v="Bengaluru"/>
    <x v="2"/>
    <s v="Retail"/>
    <n v="28"/>
    <x v="2"/>
  </r>
  <r>
    <s v="ORD-01539"/>
    <x v="57"/>
    <s v="CUST-0067"/>
    <s v="PROD-033"/>
    <x v="23"/>
    <n v="9"/>
    <n v="2030"/>
    <n v="24.8"/>
    <n v="13739.04"/>
    <s v="Completed"/>
    <s v="Delhi"/>
    <x v="3"/>
    <s v="SMB"/>
    <n v="59"/>
    <x v="1"/>
  </r>
  <r>
    <s v="ORD-01540"/>
    <x v="82"/>
    <s v="CUST-0149"/>
    <s v="PROD-043"/>
    <x v="12"/>
    <n v="5"/>
    <n v="3350"/>
    <n v="18.2"/>
    <n v="13701.5"/>
    <s v="Completed"/>
    <s v="Hyderabad"/>
    <x v="5"/>
    <s v="Retail"/>
    <n v="44"/>
    <x v="3"/>
  </r>
  <r>
    <s v="ORD-01541"/>
    <x v="243"/>
    <s v="CUST-0268"/>
    <s v="PROD-013"/>
    <x v="4"/>
    <n v="7"/>
    <n v="3640"/>
    <n v="14.4"/>
    <n v="21810.880000000001"/>
    <s v="Completed"/>
    <s v="Chennai"/>
    <x v="0"/>
    <s v="Retail"/>
    <n v="35"/>
    <x v="0"/>
  </r>
  <r>
    <s v="ORD-01542"/>
    <x v="217"/>
    <s v="CUST-0126"/>
    <s v="PROD-051"/>
    <x v="26"/>
    <n v="9"/>
    <n v="3450"/>
    <n v="20.100000000000001"/>
    <n v="24808.95"/>
    <s v="Completed"/>
    <s v="Mumbai"/>
    <x v="1"/>
    <s v="Retail"/>
    <n v="37"/>
    <x v="3"/>
  </r>
  <r>
    <s v="ORD-01543"/>
    <x v="68"/>
    <s v="CUST-0017"/>
    <s v="PROD-047"/>
    <x v="11"/>
    <n v="6"/>
    <n v="3450"/>
    <n v="19.899999999999999"/>
    <n v="16580.7"/>
    <s v="Pending"/>
    <s v="Delhi"/>
    <x v="5"/>
    <s v="SMB"/>
    <n v="38"/>
    <x v="0"/>
  </r>
  <r>
    <s v="ORD-01544"/>
    <x v="37"/>
    <s v="CUST-0250"/>
    <s v="PROD-042"/>
    <x v="24"/>
    <n v="4"/>
    <n v="2290"/>
    <n v="4.8"/>
    <n v="8720.32"/>
    <s v="Pending"/>
    <s v="Delhi"/>
    <x v="5"/>
    <s v="Retail"/>
    <n v="31"/>
    <x v="3"/>
  </r>
  <r>
    <s v="ORD-01545"/>
    <x v="319"/>
    <s v="CUST-0245"/>
    <s v="PROD-057"/>
    <x v="9"/>
    <n v="9"/>
    <n v="960"/>
    <n v="2.4"/>
    <n v="8432.64"/>
    <s v="Completed"/>
    <s v="Hyderabad"/>
    <x v="1"/>
    <s v="Retail"/>
    <n v="65"/>
    <x v="1"/>
  </r>
  <r>
    <s v="ORD-01546"/>
    <x v="135"/>
    <s v="CUST-0016"/>
    <s v="PROD-039"/>
    <x v="5"/>
    <n v="9"/>
    <n v="4610"/>
    <n v="21.3"/>
    <n v="32652.63"/>
    <s v="Completed"/>
    <s v="Delhi"/>
    <x v="3"/>
    <s v="SMB"/>
    <n v="26"/>
    <x v="2"/>
  </r>
  <r>
    <s v="ORD-01547"/>
    <x v="282"/>
    <s v="CUST-0063"/>
    <s v="PROD-028"/>
    <x v="11"/>
    <n v="1"/>
    <n v="3660"/>
    <n v="15.6"/>
    <n v="3089.04"/>
    <s v="Completed"/>
    <s v="Mumbai"/>
    <x v="2"/>
    <s v="SMB"/>
    <n v="53"/>
    <x v="0"/>
  </r>
  <r>
    <s v="ORD-01548"/>
    <x v="168"/>
    <s v="CUST-0200"/>
    <s v="PROD-008"/>
    <x v="27"/>
    <n v="5"/>
    <n v="2660"/>
    <n v="20.399999999999999"/>
    <n v="10586.8"/>
    <s v="Completed"/>
    <s v="Hyderabad"/>
    <x v="4"/>
    <s v="Corporate"/>
    <n v="46"/>
    <x v="1"/>
  </r>
  <r>
    <s v="ORD-01549"/>
    <x v="24"/>
    <s v="CUST-0017"/>
    <s v="PROD-041"/>
    <x v="17"/>
    <n v="8"/>
    <n v="1540"/>
    <n v="0.5"/>
    <n v="12258.4"/>
    <s v="Completed"/>
    <s v="Delhi"/>
    <x v="5"/>
    <s v="SMB"/>
    <n v="38"/>
    <x v="2"/>
  </r>
  <r>
    <s v="ORD-01550"/>
    <x v="356"/>
    <s v="CUST-0264"/>
    <s v="PROD-006"/>
    <x v="10"/>
    <n v="4"/>
    <n v="3970"/>
    <n v="22.5"/>
    <n v="12307"/>
    <s v="Completed"/>
    <s v="Pune"/>
    <x v="4"/>
    <s v="Retail"/>
    <n v="59"/>
    <x v="0"/>
  </r>
  <r>
    <s v="ORD-01551"/>
    <x v="213"/>
    <s v="CUST-0102"/>
    <s v="PROD-059"/>
    <x v="0"/>
    <n v="8"/>
    <n v="3780"/>
    <n v="3.8"/>
    <n v="29090.880000000001"/>
    <s v="Completed"/>
    <s v="Chennai"/>
    <x v="1"/>
    <s v="SMB"/>
    <n v="62"/>
    <x v="0"/>
  </r>
  <r>
    <s v="ORD-01552"/>
    <x v="269"/>
    <s v="CUST-0092"/>
    <s v="PROD-022"/>
    <x v="10"/>
    <n v="4"/>
    <n v="2270"/>
    <n v="3.8"/>
    <n v="8734.9599999999991"/>
    <s v="Cancelled"/>
    <s v="Bengaluru"/>
    <x v="2"/>
    <s v="SMB"/>
    <n v="28"/>
    <x v="0"/>
  </r>
  <r>
    <s v="ORD-01553"/>
    <x v="300"/>
    <s v="CUST-0139"/>
    <s v="PROD-009"/>
    <x v="18"/>
    <n v="10"/>
    <n v="1220"/>
    <n v="19.5"/>
    <n v="9821"/>
    <s v="Completed"/>
    <s v="Hyderabad"/>
    <x v="4"/>
    <s v="SMB"/>
    <n v="65"/>
    <x v="1"/>
  </r>
  <r>
    <s v="ORD-01554"/>
    <x v="188"/>
    <s v="CUST-0129"/>
    <s v="PROD-043"/>
    <x v="15"/>
    <n v="10"/>
    <n v="3350"/>
    <n v="7.8"/>
    <n v="30887"/>
    <s v="Completed"/>
    <s v="Hyderabad"/>
    <x v="5"/>
    <s v="Retail"/>
    <n v="29"/>
    <x v="1"/>
  </r>
  <r>
    <s v="ORD-01555"/>
    <x v="243"/>
    <s v="CUST-9841"/>
    <s v="PROD-043"/>
    <x v="14"/>
    <n v="7"/>
    <n v="3350"/>
    <n v="14.5"/>
    <n v="20049.75"/>
    <s v="Completed"/>
    <s v="Bengaluru"/>
    <x v="5"/>
    <s v=""/>
    <s v=""/>
    <x v="2"/>
  </r>
  <r>
    <s v="ORD-01556"/>
    <x v="242"/>
    <s v="CUST-0069"/>
    <s v="PROD-038"/>
    <x v="2"/>
    <n v="6"/>
    <n v="5490"/>
    <n v="8"/>
    <n v="30304.799999999999"/>
    <s v="Completed"/>
    <s v="Chennai"/>
    <x v="3"/>
    <s v="Retail"/>
    <n v="51"/>
    <x v="1"/>
  </r>
  <r>
    <s v="ORD-01557"/>
    <x v="221"/>
    <s v="CUST-0140"/>
    <s v="PROD-055"/>
    <x v="26"/>
    <n v="3"/>
    <n v="2860"/>
    <n v="19.899999999999999"/>
    <n v="6872.58"/>
    <s v="Completed"/>
    <s v="Hyderabad"/>
    <x v="1"/>
    <s v="SMB"/>
    <n v="39"/>
    <x v="3"/>
  </r>
  <r>
    <s v="ORD-01558"/>
    <x v="146"/>
    <s v="CUST-0138"/>
    <s v="PROD-010"/>
    <x v="6"/>
    <n v="3"/>
    <n v="2640"/>
    <n v="29.3"/>
    <n v="5599.44"/>
    <s v="Completed"/>
    <s v="Chennai"/>
    <x v="4"/>
    <s v="Retail"/>
    <n v="24"/>
    <x v="2"/>
  </r>
  <r>
    <s v="ORD-01559"/>
    <x v="360"/>
    <s v="CUST-0277"/>
    <s v="PROD-011"/>
    <x v="20"/>
    <n v="8"/>
    <n v="3450"/>
    <n v="15.2"/>
    <n v="23404.799999999999"/>
    <s v="Cancelled"/>
    <s v="Chennai"/>
    <x v="0"/>
    <s v="Corporate"/>
    <n v="34"/>
    <x v="2"/>
  </r>
  <r>
    <s v="ORD-01560"/>
    <x v="134"/>
    <s v="CUST-0017"/>
    <s v="PROD-032"/>
    <x v="5"/>
    <n v="6"/>
    <n v="370"/>
    <n v="7"/>
    <n v="2064.6"/>
    <s v="Completed"/>
    <s v="Delhi"/>
    <x v="3"/>
    <s v="SMB"/>
    <n v="38"/>
    <x v="2"/>
  </r>
  <r>
    <s v="ORD-01561"/>
    <x v="96"/>
    <s v="CUST-0170"/>
    <s v="PROD-025"/>
    <x v="20"/>
    <n v="10"/>
    <n v="4060"/>
    <n v="4.7"/>
    <n v="38691.800000000003"/>
    <s v="Cancelled"/>
    <s v="Mumbai"/>
    <x v="2"/>
    <s v="SMB"/>
    <n v="22"/>
    <x v="2"/>
  </r>
  <r>
    <s v="ORD-01562"/>
    <x v="87"/>
    <s v="CUST-0022"/>
    <s v="PROD-004"/>
    <x v="6"/>
    <n v="1"/>
    <n v="3870"/>
    <n v="18.2"/>
    <n v="3165.66"/>
    <s v="Pending"/>
    <s v="Bengaluru"/>
    <x v="4"/>
    <s v="Corporate"/>
    <n v="55"/>
    <x v="2"/>
  </r>
  <r>
    <s v="ORD-01563"/>
    <x v="217"/>
    <s v="CUST-0158"/>
    <s v="PROD-001"/>
    <x v="3"/>
    <n v="1"/>
    <n v="5330"/>
    <n v="3.9"/>
    <n v="5122.13"/>
    <s v="Refunded"/>
    <s v="Pune"/>
    <x v="4"/>
    <s v="Corporate"/>
    <n v="42"/>
    <x v="0"/>
  </r>
  <r>
    <s v="ORD-01564"/>
    <x v="42"/>
    <s v="CUST-0160"/>
    <s v="PROD-032"/>
    <x v="16"/>
    <n v="8"/>
    <n v="370"/>
    <n v="1.3"/>
    <n v="2921.52"/>
    <s v="Completed"/>
    <s v="Hyderabad"/>
    <x v="3"/>
    <s v="Retail"/>
    <n v="27"/>
    <x v="3"/>
  </r>
  <r>
    <s v="ORD-01565"/>
    <x v="81"/>
    <s v="CUST-0009"/>
    <s v="PROD-005"/>
    <x v="16"/>
    <n v="7"/>
    <n v="300"/>
    <n v="7.1"/>
    <n v="1950.9"/>
    <s v="Completed"/>
    <s v="Mumbai"/>
    <x v="4"/>
    <s v="Retail"/>
    <n v="61"/>
    <x v="3"/>
  </r>
  <r>
    <s v="ORD-01566"/>
    <x v="118"/>
    <s v="CUST-0151"/>
    <s v="PROD-043"/>
    <x v="27"/>
    <n v="8"/>
    <n v="3350"/>
    <n v="11.2"/>
    <n v="23798.400000000001"/>
    <s v="Completed"/>
    <s v="Mumbai"/>
    <x v="5"/>
    <s v="Retail"/>
    <n v="53"/>
    <x v="1"/>
  </r>
  <r>
    <s v="ORD-01567"/>
    <x v="72"/>
    <s v="CUST-0105"/>
    <s v="PROD-056"/>
    <x v="18"/>
    <n v="6"/>
    <n v="6940"/>
    <n v="0.3"/>
    <n v="41515.08"/>
    <s v="Completed"/>
    <s v="Chennai"/>
    <x v="1"/>
    <s v="SMB"/>
    <n v="51"/>
    <x v="1"/>
  </r>
  <r>
    <s v="ORD-01568"/>
    <x v="64"/>
    <s v="CUST-0292"/>
    <s v="PROD-049"/>
    <x v="4"/>
    <n v="10"/>
    <n v="960"/>
    <n v="9.3000000000000007"/>
    <n v="8707.2000000000007"/>
    <s v="Cancelled"/>
    <s v="Bengaluru"/>
    <x v="5"/>
    <s v="Retail"/>
    <n v="32"/>
    <x v="0"/>
  </r>
  <r>
    <s v="ORD-01569"/>
    <x v="327"/>
    <s v="CUST-0076"/>
    <s v="PROD-021"/>
    <x v="13"/>
    <n v="10"/>
    <n v="2760"/>
    <n v="17.2"/>
    <n v="22852.799999999999"/>
    <s v="Completed"/>
    <s v="Mumbai"/>
    <x v="2"/>
    <s v="Retail"/>
    <n v="38"/>
    <x v="3"/>
  </r>
  <r>
    <s v="ORD-01570"/>
    <x v="243"/>
    <s v="CUST-0152"/>
    <s v="PROD-024"/>
    <x v="17"/>
    <n v="4"/>
    <n v="2270"/>
    <n v="26.8"/>
    <n v="6646.56"/>
    <s v="Completed"/>
    <s v="Bengaluru"/>
    <x v="2"/>
    <s v="SMB"/>
    <n v="64"/>
    <x v="2"/>
  </r>
  <r>
    <s v="ORD-01571"/>
    <x v="305"/>
    <s v="CUST-0146"/>
    <s v="PROD-002"/>
    <x v="13"/>
    <n v="2"/>
    <n v="2600"/>
    <n v="27"/>
    <n v="3796"/>
    <s v="Completed"/>
    <s v="Hyderabad"/>
    <x v="4"/>
    <s v="Retail"/>
    <n v="22"/>
    <x v="3"/>
  </r>
  <r>
    <s v="ORD-01572"/>
    <x v="300"/>
    <s v="CUST-0127"/>
    <s v="PROD-003"/>
    <x v="6"/>
    <n v="4"/>
    <n v="3570"/>
    <n v="12.3"/>
    <n v="12523.56"/>
    <s v="Completed"/>
    <s v="Bengaluru"/>
    <x v="4"/>
    <s v="SMB"/>
    <n v="36"/>
    <x v="2"/>
  </r>
  <r>
    <s v="ORD-01573"/>
    <x v="309"/>
    <s v="CUST-0173"/>
    <s v="PROD-034"/>
    <x v="29"/>
    <n v="5"/>
    <n v="5080"/>
    <n v="1.3"/>
    <n v="25069.8"/>
    <s v="Completed"/>
    <s v="Mumbai"/>
    <x v="3"/>
    <s v="Retail"/>
    <n v="65"/>
    <x v="1"/>
  </r>
  <r>
    <s v="ORD-01574"/>
    <x v="1"/>
    <s v="CUST-0206"/>
    <s v="PROD-049"/>
    <x v="29"/>
    <n v="5"/>
    <n v="960"/>
    <n v="25.2"/>
    <n v="3590.4"/>
    <s v="Completed"/>
    <s v="Mumbai"/>
    <x v="5"/>
    <s v="Retail"/>
    <n v="40"/>
    <x v="1"/>
  </r>
  <r>
    <s v="ORD-01575"/>
    <x v="117"/>
    <s v="CUST-0072"/>
    <s v="PROD-053"/>
    <x v="9"/>
    <n v="7"/>
    <n v="470"/>
    <n v="21.6"/>
    <n v="2579.36"/>
    <s v="Completed"/>
    <s v="Mumbai"/>
    <x v="1"/>
    <s v="Corporate"/>
    <n v="62"/>
    <x v="1"/>
  </r>
  <r>
    <s v="ORD-01576"/>
    <x v="327"/>
    <s v="CUST-0004"/>
    <s v="PROD-009"/>
    <x v="28"/>
    <n v="4"/>
    <n v="1220"/>
    <n v="12.6"/>
    <n v="4265.12"/>
    <s v="Completed"/>
    <s v="Delhi"/>
    <x v="4"/>
    <s v="Retail"/>
    <n v="53"/>
    <x v="2"/>
  </r>
  <r>
    <s v="ORD-01577"/>
    <x v="174"/>
    <s v="CUST-0249"/>
    <s v="PROD-054"/>
    <x v="4"/>
    <n v="4"/>
    <n v="1010"/>
    <n v="11.3"/>
    <n v="3583.48"/>
    <s v="Completed"/>
    <s v="Mumbai"/>
    <x v="1"/>
    <s v="Retail"/>
    <n v="44"/>
    <x v="0"/>
  </r>
  <r>
    <s v="ORD-01578"/>
    <x v="253"/>
    <s v="CUST-0139"/>
    <s v="PROD-028"/>
    <x v="1"/>
    <n v="4"/>
    <n v="3660"/>
    <n v="7.2"/>
    <n v="13585.92"/>
    <s v="Completed"/>
    <s v="Hyderabad"/>
    <x v="2"/>
    <s v="SMB"/>
    <n v="65"/>
    <x v="0"/>
  </r>
  <r>
    <s v="ORD-01579"/>
    <x v="138"/>
    <s v="CUST-0019"/>
    <s v="PROD-038"/>
    <x v="9"/>
    <n v="4"/>
    <n v="5490"/>
    <n v="8"/>
    <n v="20203.2"/>
    <s v="Completed"/>
    <s v="Chennai"/>
    <x v="3"/>
    <s v="Retail"/>
    <n v="22"/>
    <x v="1"/>
  </r>
  <r>
    <s v="ORD-01580"/>
    <x v="218"/>
    <s v="CUST-0210"/>
    <s v="PROD-022"/>
    <x v="11"/>
    <n v="6"/>
    <n v="2270"/>
    <n v="17.100000000000001"/>
    <n v="11290.98"/>
    <s v="Completed"/>
    <s v="Pune"/>
    <x v="2"/>
    <s v="Corporate"/>
    <n v="48"/>
    <x v="0"/>
  </r>
  <r>
    <s v="ORD-01581"/>
    <x v="276"/>
    <s v="CUST-0168"/>
    <s v="PROD-022"/>
    <x v="15"/>
    <n v="8"/>
    <n v="2270"/>
    <n v="11.9"/>
    <n v="15998.96"/>
    <s v="Pending"/>
    <s v="Pune"/>
    <x v="2"/>
    <s v="Retail"/>
    <n v="25"/>
    <x v="1"/>
  </r>
  <r>
    <s v="ORD-01582"/>
    <x v="95"/>
    <s v="CUST-0094"/>
    <s v="PROD-002"/>
    <x v="26"/>
    <n v="6"/>
    <n v="2600"/>
    <n v="5.0999999999999996"/>
    <n v="14804.4"/>
    <s v="Completed"/>
    <s v="Pune"/>
    <x v="4"/>
    <s v="SMB"/>
    <n v="60"/>
    <x v="3"/>
  </r>
  <r>
    <s v="ORD-01583"/>
    <x v="210"/>
    <s v="CUST-0259"/>
    <s v="PROD-004"/>
    <x v="28"/>
    <n v="9"/>
    <n v="3870"/>
    <n v="1.8"/>
    <n v="34203.06"/>
    <s v="Cancelled"/>
    <s v="Mumbai"/>
    <x v="4"/>
    <s v="Retail"/>
    <n v="34"/>
    <x v="2"/>
  </r>
  <r>
    <s v="ORD-01584"/>
    <x v="61"/>
    <s v="CUST-0150"/>
    <s v="PROD-006"/>
    <x v="3"/>
    <n v="3"/>
    <n v="3970"/>
    <n v="8.1999999999999993"/>
    <n v="10933.38"/>
    <s v="Completed"/>
    <s v="Pune"/>
    <x v="4"/>
    <s v="SMB"/>
    <n v="53"/>
    <x v="0"/>
  </r>
  <r>
    <s v="ORD-01585"/>
    <x v="334"/>
    <s v="CUST-0040"/>
    <s v="PROD-049"/>
    <x v="8"/>
    <n v="9"/>
    <n v="960"/>
    <n v="21.7"/>
    <n v="6765.12"/>
    <s v="Cancelled"/>
    <s v="Chennai"/>
    <x v="5"/>
    <s v="Retail"/>
    <n v="28"/>
    <x v="2"/>
  </r>
  <r>
    <s v="ORD-01586"/>
    <x v="215"/>
    <s v="CUST-0290"/>
    <s v="PROD-052"/>
    <x v="5"/>
    <n v="3"/>
    <n v="5410"/>
    <n v="20.3"/>
    <n v="12935.31"/>
    <s v="Completed"/>
    <s v="Delhi"/>
    <x v="1"/>
    <s v="Retail"/>
    <n v="63"/>
    <x v="2"/>
  </r>
  <r>
    <s v="ORD-01587"/>
    <x v="133"/>
    <s v="CUST-0123"/>
    <s v="PROD-011"/>
    <x v="1"/>
    <n v="3"/>
    <n v="3450"/>
    <n v="11.6"/>
    <n v="9149.4"/>
    <s v="Completed"/>
    <s v="Chennai"/>
    <x v="0"/>
    <s v="Corporate"/>
    <n v="44"/>
    <x v="0"/>
  </r>
  <r>
    <s v="ORD-01588"/>
    <x v="40"/>
    <s v="CUST-0053"/>
    <s v="PROD-045"/>
    <x v="4"/>
    <n v="2"/>
    <n v="3020"/>
    <n v="20.8"/>
    <n v="4783.68"/>
    <s v="Pending"/>
    <s v="Delhi"/>
    <x v="5"/>
    <s v="Retail"/>
    <n v="53"/>
    <x v="0"/>
  </r>
  <r>
    <s v="ORD-01589"/>
    <x v="232"/>
    <s v="CUST-0179"/>
    <s v="PROD-060"/>
    <x v="25"/>
    <n v="3"/>
    <n v="190"/>
    <n v="10.7"/>
    <n v="509.01"/>
    <s v="Completed"/>
    <s v="Mumbai"/>
    <x v="1"/>
    <s v="SMB"/>
    <n v="54"/>
    <x v="0"/>
  </r>
  <r>
    <s v="ORD-01590"/>
    <x v="137"/>
    <s v="CUST-0006"/>
    <s v="PROD-031"/>
    <x v="27"/>
    <n v="4"/>
    <n v="3730"/>
    <n v="6.9"/>
    <n v="13890.52"/>
    <s v="Completed"/>
    <s v="Pune"/>
    <x v="3"/>
    <s v="SMB"/>
    <n v="44"/>
    <x v="1"/>
  </r>
  <r>
    <s v="ORD-01591"/>
    <x v="240"/>
    <s v="CUST-0272"/>
    <s v="PROD-051"/>
    <x v="5"/>
    <n v="9"/>
    <n v="3450"/>
    <n v="22.2"/>
    <n v="24156.9"/>
    <s v="Cancelled"/>
    <s v="Mumbai"/>
    <x v="1"/>
    <s v="SMB"/>
    <n v="47"/>
    <x v="2"/>
  </r>
  <r>
    <s v="ORD-01592"/>
    <x v="260"/>
    <s v="CUST-0274"/>
    <s v="PROD-006"/>
    <x v="25"/>
    <n v="3"/>
    <n v="3970"/>
    <n v="6.8"/>
    <n v="11100.12"/>
    <s v="Completed"/>
    <s v="Bengaluru"/>
    <x v="4"/>
    <s v="Corporate"/>
    <n v="36"/>
    <x v="0"/>
  </r>
  <r>
    <s v="ORD-01593"/>
    <x v="32"/>
    <s v="CUST-0262"/>
    <s v="PROD-035"/>
    <x v="24"/>
    <n v="3"/>
    <n v="1090"/>
    <n v="23.7"/>
    <n v="2495.0100000000002"/>
    <s v="Completed"/>
    <s v="Mumbai"/>
    <x v="3"/>
    <s v="Retail"/>
    <n v="52"/>
    <x v="3"/>
  </r>
  <r>
    <s v="ORD-01594"/>
    <x v="212"/>
    <s v="CUST-0087"/>
    <s v="PROD-033"/>
    <x v="12"/>
    <n v="3"/>
    <n v="2030"/>
    <n v="18.8"/>
    <n v="4945.08"/>
    <s v="Completed"/>
    <s v="Pune"/>
    <x v="3"/>
    <s v="SMB"/>
    <n v="49"/>
    <x v="3"/>
  </r>
  <r>
    <s v="ORD-01595"/>
    <x v="27"/>
    <s v="CUST-0198"/>
    <s v="PROD-026"/>
    <x v="4"/>
    <n v="2"/>
    <n v="4070"/>
    <n v="14.3"/>
    <n v="6975.98"/>
    <s v="Completed"/>
    <s v="Chennai"/>
    <x v="2"/>
    <s v="Corporate"/>
    <n v="22"/>
    <x v="0"/>
  </r>
  <r>
    <s v="ORD-01596"/>
    <x v="306"/>
    <s v="CUST-0065"/>
    <s v="PROD-014"/>
    <x v="8"/>
    <n v="3"/>
    <n v="3620"/>
    <n v="13.5"/>
    <n v="9393.9"/>
    <s v="Completed"/>
    <s v="Chennai"/>
    <x v="0"/>
    <s v="Corporate"/>
    <n v="49"/>
    <x v="2"/>
  </r>
  <r>
    <s v="ORD-01597"/>
    <x v="235"/>
    <s v="CUST-0209"/>
    <s v="PROD-054"/>
    <x v="19"/>
    <n v="4"/>
    <n v="1010"/>
    <n v="3.3"/>
    <n v="3906.68"/>
    <s v="Completed"/>
    <s v="Pune"/>
    <x v="1"/>
    <s v="Retail"/>
    <n v="31"/>
    <x v="0"/>
  </r>
  <r>
    <s v="ORD-01598"/>
    <x v="304"/>
    <s v="CUST-0181"/>
    <s v="PROD-030"/>
    <x v="1"/>
    <n v="7"/>
    <n v="970"/>
    <n v="0.1"/>
    <n v="6783.21"/>
    <s v="Completed"/>
    <s v="Delhi"/>
    <x v="2"/>
    <s v="SMB"/>
    <n v="38"/>
    <x v="0"/>
  </r>
  <r>
    <s v="ORD-01599"/>
    <x v="297"/>
    <s v="CUST-0007"/>
    <s v="PROD-053"/>
    <x v="28"/>
    <n v="5"/>
    <n v="470"/>
    <n v="18.3"/>
    <n v="1919.95"/>
    <s v="Refunded"/>
    <s v="Bengaluru"/>
    <x v="1"/>
    <s v="Retail"/>
    <n v="47"/>
    <x v="2"/>
  </r>
  <r>
    <s v="ORD-01600"/>
    <x v="274"/>
    <s v="CUST-0050"/>
    <s v="PROD-011"/>
    <x v="9"/>
    <n v="8"/>
    <n v="3450"/>
    <n v="5.0999999999999996"/>
    <n v="26192.400000000001"/>
    <s v="Refunded"/>
    <s v="Mumbai"/>
    <x v="0"/>
    <s v="Retail"/>
    <n v="37"/>
    <x v="1"/>
  </r>
  <r>
    <s v="ORD-01601"/>
    <x v="57"/>
    <s v="CUST-0155"/>
    <s v="PROD-010"/>
    <x v="24"/>
    <n v="1"/>
    <n v="2640"/>
    <n v="5.9"/>
    <n v="2484.2399999999998"/>
    <s v="Completed"/>
    <s v="Pune"/>
    <x v="4"/>
    <s v="Corporate"/>
    <n v="40"/>
    <x v="3"/>
  </r>
  <r>
    <s v="ORD-01602"/>
    <x v="20"/>
    <s v="CUST-0085"/>
    <s v="PROD-003"/>
    <x v="16"/>
    <n v="10"/>
    <n v="3570"/>
    <n v="21.5"/>
    <n v="28024.5"/>
    <s v="Completed"/>
    <s v="Chennai"/>
    <x v="4"/>
    <s v="Retail"/>
    <n v="26"/>
    <x v="3"/>
  </r>
  <r>
    <s v="ORD-01603"/>
    <x v="248"/>
    <s v="CUST-0285"/>
    <s v="PROD-007"/>
    <x v="29"/>
    <n v="10"/>
    <n v="1430"/>
    <n v="11.4"/>
    <n v="12669.8"/>
    <s v="Cancelled"/>
    <s v="Hyderabad"/>
    <x v="4"/>
    <s v="Retail"/>
    <n v="22"/>
    <x v="1"/>
  </r>
  <r>
    <s v="ORD-01604"/>
    <x v="175"/>
    <s v="CUST-0148"/>
    <s v="PROD-057"/>
    <x v="22"/>
    <n v="7"/>
    <n v="960"/>
    <n v="22.9"/>
    <n v="5181.12"/>
    <s v="Completed"/>
    <s v="Chennai"/>
    <x v="1"/>
    <s v="Retail"/>
    <n v="32"/>
    <x v="1"/>
  </r>
  <r>
    <s v="ORD-01605"/>
    <x v="38"/>
    <s v="CUST-0252"/>
    <s v="PROD-036"/>
    <x v="9"/>
    <n v="8"/>
    <n v="3250"/>
    <n v="1.9"/>
    <n v="25506"/>
    <s v="Completed"/>
    <s v="Bengaluru"/>
    <x v="3"/>
    <s v="Retail"/>
    <n v="27"/>
    <x v="1"/>
  </r>
  <r>
    <s v="ORD-01606"/>
    <x v="320"/>
    <s v="CUST-0141"/>
    <s v="PROD-051"/>
    <x v="26"/>
    <n v="9"/>
    <n v="3450"/>
    <n v="18"/>
    <n v="25461"/>
    <s v="Completed"/>
    <s v="Hyderabad"/>
    <x v="1"/>
    <s v="Corporate"/>
    <n v="22"/>
    <x v="3"/>
  </r>
  <r>
    <s v="ORD-01607"/>
    <x v="30"/>
    <s v="CUST-0101"/>
    <s v="PROD-024"/>
    <x v="29"/>
    <n v="5"/>
    <n v="2270"/>
    <n v="11.5"/>
    <n v="10044.75"/>
    <s v="Completed"/>
    <s v="Hyderabad"/>
    <x v="2"/>
    <s v="SMB"/>
    <n v="40"/>
    <x v="1"/>
  </r>
  <r>
    <s v="ORD-01608"/>
    <x v="121"/>
    <s v="CUST-0223"/>
    <s v="PROD-045"/>
    <x v="7"/>
    <n v="6"/>
    <n v="3020"/>
    <n v="12.6"/>
    <n v="15836.88"/>
    <s v="Completed"/>
    <s v="Bengaluru"/>
    <x v="5"/>
    <s v="Retail"/>
    <n v="46"/>
    <x v="3"/>
  </r>
  <r>
    <s v="ORD-01609"/>
    <x v="58"/>
    <s v="CUST-0197"/>
    <s v="PROD-010"/>
    <x v="4"/>
    <n v="8"/>
    <n v="2640"/>
    <n v="14.5"/>
    <n v="18057.599999999999"/>
    <s v="Refunded"/>
    <s v="Bengaluru"/>
    <x v="4"/>
    <s v="Retail"/>
    <n v="55"/>
    <x v="0"/>
  </r>
  <r>
    <s v="ORD-01610"/>
    <x v="230"/>
    <s v="CUST-0260"/>
    <s v="PROD-024"/>
    <x v="28"/>
    <n v="2"/>
    <n v="2270"/>
    <n v="27"/>
    <n v="3314.2"/>
    <s v="Completed"/>
    <s v="Bengaluru"/>
    <x v="2"/>
    <s v="Retail"/>
    <n v="42"/>
    <x v="2"/>
  </r>
  <r>
    <s v="ORD-01611"/>
    <x v="184"/>
    <s v="CUST-0180"/>
    <s v="PROD-021"/>
    <x v="28"/>
    <n v="8"/>
    <n v="2760"/>
    <n v="18"/>
    <n v="18105.599999999999"/>
    <s v="Cancelled"/>
    <s v="Chennai"/>
    <x v="2"/>
    <s v="Retail"/>
    <n v="36"/>
    <x v="2"/>
  </r>
  <r>
    <s v="ORD-01612"/>
    <x v="62"/>
    <s v="CUST-0166"/>
    <s v="PROD-014"/>
    <x v="12"/>
    <n v="8"/>
    <n v="3620"/>
    <n v="7.1"/>
    <n v="26903.84"/>
    <s v="Completed"/>
    <s v="Hyderabad"/>
    <x v="0"/>
    <s v="Retail"/>
    <n v="31"/>
    <x v="3"/>
  </r>
  <r>
    <s v="ORD-01613"/>
    <x v="302"/>
    <s v="CUST-0062"/>
    <s v="PROD-042"/>
    <x v="13"/>
    <n v="8"/>
    <n v="2290"/>
    <n v="16.399999999999999"/>
    <n v="15315.52"/>
    <s v="Completed"/>
    <s v="Pune"/>
    <x v="5"/>
    <s v="Retail"/>
    <n v="54"/>
    <x v="3"/>
  </r>
  <r>
    <s v="ORD-01614"/>
    <x v="32"/>
    <s v="CUST-0130"/>
    <s v="PROD-044"/>
    <x v="7"/>
    <n v="3"/>
    <n v="1650"/>
    <n v="1.8"/>
    <n v="4860.8999999999996"/>
    <s v="Cancelled"/>
    <s v="Bengaluru"/>
    <x v="5"/>
    <s v="Corporate"/>
    <n v="41"/>
    <x v="3"/>
  </r>
  <r>
    <s v="ORD-01615"/>
    <x v="362"/>
    <s v="CUST-0162"/>
    <s v="PROD-001"/>
    <x v="26"/>
    <n v="3"/>
    <n v="5330"/>
    <n v="22.2"/>
    <n v="12440.22"/>
    <s v="Completed"/>
    <s v="Mumbai"/>
    <x v="4"/>
    <s v="Corporate"/>
    <n v="35"/>
    <x v="3"/>
  </r>
  <r>
    <s v="ORD-01616"/>
    <x v="166"/>
    <s v="CUST-0153"/>
    <s v="PROD-040"/>
    <x v="24"/>
    <n v="7"/>
    <n v="1080"/>
    <n v="17.899999999999999"/>
    <n v="6206.76"/>
    <s v="Completed"/>
    <s v="Mumbai"/>
    <x v="3"/>
    <s v="Retail"/>
    <n v="35"/>
    <x v="3"/>
  </r>
  <r>
    <s v="ORD-01617"/>
    <x v="151"/>
    <s v="CUST-0071"/>
    <s v="PROD-009"/>
    <x v="24"/>
    <n v="10"/>
    <n v="1220"/>
    <n v="5.7"/>
    <n v="11504.6"/>
    <s v="Completed"/>
    <s v="Delhi"/>
    <x v="4"/>
    <s v="Corporate"/>
    <n v="46"/>
    <x v="3"/>
  </r>
  <r>
    <s v="ORD-01618"/>
    <x v="83"/>
    <s v="CUST-0200"/>
    <s v="PROD-037"/>
    <x v="14"/>
    <n v="10"/>
    <n v="660"/>
    <n v="7.5"/>
    <n v="6105"/>
    <s v="Completed"/>
    <s v="Hyderabad"/>
    <x v="3"/>
    <s v="Corporate"/>
    <n v="46"/>
    <x v="2"/>
  </r>
  <r>
    <s v="ORD-01619"/>
    <x v="88"/>
    <s v="CUST-0266"/>
    <s v="PROD-040"/>
    <x v="16"/>
    <n v="6"/>
    <n v="1080"/>
    <n v="28.9"/>
    <n v="4607.28"/>
    <s v="Completed"/>
    <s v="Pune"/>
    <x v="3"/>
    <s v="Retail"/>
    <n v="65"/>
    <x v="3"/>
  </r>
  <r>
    <s v="ORD-01620"/>
    <x v="241"/>
    <s v="CUST-0171"/>
    <s v="PROD-022"/>
    <x v="16"/>
    <n v="7"/>
    <n v="2270"/>
    <n v="1.4"/>
    <n v="15667.54"/>
    <s v="Completed"/>
    <s v="Chennai"/>
    <x v="2"/>
    <s v="Corporate"/>
    <n v="30"/>
    <x v="3"/>
  </r>
  <r>
    <s v="ORD-01621"/>
    <x v="206"/>
    <s v="CUST-0221"/>
    <s v="PROD-032"/>
    <x v="8"/>
    <n v="3"/>
    <n v="370"/>
    <n v="9.6"/>
    <n v="1003.44"/>
    <s v="Refunded"/>
    <s v="Delhi"/>
    <x v="3"/>
    <s v="SMB"/>
    <n v="29"/>
    <x v="2"/>
  </r>
  <r>
    <s v="ORD-01622"/>
    <x v="13"/>
    <s v="CUST-0038"/>
    <s v="PROD-030"/>
    <x v="18"/>
    <n v="9"/>
    <n v="970"/>
    <n v="29.7"/>
    <n v="6137.19"/>
    <s v="Completed"/>
    <s v="Mumbai"/>
    <x v="2"/>
    <s v="Retail"/>
    <n v="57"/>
    <x v="1"/>
  </r>
  <r>
    <s v="ORD-00613"/>
    <x v="171"/>
    <s v="CUST-0174"/>
    <s v="PROD-016"/>
    <x v="11"/>
    <n v="1"/>
    <n v="620"/>
    <n v="10.4"/>
    <n v="555.52"/>
    <s v="Cancelled"/>
    <s v="Pune"/>
    <x v="0"/>
    <s v="Retail"/>
    <n v="54"/>
    <x v="0"/>
  </r>
  <r>
    <s v="ORD-01624"/>
    <x v="80"/>
    <s v="CUST-0054"/>
    <s v="PROD-028"/>
    <x v="20"/>
    <n v="5"/>
    <n v="3660"/>
    <n v="8"/>
    <n v="16836"/>
    <s v="Completed"/>
    <s v="Mumbai"/>
    <x v="2"/>
    <s v="Corporate"/>
    <n v="62"/>
    <x v="2"/>
  </r>
  <r>
    <s v="ORD-01625"/>
    <x v="108"/>
    <s v="CUST-0071"/>
    <s v="PROD-029"/>
    <x v="6"/>
    <n v="7"/>
    <n v="2210"/>
    <n v="13.7"/>
    <n v="13350.61"/>
    <s v="Refunded"/>
    <s v="Delhi"/>
    <x v="2"/>
    <s v="Corporate"/>
    <n v="46"/>
    <x v="2"/>
  </r>
  <r>
    <s v="ORD-01626"/>
    <x v="252"/>
    <s v="CUST-0004"/>
    <s v="PROD-059"/>
    <x v="8"/>
    <n v="1"/>
    <n v="3780"/>
    <n v="11.5"/>
    <n v="3345.3"/>
    <s v="Completed"/>
    <s v="Delhi"/>
    <x v="1"/>
    <s v="Retail"/>
    <n v="53"/>
    <x v="2"/>
  </r>
  <r>
    <s v="ORD-01627"/>
    <x v="131"/>
    <s v="CUST-0033"/>
    <s v="PROD-002"/>
    <x v="1"/>
    <n v="10"/>
    <n v="2600"/>
    <n v="29.4"/>
    <n v="18356"/>
    <s v="Completed"/>
    <s v="Delhi"/>
    <x v="4"/>
    <s v="Retail"/>
    <n v="35"/>
    <x v="0"/>
  </r>
  <r>
    <s v="ORD-01628"/>
    <x v="13"/>
    <s v="CUST-0079"/>
    <s v="PROD-027"/>
    <x v="21"/>
    <n v="3"/>
    <n v="3780"/>
    <n v="14.4"/>
    <n v="9707.0400000000009"/>
    <s v="Completed"/>
    <s v="Mumbai"/>
    <x v="2"/>
    <s v="Corporate"/>
    <n v="60"/>
    <x v="3"/>
  </r>
  <r>
    <s v="ORD-01629"/>
    <x v="292"/>
    <s v="CUST-0176"/>
    <s v="PROD-010"/>
    <x v="11"/>
    <n v="10"/>
    <n v="2640"/>
    <n v="26.8"/>
    <n v="19324.8"/>
    <s v="Pending"/>
    <s v="Bengaluru"/>
    <x v="4"/>
    <s v="SMB"/>
    <n v="34"/>
    <x v="0"/>
  </r>
  <r>
    <s v="ORD-01630"/>
    <x v="324"/>
    <s v="CUST-0254"/>
    <s v="PROD-035"/>
    <x v="22"/>
    <n v="3"/>
    <n v="1090"/>
    <n v="9.1"/>
    <n v="2972.43"/>
    <s v="Completed"/>
    <s v="Bengaluru"/>
    <x v="3"/>
    <s v="Retail"/>
    <n v="35"/>
    <x v="1"/>
  </r>
  <r>
    <s v="ORD-01631"/>
    <x v="308"/>
    <s v="CUST-0212"/>
    <s v="PROD-011"/>
    <x v="6"/>
    <n v="3"/>
    <n v="3450"/>
    <n v="23"/>
    <n v="7969.5"/>
    <s v="Pending"/>
    <s v="Chennai"/>
    <x v="0"/>
    <s v="SMB"/>
    <n v="46"/>
    <x v="2"/>
  </r>
  <r>
    <s v="ORD-01632"/>
    <x v="13"/>
    <s v="CUST-0109"/>
    <s v="PROD-049"/>
    <x v="15"/>
    <n v="1"/>
    <n v="960"/>
    <n v="1.1000000000000001"/>
    <n v="949.44"/>
    <s v="Completed"/>
    <s v="Pune"/>
    <x v="5"/>
    <s v="Retail"/>
    <n v="42"/>
    <x v="1"/>
  </r>
  <r>
    <s v="ORD-01633"/>
    <x v="251"/>
    <s v="CUST-0087"/>
    <s v="PROD-028"/>
    <x v="14"/>
    <n v="9"/>
    <n v="3660"/>
    <n v="9"/>
    <n v="29975.4"/>
    <s v="Completed"/>
    <s v="Pune"/>
    <x v="2"/>
    <s v="SMB"/>
    <n v="49"/>
    <x v="2"/>
  </r>
  <r>
    <s v="ORD-01634"/>
    <x v="103"/>
    <s v="CUST-0167"/>
    <s v="PROD-031"/>
    <x v="4"/>
    <n v="3"/>
    <n v="3730"/>
    <n v="15.8"/>
    <n v="9421.98"/>
    <s v="Completed"/>
    <s v="Delhi"/>
    <x v="3"/>
    <s v="Retail"/>
    <n v="43"/>
    <x v="0"/>
  </r>
  <r>
    <s v="ORD-01635"/>
    <x v="324"/>
    <s v="CUST-0079"/>
    <s v="PROD-026"/>
    <x v="10"/>
    <n v="6"/>
    <n v="4070"/>
    <n v="6.2"/>
    <n v="22905.96"/>
    <s v="Completed"/>
    <s v="Mumbai"/>
    <x v="2"/>
    <s v="Corporate"/>
    <n v="60"/>
    <x v="0"/>
  </r>
  <r>
    <s v="ORD-01636"/>
    <x v="90"/>
    <s v="CUST-0115"/>
    <s v="PROD-008"/>
    <x v="24"/>
    <n v="1"/>
    <n v="2660"/>
    <n v="14.6"/>
    <n v="2271.64"/>
    <s v="Completed"/>
    <s v="Mumbai"/>
    <x v="4"/>
    <s v="SMB"/>
    <n v="65"/>
    <x v="3"/>
  </r>
  <r>
    <s v="ORD-01637"/>
    <x v="239"/>
    <s v="CUST-0184"/>
    <s v="PROD-033"/>
    <x v="11"/>
    <n v="3"/>
    <n v="2030"/>
    <n v="13.3"/>
    <n v="5280.03"/>
    <s v="Cancelled"/>
    <s v="Pune"/>
    <x v="3"/>
    <s v="Retail"/>
    <n v="63"/>
    <x v="0"/>
  </r>
  <r>
    <s v="ORD-01638"/>
    <x v="274"/>
    <s v="CUST-0084"/>
    <s v="PROD-028"/>
    <x v="19"/>
    <n v="4"/>
    <n v="3660"/>
    <n v="2.2000000000000002"/>
    <n v="14317.92"/>
    <s v="Completed"/>
    <s v="Chennai"/>
    <x v="2"/>
    <s v="Retail"/>
    <n v="28"/>
    <x v="0"/>
  </r>
  <r>
    <s v="ORD-01639"/>
    <x v="234"/>
    <s v="CUST-0186"/>
    <s v="PROD-008"/>
    <x v="3"/>
    <n v="2"/>
    <n v="2660"/>
    <n v="7.2"/>
    <n v="4936.96"/>
    <s v="Cancelled"/>
    <s v="Bengaluru"/>
    <x v="4"/>
    <s v="Retail"/>
    <n v="42"/>
    <x v="0"/>
  </r>
  <r>
    <s v="ORD-01640"/>
    <x v="207"/>
    <s v="CUST-0077"/>
    <s v="PROD-046"/>
    <x v="22"/>
    <n v="2"/>
    <n v="4880"/>
    <n v="23.8"/>
    <n v="7437.12"/>
    <s v="Completed"/>
    <s v="Hyderabad"/>
    <x v="5"/>
    <s v="SMB"/>
    <n v="48"/>
    <x v="1"/>
  </r>
  <r>
    <s v="ORD-01641"/>
    <x v="91"/>
    <s v="CUST-0093"/>
    <s v="PROD-011"/>
    <x v="23"/>
    <n v="1"/>
    <n v="3450"/>
    <n v="1.7"/>
    <n v="3391.35"/>
    <s v="Completed"/>
    <s v="Pune"/>
    <x v="0"/>
    <s v="Retail"/>
    <n v="36"/>
    <x v="1"/>
  </r>
  <r>
    <s v="ORD-01642"/>
    <x v="269"/>
    <s v="CUST-0018"/>
    <s v="PROD-045"/>
    <x v="12"/>
    <n v="4"/>
    <n v="3020"/>
    <n v="17.8"/>
    <n v="9929.76"/>
    <s v="Completed"/>
    <s v="Pune"/>
    <x v="5"/>
    <s v="SMB"/>
    <n v="54"/>
    <x v="3"/>
  </r>
  <r>
    <s v="ORD-01643"/>
    <x v="15"/>
    <s v="CUST-0034"/>
    <s v="PROD-056"/>
    <x v="13"/>
    <n v="6"/>
    <n v="6940"/>
    <n v="8.9"/>
    <n v="37934.04"/>
    <s v="Completed"/>
    <s v="Delhi"/>
    <x v="1"/>
    <s v="Retail"/>
    <n v="47"/>
    <x v="3"/>
  </r>
  <r>
    <s v="ORD-01644"/>
    <x v="271"/>
    <s v="CUST-0111"/>
    <s v="PROD-021"/>
    <x v="12"/>
    <n v="10"/>
    <n v="2760"/>
    <n v="8.9"/>
    <n v="25143.599999999999"/>
    <s v="Completed"/>
    <s v="Chennai"/>
    <x v="2"/>
    <s v="SMB"/>
    <n v="64"/>
    <x v="3"/>
  </r>
  <r>
    <s v="ORD-01645"/>
    <x v="202"/>
    <s v="CUST-0210"/>
    <s v="PROD-049"/>
    <x v="16"/>
    <n v="8"/>
    <n v="960"/>
    <n v="20.9"/>
    <n v="6074.88"/>
    <s v="Completed"/>
    <s v="Pune"/>
    <x v="5"/>
    <s v="Corporate"/>
    <n v="48"/>
    <x v="3"/>
  </r>
  <r>
    <s v="ORD-01646"/>
    <x v="71"/>
    <s v="CUST-0037"/>
    <s v="PROD-049"/>
    <x v="27"/>
    <n v="4"/>
    <n v="960"/>
    <n v="29.1"/>
    <n v="2722.56"/>
    <s v="Completed"/>
    <s v="Bengaluru"/>
    <x v="5"/>
    <s v="Retail"/>
    <n v="52"/>
    <x v="1"/>
  </r>
  <r>
    <s v="ORD-01647"/>
    <x v="306"/>
    <s v="CUST-0192"/>
    <s v="PROD-030"/>
    <x v="13"/>
    <n v="1"/>
    <n v="970"/>
    <n v="8.4"/>
    <n v="888.52"/>
    <s v="Cancelled"/>
    <s v="Bengaluru"/>
    <x v="2"/>
    <s v="Retail"/>
    <n v="55"/>
    <x v="3"/>
  </r>
  <r>
    <s v="ORD-01648"/>
    <x v="169"/>
    <s v="CUST-0038"/>
    <s v="PROD-050"/>
    <x v="12"/>
    <n v="5"/>
    <n v="6080"/>
    <n v="17.600000000000001"/>
    <n v="25049.599999999999"/>
    <s v="Completed"/>
    <s v="Mumbai"/>
    <x v="5"/>
    <s v="Retail"/>
    <n v="57"/>
    <x v="3"/>
  </r>
  <r>
    <s v="ORD-01649"/>
    <x v="283"/>
    <s v="CUST-0034"/>
    <s v="PROD-028"/>
    <x v="22"/>
    <n v="4"/>
    <n v="3660"/>
    <n v="21.8"/>
    <n v="11448.48"/>
    <s v="Pending"/>
    <s v="Delhi"/>
    <x v="2"/>
    <s v="Retail"/>
    <n v="47"/>
    <x v="1"/>
  </r>
  <r>
    <s v="ORD-01650"/>
    <x v="32"/>
    <s v="CUST-0248"/>
    <s v="PROD-031"/>
    <x v="4"/>
    <n v="6"/>
    <n v="3730"/>
    <n v="13.3"/>
    <n v="19403.46"/>
    <s v="Cancelled"/>
    <s v="Chennai"/>
    <x v="3"/>
    <s v="SMB"/>
    <n v="57"/>
    <x v="0"/>
  </r>
  <r>
    <s v="ORD-01651"/>
    <x v="327"/>
    <s v="CUST-0194"/>
    <s v="PROD-004"/>
    <x v="20"/>
    <n v="8"/>
    <n v="3870"/>
    <n v="21.2"/>
    <n v="24396.48"/>
    <s v="Pending"/>
    <s v="Delhi"/>
    <x v="4"/>
    <s v="SMB"/>
    <n v="55"/>
    <x v="2"/>
  </r>
  <r>
    <s v="ORD-01652"/>
    <x v="69"/>
    <s v="CUST-0114"/>
    <s v="PROD-021"/>
    <x v="29"/>
    <n v="4"/>
    <n v="2760"/>
    <n v="14"/>
    <n v="9494.4"/>
    <s v="Completed"/>
    <s v="Bengaluru"/>
    <x v="2"/>
    <s v="Corporate"/>
    <n v="42"/>
    <x v="1"/>
  </r>
  <r>
    <s v="ORD-01653"/>
    <x v="100"/>
    <s v="CUST-0118"/>
    <s v="PROD-023"/>
    <x v="16"/>
    <n v="5"/>
    <n v="2380"/>
    <n v="16.399999999999999"/>
    <n v="9948.4"/>
    <s v="Completed"/>
    <s v="Hyderabad"/>
    <x v="2"/>
    <s v="Retail"/>
    <n v="26"/>
    <x v="3"/>
  </r>
  <r>
    <s v="ORD-01654"/>
    <x v="246"/>
    <s v="CUST-9719"/>
    <s v="PROD-050"/>
    <x v="15"/>
    <n v="2"/>
    <n v="6080"/>
    <n v="20.100000000000001"/>
    <n v="9715.84"/>
    <s v="Cancelled"/>
    <s v="Mumbai"/>
    <x v="5"/>
    <s v=""/>
    <s v=""/>
    <x v="1"/>
  </r>
  <r>
    <s v="ORD-01655"/>
    <x v="296"/>
    <s v="CUST-0232"/>
    <s v="PROD-016"/>
    <x v="29"/>
    <n v="2"/>
    <n v="620"/>
    <n v="4.3"/>
    <n v="1186.68"/>
    <s v="Completed"/>
    <s v="Hyderabad"/>
    <x v="0"/>
    <s v="Retail"/>
    <n v="38"/>
    <x v="1"/>
  </r>
  <r>
    <s v="ORD-01656"/>
    <x v="16"/>
    <s v="CUST-0240"/>
    <s v="PROD-004"/>
    <x v="27"/>
    <n v="7"/>
    <n v="3870"/>
    <n v="5.9"/>
    <n v="25491.69"/>
    <s v="Completed"/>
    <s v="Chennai"/>
    <x v="4"/>
    <s v="Corporate"/>
    <n v="35"/>
    <x v="1"/>
  </r>
  <r>
    <s v="ORD-01657"/>
    <x v="249"/>
    <s v="CUST-0227"/>
    <s v="PROD-003"/>
    <x v="16"/>
    <n v="8"/>
    <n v="3570"/>
    <n v="24.6"/>
    <n v="21534.240000000002"/>
    <s v="Completed"/>
    <s v="Bengaluru"/>
    <x v="4"/>
    <s v="SMB"/>
    <n v="44"/>
    <x v="3"/>
  </r>
  <r>
    <s v="ORD-01658"/>
    <x v="168"/>
    <s v="CUST-0234"/>
    <s v="PROD-026"/>
    <x v="9"/>
    <n v="1"/>
    <n v="4070"/>
    <n v="29.1"/>
    <n v="2885.63"/>
    <s v="Pending"/>
    <s v="Bengaluru"/>
    <x v="2"/>
    <s v="Retail"/>
    <n v="34"/>
    <x v="1"/>
  </r>
  <r>
    <s v="ORD-01659"/>
    <x v="296"/>
    <s v="CUST-0041"/>
    <s v="PROD-020"/>
    <x v="21"/>
    <n v="1"/>
    <n v="820"/>
    <n v="17.899999999999999"/>
    <n v="673.22"/>
    <s v="Completed"/>
    <s v="Bengaluru"/>
    <x v="0"/>
    <s v="SMB"/>
    <n v="26"/>
    <x v="3"/>
  </r>
  <r>
    <s v="ORD-01660"/>
    <x v="175"/>
    <s v="CUST-0129"/>
    <s v="PROD-045"/>
    <x v="20"/>
    <n v="5"/>
    <n v="3020"/>
    <n v="26.2"/>
    <n v="11143.8"/>
    <s v="Completed"/>
    <s v="Hyderabad"/>
    <x v="5"/>
    <s v="Retail"/>
    <n v="29"/>
    <x v="2"/>
  </r>
  <r>
    <s v="ORD-01661"/>
    <x v="91"/>
    <s v="CUST-0141"/>
    <s v="PROD-018"/>
    <x v="24"/>
    <n v="10"/>
    <n v="3560"/>
    <n v="15.4"/>
    <n v="30117.599999999999"/>
    <s v="Refunded"/>
    <s v="Hyderabad"/>
    <x v="0"/>
    <s v="Corporate"/>
    <n v="22"/>
    <x v="3"/>
  </r>
  <r>
    <s v="ORD-01662"/>
    <x v="299"/>
    <s v="CUST-0282"/>
    <s v="PROD-043"/>
    <x v="19"/>
    <n v="3"/>
    <n v="3350"/>
    <n v="8.1"/>
    <n v="9235.9500000000007"/>
    <s v="Completed"/>
    <s v="Hyderabad"/>
    <x v="5"/>
    <s v="Corporate"/>
    <n v="29"/>
    <x v="0"/>
  </r>
  <r>
    <s v="ORD-01663"/>
    <x v="176"/>
    <s v="CUST-0269"/>
    <s v="PROD-042"/>
    <x v="5"/>
    <n v="10"/>
    <n v="2290"/>
    <n v="7"/>
    <n v="21297"/>
    <s v="Completed"/>
    <s v="Pune"/>
    <x v="5"/>
    <s v="Retail"/>
    <n v="48"/>
    <x v="2"/>
  </r>
  <r>
    <s v="ORD-01664"/>
    <x v="64"/>
    <s v="CUST-0239"/>
    <s v="PROD-028"/>
    <x v="11"/>
    <n v="6"/>
    <n v="3660"/>
    <n v="29.9"/>
    <n v="15393.96"/>
    <s v="Completed"/>
    <s v="Mumbai"/>
    <x v="2"/>
    <s v="Retail"/>
    <n v="61"/>
    <x v="0"/>
  </r>
  <r>
    <s v="ORD-01665"/>
    <x v="87"/>
    <s v="CUST-0075"/>
    <s v="PROD-010"/>
    <x v="22"/>
    <n v="8"/>
    <n v="2640"/>
    <n v="4.2"/>
    <n v="20232.96"/>
    <s v="Refunded"/>
    <s v="Mumbai"/>
    <x v="4"/>
    <s v="Corporate"/>
    <n v="55"/>
    <x v="1"/>
  </r>
  <r>
    <s v="ORD-01666"/>
    <x v="194"/>
    <s v="CUST-0184"/>
    <s v="PROD-032"/>
    <x v="3"/>
    <n v="5"/>
    <n v="370"/>
    <n v="6"/>
    <n v="1739"/>
    <s v="Completed"/>
    <s v="Pune"/>
    <x v="3"/>
    <s v="Retail"/>
    <n v="63"/>
    <x v="0"/>
  </r>
  <r>
    <s v="ORD-01667"/>
    <x v="312"/>
    <s v="CUST-0144"/>
    <s v="PROD-024"/>
    <x v="0"/>
    <n v="9"/>
    <n v="2270"/>
    <n v="4.7"/>
    <n v="19469.79"/>
    <s v="Completed"/>
    <s v="Chennai"/>
    <x v="2"/>
    <s v="Retail"/>
    <n v="49"/>
    <x v="0"/>
  </r>
  <r>
    <s v="ORD-01668"/>
    <x v="85"/>
    <s v="CUST-0039"/>
    <s v="PROD-037"/>
    <x v="23"/>
    <n v="5"/>
    <n v="660"/>
    <n v="21"/>
    <n v="2607"/>
    <s v="Completed"/>
    <s v="Bengaluru"/>
    <x v="3"/>
    <s v="Retail"/>
    <n v="37"/>
    <x v="1"/>
  </r>
  <r>
    <s v="ORD-01669"/>
    <x v="192"/>
    <s v="CUST-9765"/>
    <s v="PROD-057"/>
    <x v="11"/>
    <n v="2"/>
    <n v="960"/>
    <n v="7.3"/>
    <n v="1779.84"/>
    <s v="Completed"/>
    <s v="Bengaluru"/>
    <x v="1"/>
    <s v=""/>
    <s v=""/>
    <x v="0"/>
  </r>
  <r>
    <s v="ORD-01670"/>
    <x v="89"/>
    <s v="CUST-0159"/>
    <s v="PROD-048"/>
    <x v="18"/>
    <n v="3"/>
    <n v="5100"/>
    <n v="21"/>
    <n v="12087"/>
    <s v="Completed"/>
    <s v="Hyderabad"/>
    <x v="5"/>
    <s v="Retail"/>
    <n v="32"/>
    <x v="1"/>
  </r>
  <r>
    <s v="ORD-01671"/>
    <x v="286"/>
    <s v="CUST-0168"/>
    <s v="PROD-012"/>
    <x v="10"/>
    <n v="3"/>
    <n v="3160"/>
    <n v="13.5"/>
    <n v="8200.2000000000007"/>
    <s v="Completed"/>
    <s v="Pune"/>
    <x v="0"/>
    <s v="Retail"/>
    <n v="25"/>
    <x v="0"/>
  </r>
  <r>
    <s v="ORD-01672"/>
    <x v="111"/>
    <s v="CUST-9552"/>
    <s v="PROD-041"/>
    <x v="1"/>
    <n v="9"/>
    <n v="1540"/>
    <n v="18.2"/>
    <n v="11337.48"/>
    <s v="Cancelled"/>
    <s v="Bengaluru"/>
    <x v="5"/>
    <s v=""/>
    <s v=""/>
    <x v="0"/>
  </r>
  <r>
    <s v="ORD-01673"/>
    <x v="313"/>
    <s v="CUST-0056"/>
    <s v="PROD-047"/>
    <x v="6"/>
    <n v="4"/>
    <n v="3450"/>
    <n v="26.4"/>
    <n v="10156.799999999999"/>
    <s v="Pending"/>
    <s v="Bengaluru"/>
    <x v="5"/>
    <s v="SMB"/>
    <n v="46"/>
    <x v="2"/>
  </r>
  <r>
    <s v="ORD-01674"/>
    <x v="311"/>
    <s v="CUST-0239"/>
    <s v="PROD-023"/>
    <x v="17"/>
    <n v="4"/>
    <n v="2380"/>
    <n v="6.9"/>
    <n v="8863.1200000000008"/>
    <s v="Completed"/>
    <s v="Mumbai"/>
    <x v="2"/>
    <s v="Retail"/>
    <n v="61"/>
    <x v="2"/>
  </r>
  <r>
    <s v="ORD-01675"/>
    <x v="140"/>
    <s v="CUST-0168"/>
    <s v="PROD-031"/>
    <x v="11"/>
    <n v="2"/>
    <n v="3730"/>
    <n v="22.9"/>
    <n v="5751.66"/>
    <s v="Completed"/>
    <s v="Pune"/>
    <x v="3"/>
    <s v="Retail"/>
    <n v="25"/>
    <x v="0"/>
  </r>
  <r>
    <s v="ORD-01676"/>
    <x v="0"/>
    <s v="CUST-0012"/>
    <s v="PROD-036"/>
    <x v="25"/>
    <n v="7"/>
    <n v="3250"/>
    <n v="6"/>
    <n v="21385"/>
    <s v="Completed"/>
    <s v="Pune"/>
    <x v="3"/>
    <s v="Retail"/>
    <n v="43"/>
    <x v="0"/>
  </r>
  <r>
    <s v="ORD-01677"/>
    <x v="281"/>
    <s v="CUST-0057"/>
    <s v="PROD-053"/>
    <x v="16"/>
    <n v="9"/>
    <n v="470"/>
    <n v="11.6"/>
    <n v="3739.32"/>
    <s v="Completed"/>
    <s v="Pune"/>
    <x v="1"/>
    <s v="Retail"/>
    <n v="35"/>
    <x v="3"/>
  </r>
  <r>
    <s v="ORD-01678"/>
    <x v="308"/>
    <s v="CUST-0030"/>
    <s v="PROD-042"/>
    <x v="17"/>
    <n v="5"/>
    <n v="2290"/>
    <n v="27.6"/>
    <n v="8289.7999999999993"/>
    <s v="Completed"/>
    <s v="Bengaluru"/>
    <x v="5"/>
    <s v="Corporate"/>
    <n v="43"/>
    <x v="2"/>
  </r>
  <r>
    <s v="ORD-01679"/>
    <x v="32"/>
    <s v="CUST-0166"/>
    <s v="PROD-007"/>
    <x v="20"/>
    <n v="6"/>
    <n v="1430"/>
    <n v="18.399999999999999"/>
    <n v="7001.28"/>
    <s v="Pending"/>
    <s v="Hyderabad"/>
    <x v="4"/>
    <s v="Retail"/>
    <n v="31"/>
    <x v="2"/>
  </r>
  <r>
    <s v="ORD-01680"/>
    <x v="260"/>
    <s v="CUST-0188"/>
    <s v="PROD-055"/>
    <x v="25"/>
    <n v="7"/>
    <n v="2860"/>
    <n v="19.5"/>
    <n v="16116.1"/>
    <s v="Completed"/>
    <s v="Bengaluru"/>
    <x v="1"/>
    <s v="Retail"/>
    <n v="54"/>
    <x v="0"/>
  </r>
  <r>
    <s v="ORD-01681"/>
    <x v="96"/>
    <s v="CUST-0097"/>
    <s v="PROD-047"/>
    <x v="16"/>
    <n v="8"/>
    <n v="3450"/>
    <n v="25.5"/>
    <n v="20562"/>
    <s v="Pending"/>
    <s v="Mumbai"/>
    <x v="5"/>
    <s v="Retail"/>
    <n v="65"/>
    <x v="3"/>
  </r>
  <r>
    <s v="ORD-01682"/>
    <x v="344"/>
    <s v="CUST-0026"/>
    <s v="PROD-052"/>
    <x v="7"/>
    <n v="7"/>
    <n v="5410"/>
    <n v="15.2"/>
    <n v="32113.759999999998"/>
    <s v="Cancelled"/>
    <s v="Pune"/>
    <x v="1"/>
    <s v="Retail"/>
    <n v="62"/>
    <x v="3"/>
  </r>
  <r>
    <s v="ORD-01683"/>
    <x v="276"/>
    <s v="CUST-0026"/>
    <s v="PROD-040"/>
    <x v="5"/>
    <n v="3"/>
    <n v="1080"/>
    <n v="26"/>
    <n v="2397.6"/>
    <s v="Completed"/>
    <s v="Pune"/>
    <x v="3"/>
    <s v="Retail"/>
    <n v="62"/>
    <x v="2"/>
  </r>
  <r>
    <s v="ORD-01684"/>
    <x v="20"/>
    <s v="CUST-0020"/>
    <s v="PROD-055"/>
    <x v="7"/>
    <n v="8"/>
    <n v="2860"/>
    <n v="14.8"/>
    <n v="19493.759999999998"/>
    <s v="Completed"/>
    <s v="Hyderabad"/>
    <x v="1"/>
    <s v="Retail"/>
    <n v="46"/>
    <x v="3"/>
  </r>
  <r>
    <s v="ORD-01685"/>
    <x v="10"/>
    <s v="CUST-9740"/>
    <s v="PROD-045"/>
    <x v="22"/>
    <n v="4"/>
    <n v="3020"/>
    <n v="8.1"/>
    <n v="11101.52"/>
    <s v="Completed"/>
    <s v="Hyderabad"/>
    <x v="5"/>
    <s v=""/>
    <s v=""/>
    <x v="1"/>
  </r>
  <r>
    <s v="ORD-01686"/>
    <x v="51"/>
    <s v="CUST-0095"/>
    <s v="PROD-057"/>
    <x v="5"/>
    <n v="4"/>
    <n v="960"/>
    <n v="6.4"/>
    <n v="3594.24"/>
    <s v="Cancelled"/>
    <s v="Mumbai"/>
    <x v="1"/>
    <s v="SMB"/>
    <n v="54"/>
    <x v="2"/>
  </r>
  <r>
    <s v="ORD-01687"/>
    <x v="102"/>
    <s v="CUST-0079"/>
    <s v="PROD-004"/>
    <x v="20"/>
    <n v="4"/>
    <n v="3870"/>
    <n v="15.9"/>
    <n v="13018.68"/>
    <s v="Completed"/>
    <s v="Mumbai"/>
    <x v="4"/>
    <s v="Corporate"/>
    <n v="60"/>
    <x v="2"/>
  </r>
  <r>
    <s v="ORD-01688"/>
    <x v="239"/>
    <s v="CUST-0060"/>
    <s v="PROD-012"/>
    <x v="16"/>
    <n v="5"/>
    <n v="3160"/>
    <n v="29.8"/>
    <n v="11091.6"/>
    <s v="Completed"/>
    <s v="Pune"/>
    <x v="0"/>
    <s v="Retail"/>
    <n v="39"/>
    <x v="3"/>
  </r>
  <r>
    <s v="ORD-01689"/>
    <x v="210"/>
    <s v="CUST-0080"/>
    <s v="PROD-047"/>
    <x v="28"/>
    <n v="5"/>
    <n v="3450"/>
    <n v="29.4"/>
    <n v="12178.5"/>
    <s v="Completed"/>
    <s v="Pune"/>
    <x v="5"/>
    <s v="SMB"/>
    <n v="30"/>
    <x v="2"/>
  </r>
  <r>
    <s v="ORD-01690"/>
    <x v="275"/>
    <s v="CUST-0136"/>
    <s v="PROD-049"/>
    <x v="26"/>
    <n v="10"/>
    <n v="960"/>
    <n v="27"/>
    <n v="7008"/>
    <s v="Cancelled"/>
    <s v="Chennai"/>
    <x v="5"/>
    <s v="SMB"/>
    <n v="26"/>
    <x v="3"/>
  </r>
  <r>
    <s v="ORD-01691"/>
    <x v="335"/>
    <s v="CUST-0074"/>
    <s v="PROD-056"/>
    <x v="26"/>
    <n v="10"/>
    <n v="6940"/>
    <n v="20.100000000000001"/>
    <n v="55450.6"/>
    <s v="Completed"/>
    <s v="Bengaluru"/>
    <x v="1"/>
    <s v="Retail"/>
    <n v="27"/>
    <x v="3"/>
  </r>
  <r>
    <s v="ORD-01692"/>
    <x v="295"/>
    <s v="CUST-0090"/>
    <s v="PROD-058"/>
    <x v="18"/>
    <n v="9"/>
    <n v="2400"/>
    <n v="7.8"/>
    <n v="19915.2"/>
    <s v="Completed"/>
    <s v="Bengaluru"/>
    <x v="1"/>
    <s v="Corporate"/>
    <n v="26"/>
    <x v="1"/>
  </r>
  <r>
    <s v="ORD-01693"/>
    <x v="245"/>
    <s v="CUST-0300"/>
    <s v="PROD-052"/>
    <x v="21"/>
    <n v="1"/>
    <n v="5410"/>
    <n v="22.8"/>
    <n v="4176.5200000000004"/>
    <s v="Completed"/>
    <s v="Mumbai"/>
    <x v="1"/>
    <s v="Retail"/>
    <n v="38"/>
    <x v="3"/>
  </r>
  <r>
    <s v="ORD-01694"/>
    <x v="98"/>
    <s v="CUST-0188"/>
    <s v="PROD-009"/>
    <x v="10"/>
    <n v="7"/>
    <n v="1220"/>
    <n v="18.8"/>
    <n v="6934.48"/>
    <s v="Pending"/>
    <s v="Bengaluru"/>
    <x v="4"/>
    <s v="Retail"/>
    <n v="54"/>
    <x v="0"/>
  </r>
  <r>
    <s v="ORD-01695"/>
    <x v="127"/>
    <s v="CUST-0250"/>
    <s v="PROD-035"/>
    <x v="7"/>
    <n v="1"/>
    <n v="1090"/>
    <n v="23.5"/>
    <n v="833.85"/>
    <s v="Completed"/>
    <s v="Delhi"/>
    <x v="3"/>
    <s v="Retail"/>
    <n v="31"/>
    <x v="3"/>
  </r>
  <r>
    <s v="ORD-01696"/>
    <x v="101"/>
    <s v="CUST-0195"/>
    <s v="PROD-021"/>
    <x v="12"/>
    <n v="2"/>
    <n v="2760"/>
    <n v="2.2999999999999998"/>
    <n v="5393.04"/>
    <s v="Completed"/>
    <s v="Bengaluru"/>
    <x v="2"/>
    <s v="Retail"/>
    <n v="28"/>
    <x v="3"/>
  </r>
  <r>
    <s v="ORD-01697"/>
    <x v="17"/>
    <s v="CUST-0185"/>
    <s v="PROD-003"/>
    <x v="17"/>
    <n v="3"/>
    <n v="3570"/>
    <n v="18.399999999999999"/>
    <n v="8739.36"/>
    <s v="Refunded"/>
    <s v="Hyderabad"/>
    <x v="4"/>
    <s v="SMB"/>
    <n v="43"/>
    <x v="2"/>
  </r>
  <r>
    <s v="ORD-01698"/>
    <x v="349"/>
    <s v="CUST-0256"/>
    <s v="PROD-009"/>
    <x v="10"/>
    <n v="7"/>
    <n v="1220"/>
    <n v="25.8"/>
    <n v="6336.68"/>
    <s v="Refunded"/>
    <s v="Hyderabad"/>
    <x v="4"/>
    <s v="Retail"/>
    <n v="28"/>
    <x v="0"/>
  </r>
  <r>
    <s v="ORD-01699"/>
    <x v="350"/>
    <s v="CUST-0060"/>
    <s v="PROD-051"/>
    <x v="20"/>
    <n v="6"/>
    <n v="3450"/>
    <n v="13.1"/>
    <n v="17988.3"/>
    <s v="Completed"/>
    <s v="Pune"/>
    <x v="1"/>
    <s v="Retail"/>
    <n v="39"/>
    <x v="2"/>
  </r>
  <r>
    <s v="ORD-01700"/>
    <x v="347"/>
    <s v="CUST-0275"/>
    <s v="PROD-029"/>
    <x v="10"/>
    <n v="10"/>
    <n v="2210"/>
    <n v="16.600000000000001"/>
    <n v="18431.400000000001"/>
    <s v="Completed"/>
    <s v="Mumbai"/>
    <x v="2"/>
    <s v="Retail"/>
    <n v="36"/>
    <x v="0"/>
  </r>
  <r>
    <s v="ORD-01701"/>
    <x v="146"/>
    <s v="CUST-0114"/>
    <s v="PROD-019"/>
    <x v="28"/>
    <n v="10"/>
    <n v="2480"/>
    <n v="17.5"/>
    <n v="20460"/>
    <s v="Completed"/>
    <s v="Bengaluru"/>
    <x v="0"/>
    <s v="Corporate"/>
    <n v="42"/>
    <x v="2"/>
  </r>
  <r>
    <s v="ORD-01702"/>
    <x v="286"/>
    <s v="CUST-0060"/>
    <s v="PROD-036"/>
    <x v="7"/>
    <n v="9"/>
    <n v="3250"/>
    <n v="25.9"/>
    <n v="21674.25"/>
    <s v="Completed"/>
    <s v="Pune"/>
    <x v="3"/>
    <s v="Retail"/>
    <n v="39"/>
    <x v="3"/>
  </r>
  <r>
    <s v="ORD-01703"/>
    <x v="267"/>
    <s v="CUST-0039"/>
    <s v="PROD-058"/>
    <x v="4"/>
    <n v="3"/>
    <n v="2400"/>
    <n v="17.5"/>
    <n v="5940"/>
    <s v="Completed"/>
    <s v="Bengaluru"/>
    <x v="1"/>
    <s v="Retail"/>
    <n v="37"/>
    <x v="0"/>
  </r>
  <r>
    <s v="ORD-01704"/>
    <x v="332"/>
    <s v="CUST-0033"/>
    <s v="PROD-052"/>
    <x v="3"/>
    <n v="8"/>
    <n v="5410"/>
    <n v="8.3000000000000007"/>
    <n v="39687.760000000002"/>
    <s v="Completed"/>
    <s v="Delhi"/>
    <x v="1"/>
    <s v="Retail"/>
    <n v="35"/>
    <x v="0"/>
  </r>
  <r>
    <s v="ORD-01705"/>
    <x v="81"/>
    <s v="CUST-0037"/>
    <s v="PROD-002"/>
    <x v="26"/>
    <n v="1"/>
    <n v="2600"/>
    <n v="5.9"/>
    <n v="2446.6"/>
    <s v="Completed"/>
    <s v="Bengaluru"/>
    <x v="4"/>
    <s v="Retail"/>
    <n v="52"/>
    <x v="3"/>
  </r>
  <r>
    <s v="ORD-01706"/>
    <x v="348"/>
    <s v="CUST-0081"/>
    <s v="PROD-025"/>
    <x v="11"/>
    <n v="10"/>
    <n v="4060"/>
    <n v="2.2999999999999998"/>
    <n v="39666.199999999997"/>
    <s v="Completed"/>
    <s v="Mumbai"/>
    <x v="2"/>
    <s v="Retail"/>
    <n v="25"/>
    <x v="0"/>
  </r>
  <r>
    <s v="ORD-01707"/>
    <x v="279"/>
    <s v="CUST-0279"/>
    <s v="PROD-001"/>
    <x v="16"/>
    <n v="9"/>
    <n v="5330"/>
    <n v="23.5"/>
    <n v="36697.050000000003"/>
    <s v="Completed"/>
    <s v="Mumbai"/>
    <x v="4"/>
    <s v="Retail"/>
    <n v="56"/>
    <x v="3"/>
  </r>
  <r>
    <s v="ORD-01708"/>
    <x v="77"/>
    <s v="CUST-0129"/>
    <s v="PROD-043"/>
    <x v="5"/>
    <n v="7"/>
    <n v="3350"/>
    <n v="13.4"/>
    <n v="20307.7"/>
    <s v="Pending"/>
    <s v="Hyderabad"/>
    <x v="5"/>
    <s v="Retail"/>
    <n v="29"/>
    <x v="2"/>
  </r>
  <r>
    <s v="ORD-01709"/>
    <x v="252"/>
    <s v="CUST-0010"/>
    <s v="PROD-017"/>
    <x v="2"/>
    <n v="4"/>
    <n v="2510"/>
    <n v="26.6"/>
    <n v="7369.36"/>
    <s v="Completed"/>
    <s v="Mumbai"/>
    <x v="0"/>
    <s v="SMB"/>
    <n v="61"/>
    <x v="1"/>
  </r>
  <r>
    <s v="ORD-01710"/>
    <x v="145"/>
    <s v="CUST-0006"/>
    <s v="PROD-045"/>
    <x v="13"/>
    <n v="1"/>
    <n v="3020"/>
    <n v="15.2"/>
    <n v="2560.96"/>
    <s v="Cancelled"/>
    <s v="Pune"/>
    <x v="5"/>
    <s v="SMB"/>
    <n v="44"/>
    <x v="3"/>
  </r>
  <r>
    <s v="ORD-01711"/>
    <x v="149"/>
    <s v="CUST-0206"/>
    <s v="PROD-020"/>
    <x v="20"/>
    <n v="1"/>
    <n v="820"/>
    <n v="6.3"/>
    <n v="768.34"/>
    <s v="Completed"/>
    <s v="Mumbai"/>
    <x v="0"/>
    <s v="Retail"/>
    <n v="40"/>
    <x v="2"/>
  </r>
  <r>
    <s v="ORD-01712"/>
    <x v="56"/>
    <s v="CUST-0034"/>
    <s v="PROD-012"/>
    <x v="28"/>
    <n v="4"/>
    <n v="3160"/>
    <n v="3.6"/>
    <n v="12184.96"/>
    <s v="Pending"/>
    <s v="Delhi"/>
    <x v="0"/>
    <s v="Retail"/>
    <n v="47"/>
    <x v="2"/>
  </r>
  <r>
    <s v="ORD-01713"/>
    <x v="43"/>
    <s v="CUST-0121"/>
    <s v="PROD-028"/>
    <x v="27"/>
    <n v="1"/>
    <n v="3660"/>
    <n v="28.2"/>
    <n v="2627.88"/>
    <s v="Pending"/>
    <s v="Delhi"/>
    <x v="2"/>
    <s v="SMB"/>
    <n v="55"/>
    <x v="1"/>
  </r>
  <r>
    <s v="ORD-01714"/>
    <x v="18"/>
    <s v="CUST-0098"/>
    <s v="PROD-020"/>
    <x v="17"/>
    <n v="2"/>
    <n v="820"/>
    <n v="7"/>
    <n v="1525.2"/>
    <s v="Completed"/>
    <s v="Delhi"/>
    <x v="0"/>
    <s v="Retail"/>
    <n v="52"/>
    <x v="2"/>
  </r>
  <r>
    <s v="ORD-01715"/>
    <x v="225"/>
    <s v="CUST-0031"/>
    <s v="PROD-023"/>
    <x v="24"/>
    <n v="5"/>
    <n v="2380"/>
    <n v="23"/>
    <n v="9163"/>
    <s v="Completed"/>
    <s v="Hyderabad"/>
    <x v="2"/>
    <s v="Retail"/>
    <n v="53"/>
    <x v="3"/>
  </r>
  <r>
    <s v="ORD-01716"/>
    <x v="109"/>
    <s v="CUST-0185"/>
    <s v="PROD-004"/>
    <x v="22"/>
    <n v="1"/>
    <n v="3870"/>
    <n v="27.3"/>
    <n v="2813.49"/>
    <s v="Completed"/>
    <s v="Hyderabad"/>
    <x v="4"/>
    <s v="SMB"/>
    <n v="43"/>
    <x v="1"/>
  </r>
  <r>
    <s v="ORD-01717"/>
    <x v="114"/>
    <s v="CUST-0011"/>
    <s v="PROD-005"/>
    <x v="0"/>
    <n v="10"/>
    <n v="300"/>
    <n v="14.1"/>
    <n v="2577"/>
    <s v="Cancelled"/>
    <s v="Chennai"/>
    <x v="4"/>
    <s v="Corporate"/>
    <n v="41"/>
    <x v="0"/>
  </r>
  <r>
    <s v="ORD-01718"/>
    <x v="262"/>
    <s v="CUST-0223"/>
    <s v="PROD-048"/>
    <x v="28"/>
    <n v="10"/>
    <n v="5100"/>
    <n v="12.7"/>
    <n v="44523"/>
    <s v="Completed"/>
    <s v="Bengaluru"/>
    <x v="5"/>
    <s v="Retail"/>
    <n v="46"/>
    <x v="2"/>
  </r>
  <r>
    <s v="ORD-01719"/>
    <x v="55"/>
    <s v="CUST-0126"/>
    <s v="PROD-021"/>
    <x v="22"/>
    <n v="1"/>
    <n v="2760"/>
    <n v="17.8"/>
    <n v="2268.7199999999998"/>
    <s v="Refunded"/>
    <s v="Mumbai"/>
    <x v="2"/>
    <s v="Retail"/>
    <n v="37"/>
    <x v="1"/>
  </r>
  <r>
    <s v="ORD-01720"/>
    <x v="143"/>
    <s v="CUST-0284"/>
    <s v="PROD-001"/>
    <x v="25"/>
    <n v="8"/>
    <n v="5330"/>
    <n v="16.399999999999999"/>
    <n v="35647.040000000001"/>
    <s v="Completed"/>
    <s v="Hyderabad"/>
    <x v="4"/>
    <s v="SMB"/>
    <n v="65"/>
    <x v="0"/>
  </r>
  <r>
    <s v="ORD-01721"/>
    <x v="136"/>
    <s v="CUST-0011"/>
    <s v="PROD-054"/>
    <x v="29"/>
    <n v="1"/>
    <n v="1010"/>
    <n v="20.399999999999999"/>
    <n v="803.96"/>
    <s v="Cancelled"/>
    <s v="Chennai"/>
    <x v="1"/>
    <s v="Corporate"/>
    <n v="41"/>
    <x v="1"/>
  </r>
  <r>
    <s v="ORD-01722"/>
    <x v="351"/>
    <s v="CUST-0275"/>
    <s v="PROD-008"/>
    <x v="7"/>
    <n v="10"/>
    <n v="2660"/>
    <n v="29.3"/>
    <n v="18806.2"/>
    <s v="Completed"/>
    <s v="Mumbai"/>
    <x v="4"/>
    <s v="Retail"/>
    <n v="36"/>
    <x v="3"/>
  </r>
  <r>
    <s v="ORD-01723"/>
    <x v="47"/>
    <s v="CUST-0259"/>
    <s v="PROD-006"/>
    <x v="23"/>
    <n v="9"/>
    <n v="3970"/>
    <n v="10.4"/>
    <n v="32014.080000000002"/>
    <s v="Pending"/>
    <s v="Mumbai"/>
    <x v="4"/>
    <s v="Retail"/>
    <n v="34"/>
    <x v="1"/>
  </r>
  <r>
    <s v="ORD-01724"/>
    <x v="22"/>
    <s v="CUST-0089"/>
    <s v="PROD-014"/>
    <x v="4"/>
    <n v="3"/>
    <n v="3620"/>
    <n v="22"/>
    <n v="8470.7999999999993"/>
    <s v="Completed"/>
    <s v="Mumbai"/>
    <x v="0"/>
    <s v="SMB"/>
    <n v="43"/>
    <x v="0"/>
  </r>
  <r>
    <s v="ORD-01725"/>
    <x v="266"/>
    <s v="CUST-0232"/>
    <s v="PROD-022"/>
    <x v="26"/>
    <n v="6"/>
    <n v="2270"/>
    <n v="11.1"/>
    <n v="12108.18"/>
    <s v="Cancelled"/>
    <s v="Hyderabad"/>
    <x v="2"/>
    <s v="Retail"/>
    <n v="38"/>
    <x v="3"/>
  </r>
  <r>
    <s v="ORD-01726"/>
    <x v="363"/>
    <s v="CUST-0220"/>
    <s v="PROD-022"/>
    <x v="2"/>
    <n v="4"/>
    <n v="2270"/>
    <n v="27.2"/>
    <n v="6610.24"/>
    <s v="Pending"/>
    <s v="Chennai"/>
    <x v="2"/>
    <s v="Retail"/>
    <n v="34"/>
    <x v="1"/>
  </r>
  <r>
    <s v="ORD-01727"/>
    <x v="31"/>
    <s v="CUST-0137"/>
    <s v="PROD-039"/>
    <x v="27"/>
    <n v="8"/>
    <n v="4610"/>
    <n v="24.5"/>
    <n v="27844.400000000001"/>
    <s v="Completed"/>
    <s v="Mumbai"/>
    <x v="3"/>
    <s v="Retail"/>
    <n v="41"/>
    <x v="1"/>
  </r>
  <r>
    <s v="ORD-01728"/>
    <x v="250"/>
    <s v="CUST-0132"/>
    <s v="PROD-060"/>
    <x v="16"/>
    <n v="6"/>
    <n v="190"/>
    <n v="8.6999999999999993"/>
    <n v="1040.82"/>
    <s v="Cancelled"/>
    <s v="Delhi"/>
    <x v="1"/>
    <s v="Retail"/>
    <n v="41"/>
    <x v="3"/>
  </r>
  <r>
    <s v="ORD-01729"/>
    <x v="7"/>
    <s v="CUST-0226"/>
    <s v="PROD-033"/>
    <x v="17"/>
    <n v="5"/>
    <n v="2030"/>
    <n v="0.9"/>
    <n v="10058.65"/>
    <s v="Cancelled"/>
    <s v="Chennai"/>
    <x v="3"/>
    <s v="Corporate"/>
    <n v="52"/>
    <x v="2"/>
  </r>
  <r>
    <s v="ORD-01730"/>
    <x v="105"/>
    <s v="CUST-0080"/>
    <s v="PROD-026"/>
    <x v="16"/>
    <n v="1"/>
    <n v="4070"/>
    <n v="9.3000000000000007"/>
    <n v="3691.49"/>
    <s v="Refunded"/>
    <s v="Pune"/>
    <x v="2"/>
    <s v="SMB"/>
    <n v="30"/>
    <x v="3"/>
  </r>
  <r>
    <s v="ORD-01731"/>
    <x v="151"/>
    <s v="CUST-0068"/>
    <s v="PROD-042"/>
    <x v="19"/>
    <n v="3"/>
    <n v="2290"/>
    <n v="12.1"/>
    <n v="6038.73"/>
    <s v="Completed"/>
    <s v="Delhi"/>
    <x v="5"/>
    <s v="SMB"/>
    <n v="48"/>
    <x v="0"/>
  </r>
  <r>
    <s v="ORD-01732"/>
    <x v="282"/>
    <s v="CUST-0146"/>
    <s v="PROD-031"/>
    <x v="16"/>
    <n v="7"/>
    <n v="3730"/>
    <n v="4.5"/>
    <n v="24935.05"/>
    <s v="Completed"/>
    <s v="Hyderabad"/>
    <x v="3"/>
    <s v="Retail"/>
    <n v="22"/>
    <x v="3"/>
  </r>
  <r>
    <s v="ORD-01733"/>
    <x v="141"/>
    <s v="CUST-0106"/>
    <s v="PROD-016"/>
    <x v="1"/>
    <n v="5"/>
    <n v="620"/>
    <n v="7.5"/>
    <n v="2867.5"/>
    <s v="Completed"/>
    <s v="Pune"/>
    <x v="0"/>
    <s v="Retail"/>
    <n v="22"/>
    <x v="0"/>
  </r>
  <r>
    <s v="ORD-01734"/>
    <x v="6"/>
    <s v="CUST-0096"/>
    <s v="PROD-010"/>
    <x v="9"/>
    <n v="8"/>
    <n v="2640"/>
    <n v="16.399999999999999"/>
    <n v="17656.32"/>
    <s v="Completed"/>
    <s v="Delhi"/>
    <x v="4"/>
    <s v="Corporate"/>
    <n v="27"/>
    <x v="1"/>
  </r>
  <r>
    <s v="ORD-01735"/>
    <x v="148"/>
    <s v="CUST-0248"/>
    <s v="PROD-028"/>
    <x v="10"/>
    <n v="6"/>
    <n v="3660"/>
    <n v="6.2"/>
    <n v="20598.48"/>
    <s v="Completed"/>
    <s v="Chennai"/>
    <x v="2"/>
    <s v="SMB"/>
    <n v="57"/>
    <x v="0"/>
  </r>
  <r>
    <s v="ORD-01736"/>
    <x v="11"/>
    <s v="CUST-0297"/>
    <s v="PROD-020"/>
    <x v="16"/>
    <n v="2"/>
    <n v="820"/>
    <n v="25.4"/>
    <n v="1223.44"/>
    <s v="Completed"/>
    <s v="Hyderabad"/>
    <x v="0"/>
    <s v="Retail"/>
    <n v="50"/>
    <x v="3"/>
  </r>
  <r>
    <s v="ORD-01737"/>
    <x v="102"/>
    <s v="CUST-0120"/>
    <s v="PROD-019"/>
    <x v="13"/>
    <n v="3"/>
    <n v="2480"/>
    <n v="28.7"/>
    <n v="5304.72"/>
    <s v="Pending"/>
    <s v="Mumbai"/>
    <x v="0"/>
    <s v="Retail"/>
    <n v="29"/>
    <x v="3"/>
  </r>
  <r>
    <s v="ORD-01738"/>
    <x v="166"/>
    <s v="CUST-0148"/>
    <s v="PROD-050"/>
    <x v="8"/>
    <n v="10"/>
    <n v="6080"/>
    <n v="18.899999999999999"/>
    <n v="49308.800000000003"/>
    <s v="Completed"/>
    <s v="Chennai"/>
    <x v="5"/>
    <s v="Retail"/>
    <n v="32"/>
    <x v="2"/>
  </r>
  <r>
    <s v="ORD-01739"/>
    <x v="260"/>
    <s v="CUST-0008"/>
    <s v="PROD-060"/>
    <x v="24"/>
    <n v="1"/>
    <n v="190"/>
    <n v="5.7"/>
    <n v="179.17"/>
    <s v="Completed"/>
    <s v="Pune"/>
    <x v="1"/>
    <s v="SMB"/>
    <n v="39"/>
    <x v="3"/>
  </r>
  <r>
    <s v="ORD-01740"/>
    <x v="113"/>
    <s v="CUST-0013"/>
    <s v="PROD-059"/>
    <x v="17"/>
    <n v="2"/>
    <n v="3780"/>
    <n v="11.8"/>
    <n v="6667.92"/>
    <s v="Completed"/>
    <s v="Delhi"/>
    <x v="1"/>
    <s v="Retail"/>
    <n v="41"/>
    <x v="2"/>
  </r>
  <r>
    <s v="ORD-01741"/>
    <x v="341"/>
    <s v="CUST-0234"/>
    <s v="PROD-036"/>
    <x v="19"/>
    <n v="5"/>
    <n v="3250"/>
    <n v="19.899999999999999"/>
    <n v="13016.25"/>
    <s v="Completed"/>
    <s v="Bengaluru"/>
    <x v="3"/>
    <s v="Retail"/>
    <n v="34"/>
    <x v="0"/>
  </r>
  <r>
    <s v="ORD-01742"/>
    <x v="13"/>
    <s v="CUST-0207"/>
    <s v="PROD-033"/>
    <x v="4"/>
    <n v="7"/>
    <n v="2030"/>
    <n v="4.0999999999999996"/>
    <n v="13627.39"/>
    <s v="Completed"/>
    <s v="Hyderabad"/>
    <x v="3"/>
    <s v="SMB"/>
    <n v="34"/>
    <x v="0"/>
  </r>
  <r>
    <s v="ORD-01743"/>
    <x v="330"/>
    <s v="CUST-0245"/>
    <s v="PROD-046"/>
    <x v="27"/>
    <n v="5"/>
    <n v="4880"/>
    <n v="22.9"/>
    <n v="18812.400000000001"/>
    <s v="Completed"/>
    <s v="Hyderabad"/>
    <x v="5"/>
    <s v="Retail"/>
    <n v="65"/>
    <x v="1"/>
  </r>
  <r>
    <s v="ORD-01744"/>
    <x v="92"/>
    <s v="CUST-0044"/>
    <s v="PROD-043"/>
    <x v="16"/>
    <n v="3"/>
    <n v="3350"/>
    <n v="15.2"/>
    <n v="8522.4"/>
    <s v="Pending"/>
    <s v="Hyderabad"/>
    <x v="5"/>
    <s v="SMB"/>
    <n v="29"/>
    <x v="3"/>
  </r>
  <r>
    <s v="ORD-01745"/>
    <x v="54"/>
    <s v="CUST-0264"/>
    <s v="PROD-055"/>
    <x v="20"/>
    <n v="10"/>
    <n v="2860"/>
    <n v="15"/>
    <n v="24310"/>
    <s v="Completed"/>
    <s v="Pune"/>
    <x v="1"/>
    <s v="Retail"/>
    <n v="59"/>
    <x v="2"/>
  </r>
  <r>
    <s v="ORD-01746"/>
    <x v="328"/>
    <s v="CUST-0193"/>
    <s v="PROD-047"/>
    <x v="26"/>
    <n v="5"/>
    <n v="3450"/>
    <n v="2.2999999999999998"/>
    <n v="16853.25"/>
    <s v="Completed"/>
    <s v="Bengaluru"/>
    <x v="5"/>
    <s v="Retail"/>
    <n v="42"/>
    <x v="3"/>
  </r>
  <r>
    <s v="ORD-01747"/>
    <x v="245"/>
    <s v="CUST-0006"/>
    <s v="PROD-024"/>
    <x v="15"/>
    <n v="3"/>
    <n v="2270"/>
    <n v="2.8"/>
    <n v="6619.32"/>
    <s v="Pending"/>
    <s v="Pune"/>
    <x v="2"/>
    <s v="SMB"/>
    <n v="44"/>
    <x v="1"/>
  </r>
  <r>
    <s v="ORD-01748"/>
    <x v="20"/>
    <s v="CUST-0221"/>
    <s v="PROD-028"/>
    <x v="0"/>
    <n v="8"/>
    <n v="3660"/>
    <n v="16.8"/>
    <n v="24360.959999999999"/>
    <s v="Completed"/>
    <s v="Delhi"/>
    <x v="2"/>
    <s v="SMB"/>
    <n v="29"/>
    <x v="0"/>
  </r>
  <r>
    <s v="ORD-01749"/>
    <x v="277"/>
    <s v="CUST-0151"/>
    <s v="PROD-045"/>
    <x v="4"/>
    <n v="7"/>
    <n v="3020"/>
    <n v="17.8"/>
    <n v="17377.080000000002"/>
    <s v="Completed"/>
    <s v="Mumbai"/>
    <x v="5"/>
    <s v="Retail"/>
    <n v="53"/>
    <x v="0"/>
  </r>
  <r>
    <s v="ORD-01750"/>
    <x v="78"/>
    <s v="CUST-0188"/>
    <s v="PROD-040"/>
    <x v="2"/>
    <n v="7"/>
    <n v="1080"/>
    <n v="12.9"/>
    <n v="6584.76"/>
    <s v="Completed"/>
    <s v="Bengaluru"/>
    <x v="3"/>
    <s v="Retail"/>
    <n v="54"/>
    <x v="1"/>
  </r>
  <r>
    <s v="ORD-01751"/>
    <x v="315"/>
    <s v="CUST-0010"/>
    <s v="PROD-022"/>
    <x v="27"/>
    <n v="2"/>
    <n v="2270"/>
    <n v="8.6"/>
    <n v="4149.5600000000004"/>
    <s v="Cancelled"/>
    <s v="Mumbai"/>
    <x v="2"/>
    <s v="SMB"/>
    <n v="61"/>
    <x v="1"/>
  </r>
  <r>
    <s v="ORD-01752"/>
    <x v="338"/>
    <s v="CUST-0018"/>
    <s v="PROD-016"/>
    <x v="27"/>
    <n v="10"/>
    <n v="620"/>
    <n v="26.1"/>
    <n v="4581.8"/>
    <s v="Completed"/>
    <s v="Pune"/>
    <x v="0"/>
    <s v="SMB"/>
    <n v="54"/>
    <x v="1"/>
  </r>
  <r>
    <s v="ORD-01753"/>
    <x v="230"/>
    <s v="CUST-0262"/>
    <s v="PROD-025"/>
    <x v="15"/>
    <n v="2"/>
    <n v="4060"/>
    <n v="3.8"/>
    <n v="7811.44"/>
    <s v="Completed"/>
    <s v="Mumbai"/>
    <x v="2"/>
    <s v="Retail"/>
    <n v="52"/>
    <x v="1"/>
  </r>
  <r>
    <s v="ORD-01754"/>
    <x v="56"/>
    <s v="CUST-0282"/>
    <s v="PROD-027"/>
    <x v="27"/>
    <n v="1"/>
    <n v="3780"/>
    <n v="27.9"/>
    <n v="2725.38"/>
    <s v="Completed"/>
    <s v="Hyderabad"/>
    <x v="2"/>
    <s v="Corporate"/>
    <n v="29"/>
    <x v="1"/>
  </r>
  <r>
    <s v="ORD-01755"/>
    <x v="7"/>
    <s v="CUST-0194"/>
    <s v="PROD-023"/>
    <x v="24"/>
    <n v="8"/>
    <n v="2380"/>
    <n v="3.8"/>
    <n v="18316.48"/>
    <s v="Completed"/>
    <s v="Delhi"/>
    <x v="2"/>
    <s v="SMB"/>
    <n v="55"/>
    <x v="3"/>
  </r>
  <r>
    <s v="ORD-01756"/>
    <x v="239"/>
    <s v="CUST-0161"/>
    <s v="PROD-026"/>
    <x v="6"/>
    <n v="7"/>
    <n v="4070"/>
    <n v="0.3"/>
    <n v="28404.53"/>
    <s v="Completed"/>
    <s v="Chennai"/>
    <x v="2"/>
    <s v="Retail"/>
    <n v="38"/>
    <x v="2"/>
  </r>
  <r>
    <s v="ORD-01757"/>
    <x v="61"/>
    <s v="CUST-0120"/>
    <s v="PROD-010"/>
    <x v="16"/>
    <n v="6"/>
    <n v="2640"/>
    <n v="3.4"/>
    <n v="15301.44"/>
    <s v="Completed"/>
    <s v="Mumbai"/>
    <x v="4"/>
    <s v="Retail"/>
    <n v="29"/>
    <x v="3"/>
  </r>
  <r>
    <s v="ORD-01758"/>
    <x v="312"/>
    <s v="CUST-0250"/>
    <s v="PROD-059"/>
    <x v="14"/>
    <n v="10"/>
    <n v="3780"/>
    <n v="13.3"/>
    <n v="32772.6"/>
    <s v="Completed"/>
    <s v="Delhi"/>
    <x v="1"/>
    <s v="Retail"/>
    <n v="31"/>
    <x v="2"/>
  </r>
  <r>
    <s v="ORD-01759"/>
    <x v="272"/>
    <s v="CUST-0054"/>
    <s v="PROD-043"/>
    <x v="18"/>
    <n v="9"/>
    <n v="3350"/>
    <n v="12.8"/>
    <n v="26290.799999999999"/>
    <s v="Completed"/>
    <s v="Mumbai"/>
    <x v="5"/>
    <s v="Corporate"/>
    <n v="62"/>
    <x v="1"/>
  </r>
  <r>
    <s v="ORD-01760"/>
    <x v="61"/>
    <s v="CUST-0247"/>
    <s v="PROD-012"/>
    <x v="6"/>
    <n v="7"/>
    <n v="3160"/>
    <n v="15.3"/>
    <n v="18735.64"/>
    <s v="Completed"/>
    <s v="Pune"/>
    <x v="0"/>
    <s v="SMB"/>
    <n v="35"/>
    <x v="2"/>
  </r>
  <r>
    <s v="ORD-01761"/>
    <x v="49"/>
    <s v="CUST-0127"/>
    <s v="PROD-055"/>
    <x v="10"/>
    <n v="6"/>
    <n v="2860"/>
    <n v="17.5"/>
    <n v="14157"/>
    <s v="Completed"/>
    <s v="Bengaluru"/>
    <x v="1"/>
    <s v="SMB"/>
    <n v="36"/>
    <x v="0"/>
  </r>
  <r>
    <s v="ORD-01762"/>
    <x v="123"/>
    <s v="CUST-0030"/>
    <s v="PROD-005"/>
    <x v="9"/>
    <n v="9"/>
    <n v="300"/>
    <n v="25.2"/>
    <n v="2019.6"/>
    <s v="Completed"/>
    <s v="Bengaluru"/>
    <x v="4"/>
    <s v="Corporate"/>
    <n v="43"/>
    <x v="1"/>
  </r>
  <r>
    <s v="ORD-01763"/>
    <x v="197"/>
    <s v="CUST-0205"/>
    <s v="PROD-060"/>
    <x v="16"/>
    <n v="5"/>
    <n v="190"/>
    <n v="1.8"/>
    <n v="932.9"/>
    <s v="Completed"/>
    <s v="Pune"/>
    <x v="1"/>
    <s v="Corporate"/>
    <n v="29"/>
    <x v="3"/>
  </r>
  <r>
    <s v="ORD-01764"/>
    <x v="80"/>
    <s v="CUST-0172"/>
    <s v="PROD-054"/>
    <x v="13"/>
    <n v="7"/>
    <n v="1010"/>
    <n v="11.2"/>
    <n v="6278.16"/>
    <s v="Completed"/>
    <s v="Pune"/>
    <x v="1"/>
    <s v="Retail"/>
    <n v="65"/>
    <x v="3"/>
  </r>
  <r>
    <s v="ORD-01765"/>
    <x v="50"/>
    <s v="CUST-0283"/>
    <s v="PROD-051"/>
    <x v="19"/>
    <n v="8"/>
    <n v="3450"/>
    <n v="8.4"/>
    <n v="25281.599999999999"/>
    <s v="Completed"/>
    <s v="Delhi"/>
    <x v="1"/>
    <s v="SMB"/>
    <n v="50"/>
    <x v="0"/>
  </r>
  <r>
    <s v="ORD-01766"/>
    <x v="100"/>
    <s v="CUST-0005"/>
    <s v="PROD-005"/>
    <x v="19"/>
    <n v="3"/>
    <n v="300"/>
    <n v="7.5"/>
    <n v="832.5"/>
    <s v="Refunded"/>
    <s v="Chennai"/>
    <x v="4"/>
    <s v="Corporate"/>
    <n v="52"/>
    <x v="0"/>
  </r>
  <r>
    <s v="ORD-01767"/>
    <x v="43"/>
    <s v="CUST-0095"/>
    <s v="PROD-031"/>
    <x v="26"/>
    <n v="4"/>
    <n v="3730"/>
    <n v="24.8"/>
    <n v="11219.84"/>
    <s v="Completed"/>
    <s v="Mumbai"/>
    <x v="3"/>
    <s v="SMB"/>
    <n v="54"/>
    <x v="3"/>
  </r>
  <r>
    <s v="ORD-01768"/>
    <x v="32"/>
    <s v="CUST-0142"/>
    <s v="PROD-058"/>
    <x v="16"/>
    <n v="5"/>
    <n v="2400"/>
    <n v="9.1999999999999993"/>
    <n v="10896"/>
    <s v="Completed"/>
    <s v="Chennai"/>
    <x v="1"/>
    <s v="Corporate"/>
    <n v="55"/>
    <x v="3"/>
  </r>
  <r>
    <s v="ORD-01769"/>
    <x v="303"/>
    <s v="CUST-0028"/>
    <s v="PROD-021"/>
    <x v="19"/>
    <n v="3"/>
    <n v="2760"/>
    <n v="2.4"/>
    <n v="8081.28"/>
    <s v="Completed"/>
    <s v="Bengaluru"/>
    <x v="2"/>
    <s v="Retail"/>
    <n v="59"/>
    <x v="0"/>
  </r>
  <r>
    <s v="ORD-01770"/>
    <x v="289"/>
    <s v="CUST-0118"/>
    <s v="PROD-053"/>
    <x v="18"/>
    <n v="8"/>
    <n v="470"/>
    <n v="24.8"/>
    <n v="2827.52"/>
    <s v="Pending"/>
    <s v="Hyderabad"/>
    <x v="1"/>
    <s v="Retail"/>
    <n v="26"/>
    <x v="1"/>
  </r>
  <r>
    <s v="ORD-01771"/>
    <x v="142"/>
    <s v="CUST-0231"/>
    <s v="PROD-053"/>
    <x v="28"/>
    <n v="3"/>
    <n v="470"/>
    <n v="18.600000000000001"/>
    <n v="1147.74"/>
    <s v="Completed"/>
    <s v="Chennai"/>
    <x v="1"/>
    <s v="Retail"/>
    <n v="61"/>
    <x v="2"/>
  </r>
  <r>
    <s v="ORD-01772"/>
    <x v="228"/>
    <s v="CUST-0264"/>
    <s v="PROD-032"/>
    <x v="8"/>
    <n v="2"/>
    <n v="370"/>
    <n v="24"/>
    <n v="562.4"/>
    <s v="Completed"/>
    <s v="Pune"/>
    <x v="3"/>
    <s v="Retail"/>
    <n v="59"/>
    <x v="2"/>
  </r>
  <r>
    <s v="ORD-01773"/>
    <x v="90"/>
    <s v="CUST-0120"/>
    <s v="PROD-029"/>
    <x v="19"/>
    <n v="6"/>
    <n v="2210"/>
    <n v="28.3"/>
    <n v="9507.42"/>
    <s v="Cancelled"/>
    <s v="Mumbai"/>
    <x v="2"/>
    <s v="Retail"/>
    <n v="29"/>
    <x v="0"/>
  </r>
  <r>
    <s v="ORD-01774"/>
    <x v="0"/>
    <s v="CUST-0185"/>
    <s v="PROD-056"/>
    <x v="25"/>
    <n v="3"/>
    <n v="6940"/>
    <n v="27.2"/>
    <n v="15156.96"/>
    <s v="Refunded"/>
    <s v="Hyderabad"/>
    <x v="1"/>
    <s v="SMB"/>
    <n v="43"/>
    <x v="0"/>
  </r>
  <r>
    <s v="ORD-01775"/>
    <x v="318"/>
    <s v="CUST-0174"/>
    <s v="PROD-033"/>
    <x v="26"/>
    <n v="10"/>
    <n v="2030"/>
    <n v="25.6"/>
    <n v="15103.2"/>
    <s v="Completed"/>
    <s v="Pune"/>
    <x v="3"/>
    <s v="Retail"/>
    <n v="54"/>
    <x v="3"/>
  </r>
  <r>
    <s v="ORD-01776"/>
    <x v="80"/>
    <s v="CUST-0174"/>
    <s v="PROD-054"/>
    <x v="21"/>
    <n v="9"/>
    <n v="1010"/>
    <n v="9.3000000000000007"/>
    <n v="8244.6299999999992"/>
    <s v="Completed"/>
    <s v="Pune"/>
    <x v="1"/>
    <s v="Retail"/>
    <n v="54"/>
    <x v="3"/>
  </r>
  <r>
    <s v="ORD-01777"/>
    <x v="297"/>
    <s v="CUST-0084"/>
    <s v="PROD-017"/>
    <x v="25"/>
    <n v="5"/>
    <n v="2510"/>
    <n v="22.2"/>
    <n v="9763.9"/>
    <s v="Completed"/>
    <s v="Chennai"/>
    <x v="0"/>
    <s v="Retail"/>
    <n v="28"/>
    <x v="0"/>
  </r>
  <r>
    <s v="ORD-01778"/>
    <x v="236"/>
    <s v="CUST-0270"/>
    <s v="PROD-032"/>
    <x v="25"/>
    <n v="10"/>
    <n v="370"/>
    <n v="29"/>
    <n v="2627"/>
    <s v="Completed"/>
    <s v="Bengaluru"/>
    <x v="3"/>
    <s v="Retail"/>
    <n v="29"/>
    <x v="0"/>
  </r>
  <r>
    <s v="ORD-01779"/>
    <x v="210"/>
    <s v="CUST-0178"/>
    <s v="PROD-019"/>
    <x v="13"/>
    <n v="3"/>
    <n v="2480"/>
    <n v="9.6"/>
    <n v="6725.76"/>
    <s v="Completed"/>
    <s v="Hyderabad"/>
    <x v="0"/>
    <s v="Retail"/>
    <n v="25"/>
    <x v="3"/>
  </r>
  <r>
    <s v="ORD-01780"/>
    <x v="128"/>
    <s v="CUST-0019"/>
    <s v="PROD-010"/>
    <x v="21"/>
    <n v="3"/>
    <n v="2640"/>
    <n v="10.199999999999999"/>
    <n v="7112.16"/>
    <s v="Cancelled"/>
    <s v="Chennai"/>
    <x v="4"/>
    <s v="Retail"/>
    <n v="22"/>
    <x v="3"/>
  </r>
  <r>
    <s v="ORD-01781"/>
    <x v="172"/>
    <s v="CUST-0276"/>
    <s v="PROD-035"/>
    <x v="16"/>
    <n v="1"/>
    <n v="1090"/>
    <n v="21.6"/>
    <n v="854.56"/>
    <s v="Cancelled"/>
    <s v="Chennai"/>
    <x v="3"/>
    <s v="Retail"/>
    <n v="26"/>
    <x v="3"/>
  </r>
  <r>
    <s v="ORD-01782"/>
    <x v="38"/>
    <s v="CUST-0076"/>
    <s v="PROD-043"/>
    <x v="25"/>
    <n v="10"/>
    <n v="3350"/>
    <n v="12.1"/>
    <n v="29446.5"/>
    <s v="Completed"/>
    <s v="Mumbai"/>
    <x v="5"/>
    <s v="Retail"/>
    <n v="38"/>
    <x v="0"/>
  </r>
  <r>
    <s v="ORD-01783"/>
    <x v="254"/>
    <s v="CUST-0085"/>
    <s v="PROD-050"/>
    <x v="15"/>
    <n v="4"/>
    <n v="6080"/>
    <n v="26.7"/>
    <n v="17826.560000000001"/>
    <s v="Cancelled"/>
    <s v="Chennai"/>
    <x v="5"/>
    <s v="Retail"/>
    <n v="26"/>
    <x v="1"/>
  </r>
  <r>
    <s v="ORD-01784"/>
    <x v="332"/>
    <s v="CUST-0245"/>
    <s v="PROD-049"/>
    <x v="25"/>
    <n v="3"/>
    <n v="960"/>
    <n v="13.2"/>
    <n v="2499.84"/>
    <s v="Completed"/>
    <s v="Hyderabad"/>
    <x v="5"/>
    <s v="Retail"/>
    <n v="65"/>
    <x v="0"/>
  </r>
  <r>
    <s v="ORD-01785"/>
    <x v="294"/>
    <s v="CUST-0135"/>
    <s v="PROD-028"/>
    <x v="0"/>
    <n v="9"/>
    <n v="3660"/>
    <n v="9.3000000000000007"/>
    <n v="29876.58"/>
    <s v="Cancelled"/>
    <s v="Pune"/>
    <x v="2"/>
    <s v="SMB"/>
    <n v="24"/>
    <x v="0"/>
  </r>
  <r>
    <s v="ORD-01786"/>
    <x v="321"/>
    <s v="CUST-0224"/>
    <s v="PROD-047"/>
    <x v="7"/>
    <n v="6"/>
    <n v="3450"/>
    <n v="8.1999999999999993"/>
    <n v="19002.599999999999"/>
    <s v="Completed"/>
    <s v="Chennai"/>
    <x v="5"/>
    <s v="Corporate"/>
    <n v="24"/>
    <x v="3"/>
  </r>
  <r>
    <s v="ORD-01787"/>
    <x v="292"/>
    <s v="CUST-0036"/>
    <s v="PROD-039"/>
    <x v="16"/>
    <n v="7"/>
    <n v="4610"/>
    <n v="10.4"/>
    <n v="28913.919999999998"/>
    <s v="Completed"/>
    <s v="Mumbai"/>
    <x v="3"/>
    <s v="Retail"/>
    <n v="35"/>
    <x v="3"/>
  </r>
  <r>
    <s v="ORD-01788"/>
    <x v="201"/>
    <s v="CUST-0197"/>
    <s v="PROD-057"/>
    <x v="18"/>
    <n v="2"/>
    <n v="960"/>
    <n v="16.5"/>
    <n v="1603.2"/>
    <s v="Completed"/>
    <s v="Bengaluru"/>
    <x v="1"/>
    <s v="Retail"/>
    <n v="55"/>
    <x v="1"/>
  </r>
  <r>
    <s v="ORD-01789"/>
    <x v="223"/>
    <s v="CUST-0111"/>
    <s v="PROD-032"/>
    <x v="12"/>
    <n v="7"/>
    <n v="370"/>
    <n v="1.4"/>
    <n v="2553.7399999999998"/>
    <s v="Refunded"/>
    <s v="Chennai"/>
    <x v="3"/>
    <s v="SMB"/>
    <n v="64"/>
    <x v="3"/>
  </r>
  <r>
    <s v="ORD-01790"/>
    <x v="275"/>
    <s v="CUST-0198"/>
    <s v="PROD-024"/>
    <x v="10"/>
    <n v="3"/>
    <n v="2270"/>
    <n v="12.6"/>
    <n v="5951.94"/>
    <s v="Completed"/>
    <s v="Chennai"/>
    <x v="2"/>
    <s v="Corporate"/>
    <n v="22"/>
    <x v="0"/>
  </r>
  <r>
    <s v="ORD-00268"/>
    <x v="114"/>
    <s v="CUST-0049"/>
    <s v="PROD-036"/>
    <x v="2"/>
    <n v="1"/>
    <n v="3250"/>
    <n v="17.8"/>
    <n v="2671.5"/>
    <s v="Completed"/>
    <s v="Mumbai"/>
    <x v="3"/>
    <s v="Corporate"/>
    <n v="42"/>
    <x v="1"/>
  </r>
  <r>
    <s v="ORD-01792"/>
    <x v="280"/>
    <s v="CUST-0029"/>
    <s v="PROD-016"/>
    <x v="26"/>
    <n v="5"/>
    <n v="620"/>
    <n v="19.399999999999999"/>
    <n v="2498.6"/>
    <s v="Pending"/>
    <s v="Chennai"/>
    <x v="0"/>
    <s v="Corporate"/>
    <n v="54"/>
    <x v="3"/>
  </r>
  <r>
    <s v="ORD-01793"/>
    <x v="77"/>
    <s v="CUST-0018"/>
    <s v="PROD-008"/>
    <x v="1"/>
    <n v="6"/>
    <n v="2660"/>
    <n v="14.9"/>
    <n v="13581.96"/>
    <s v="Completed"/>
    <s v="Pune"/>
    <x v="4"/>
    <s v="SMB"/>
    <n v="54"/>
    <x v="0"/>
  </r>
  <r>
    <s v="ORD-01794"/>
    <x v="357"/>
    <s v="CUST-0007"/>
    <s v="PROD-014"/>
    <x v="19"/>
    <n v="5"/>
    <n v="3620"/>
    <n v="21"/>
    <n v="14299"/>
    <s v="Cancelled"/>
    <s v="Bengaluru"/>
    <x v="0"/>
    <s v="Retail"/>
    <n v="47"/>
    <x v="0"/>
  </r>
  <r>
    <s v="ORD-01795"/>
    <x v="228"/>
    <s v="CUST-0014"/>
    <s v="PROD-013"/>
    <x v="13"/>
    <n v="1"/>
    <n v="3640"/>
    <n v="15.8"/>
    <n v="3064.88"/>
    <s v="Completed"/>
    <s v="Bengaluru"/>
    <x v="0"/>
    <s v="Retail"/>
    <n v="48"/>
    <x v="3"/>
  </r>
  <r>
    <s v="ORD-01796"/>
    <x v="328"/>
    <s v="CUST-0215"/>
    <s v="PROD-009"/>
    <x v="0"/>
    <n v="1"/>
    <n v="1220"/>
    <n v="0.6"/>
    <n v="1212.68"/>
    <s v="Refunded"/>
    <s v="Hyderabad"/>
    <x v="4"/>
    <s v="Retail"/>
    <n v="52"/>
    <x v="0"/>
  </r>
  <r>
    <s v="ORD-01797"/>
    <x v="154"/>
    <s v="CUST-0056"/>
    <s v="PROD-019"/>
    <x v="25"/>
    <n v="10"/>
    <n v="2480"/>
    <n v="0.6"/>
    <n v="24651.200000000001"/>
    <s v="Completed"/>
    <s v="Bengaluru"/>
    <x v="0"/>
    <s v="SMB"/>
    <n v="46"/>
    <x v="0"/>
  </r>
  <r>
    <s v="ORD-01798"/>
    <x v="287"/>
    <s v="CUST-0231"/>
    <s v="PROD-044"/>
    <x v="28"/>
    <n v="9"/>
    <n v="1650"/>
    <n v="26.8"/>
    <n v="10870.2"/>
    <s v="Completed"/>
    <s v="Chennai"/>
    <x v="5"/>
    <s v="Retail"/>
    <n v="61"/>
    <x v="2"/>
  </r>
  <r>
    <s v="ORD-01799"/>
    <x v="9"/>
    <s v="CUST-0138"/>
    <s v="PROD-045"/>
    <x v="4"/>
    <n v="10"/>
    <n v="3020"/>
    <n v="2.6"/>
    <n v="29414.799999999999"/>
    <s v="Completed"/>
    <s v="Chennai"/>
    <x v="5"/>
    <s v="Retail"/>
    <n v="24"/>
    <x v="0"/>
  </r>
  <r>
    <s v="ORD-01800"/>
    <x v="227"/>
    <s v="CUST-0007"/>
    <s v="PROD-011"/>
    <x v="2"/>
    <n v="5"/>
    <n v="3450"/>
    <n v="25.3"/>
    <n v="12885.75"/>
    <s v="Completed"/>
    <s v="Bengaluru"/>
    <x v="0"/>
    <s v="Retail"/>
    <n v="47"/>
    <x v="1"/>
  </r>
  <r>
    <s v="ORD-01801"/>
    <x v="136"/>
    <s v="CUST-0118"/>
    <s v="PROD-009"/>
    <x v="7"/>
    <n v="7"/>
    <n v="1220"/>
    <n v="13.1"/>
    <n v="7421.26"/>
    <s v="Completed"/>
    <s v="Hyderabad"/>
    <x v="4"/>
    <s v="Retail"/>
    <n v="26"/>
    <x v="3"/>
  </r>
  <r>
    <s v="ORD-01802"/>
    <x v="344"/>
    <s v="CUST-0064"/>
    <s v="PROD-027"/>
    <x v="1"/>
    <n v="10"/>
    <n v="3780"/>
    <n v="23.7"/>
    <n v="28841.4"/>
    <s v="Completed"/>
    <s v="Hyderabad"/>
    <x v="2"/>
    <s v="SMB"/>
    <n v="40"/>
    <x v="0"/>
  </r>
  <r>
    <s v="ORD-01803"/>
    <x v="171"/>
    <s v="CUST-0298"/>
    <s v="PROD-008"/>
    <x v="25"/>
    <n v="8"/>
    <n v="2660"/>
    <n v="16.100000000000001"/>
    <n v="17853.919999999998"/>
    <s v="Completed"/>
    <s v="Delhi"/>
    <x v="4"/>
    <s v="Retail"/>
    <n v="44"/>
    <x v="0"/>
  </r>
  <r>
    <s v="ORD-01804"/>
    <x v="200"/>
    <s v="CUST-0020"/>
    <s v="PROD-035"/>
    <x v="4"/>
    <n v="6"/>
    <n v="1090"/>
    <n v="20"/>
    <n v="5232"/>
    <s v="Pending"/>
    <s v="Hyderabad"/>
    <x v="3"/>
    <s v="Retail"/>
    <n v="46"/>
    <x v="0"/>
  </r>
  <r>
    <s v="ORD-01805"/>
    <x v="258"/>
    <s v="CUST-9725"/>
    <s v="PROD-037"/>
    <x v="29"/>
    <n v="2"/>
    <n v="660"/>
    <n v="18.7"/>
    <n v="1073.1600000000001"/>
    <s v="Completed"/>
    <s v="Mumbai"/>
    <x v="3"/>
    <s v=""/>
    <s v=""/>
    <x v="1"/>
  </r>
  <r>
    <s v="ORD-01806"/>
    <x v="10"/>
    <s v="CUST-0063"/>
    <s v="PROD-035"/>
    <x v="15"/>
    <n v="7"/>
    <n v="1090"/>
    <n v="19.399999999999999"/>
    <n v="6149.78"/>
    <s v="Pending"/>
    <s v="Mumbai"/>
    <x v="3"/>
    <s v="SMB"/>
    <n v="53"/>
    <x v="1"/>
  </r>
  <r>
    <s v="ORD-01807"/>
    <x v="335"/>
    <s v="CUST-0193"/>
    <s v="PROD-029"/>
    <x v="15"/>
    <n v="3"/>
    <n v="2210"/>
    <n v="11"/>
    <n v="5900.7"/>
    <s v="Completed"/>
    <s v="Bengaluru"/>
    <x v="2"/>
    <s v="Retail"/>
    <n v="42"/>
    <x v="1"/>
  </r>
  <r>
    <s v="ORD-01808"/>
    <x v="103"/>
    <s v="CUST-0142"/>
    <s v="PROD-006"/>
    <x v="20"/>
    <n v="2"/>
    <n v="3970"/>
    <n v="24.9"/>
    <n v="5962.94"/>
    <s v="Completed"/>
    <s v="Chennai"/>
    <x v="4"/>
    <s v="Corporate"/>
    <n v="55"/>
    <x v="2"/>
  </r>
  <r>
    <s v="ORD-01809"/>
    <x v="210"/>
    <s v="CUST-0264"/>
    <s v="PROD-039"/>
    <x v="13"/>
    <n v="7"/>
    <n v="4610"/>
    <n v="6.3"/>
    <n v="30236.99"/>
    <s v="Completed"/>
    <s v="Pune"/>
    <x v="3"/>
    <s v="Retail"/>
    <n v="59"/>
    <x v="3"/>
  </r>
  <r>
    <s v="ORD-01810"/>
    <x v="210"/>
    <s v="CUST-0121"/>
    <s v="PROD-049"/>
    <x v="17"/>
    <n v="10"/>
    <n v="960"/>
    <n v="14.6"/>
    <n v="8198.4"/>
    <s v="Completed"/>
    <s v="Delhi"/>
    <x v="5"/>
    <s v="SMB"/>
    <n v="55"/>
    <x v="2"/>
  </r>
  <r>
    <s v="ORD-01811"/>
    <x v="77"/>
    <s v="CUST-0152"/>
    <s v="PROD-045"/>
    <x v="29"/>
    <n v="8"/>
    <n v="3020"/>
    <n v="14.5"/>
    <n v="20656.8"/>
    <s v="Completed"/>
    <s v="Bengaluru"/>
    <x v="5"/>
    <s v="SMB"/>
    <n v="64"/>
    <x v="1"/>
  </r>
  <r>
    <s v="ORD-01812"/>
    <x v="98"/>
    <s v="CUST-0008"/>
    <s v="PROD-019"/>
    <x v="17"/>
    <n v="7"/>
    <n v="2480"/>
    <n v="17.3"/>
    <n v="14356.72"/>
    <s v="Completed"/>
    <s v="Pune"/>
    <x v="0"/>
    <s v="SMB"/>
    <n v="39"/>
    <x v="2"/>
  </r>
  <r>
    <s v="ORD-01813"/>
    <x v="259"/>
    <s v="CUST-0285"/>
    <s v="PROD-004"/>
    <x v="22"/>
    <n v="10"/>
    <n v="3870"/>
    <n v="22.4"/>
    <n v="30031.200000000001"/>
    <s v="Pending"/>
    <s v="Hyderabad"/>
    <x v="4"/>
    <s v="Retail"/>
    <n v="22"/>
    <x v="1"/>
  </r>
  <r>
    <s v="ORD-01814"/>
    <x v="317"/>
    <s v="CUST-0072"/>
    <s v="PROD-037"/>
    <x v="24"/>
    <n v="6"/>
    <n v="660"/>
    <n v="27.3"/>
    <n v="2878.92"/>
    <s v="Completed"/>
    <s v="Mumbai"/>
    <x v="3"/>
    <s v="Corporate"/>
    <n v="62"/>
    <x v="3"/>
  </r>
  <r>
    <s v="ORD-01815"/>
    <x v="188"/>
    <s v="CUST-9630"/>
    <s v="PROD-004"/>
    <x v="17"/>
    <n v="3"/>
    <n v="3870"/>
    <n v="7.6"/>
    <n v="10727.64"/>
    <s v="Cancelled"/>
    <s v="Chennai"/>
    <x v="4"/>
    <s v=""/>
    <s v=""/>
    <x v="2"/>
  </r>
  <r>
    <s v="ORD-01816"/>
    <x v="176"/>
    <s v="CUST-0243"/>
    <s v="PROD-019"/>
    <x v="3"/>
    <n v="10"/>
    <n v="2480"/>
    <n v="21.5"/>
    <n v="19468"/>
    <s v="Pending"/>
    <s v="Pune"/>
    <x v="0"/>
    <s v="SMB"/>
    <n v="44"/>
    <x v="0"/>
  </r>
  <r>
    <s v="ORD-01817"/>
    <x v="175"/>
    <s v="CUST-0231"/>
    <s v="PROD-010"/>
    <x v="19"/>
    <n v="8"/>
    <n v="2640"/>
    <n v="22.3"/>
    <n v="16410.240000000002"/>
    <s v="Completed"/>
    <s v="Chennai"/>
    <x v="4"/>
    <s v="Retail"/>
    <n v="61"/>
    <x v="0"/>
  </r>
  <r>
    <s v="ORD-01818"/>
    <x v="115"/>
    <s v="CUST-0229"/>
    <s v="PROD-030"/>
    <x v="19"/>
    <n v="8"/>
    <n v="970"/>
    <n v="13.1"/>
    <n v="6743.44"/>
    <s v="Completed"/>
    <s v="Hyderabad"/>
    <x v="2"/>
    <s v="SMB"/>
    <n v="25"/>
    <x v="0"/>
  </r>
  <r>
    <s v="ORD-01819"/>
    <x v="104"/>
    <s v="CUST-0218"/>
    <s v="PROD-057"/>
    <x v="19"/>
    <n v="6"/>
    <n v="960"/>
    <n v="3.2"/>
    <n v="5575.68"/>
    <s v="Completed"/>
    <s v="Mumbai"/>
    <x v="1"/>
    <s v="Retail"/>
    <n v="39"/>
    <x v="0"/>
  </r>
  <r>
    <s v="ORD-01820"/>
    <x v="277"/>
    <s v="CUST-0015"/>
    <s v="PROD-033"/>
    <x v="4"/>
    <n v="9"/>
    <n v="2030"/>
    <n v="12.6"/>
    <n v="15967.98"/>
    <s v="Cancelled"/>
    <s v="Chennai"/>
    <x v="3"/>
    <s v="Retail"/>
    <n v="31"/>
    <x v="0"/>
  </r>
  <r>
    <s v="ORD-01821"/>
    <x v="244"/>
    <s v="CUST-0291"/>
    <s v="PROD-042"/>
    <x v="6"/>
    <n v="10"/>
    <n v="2290"/>
    <n v="22.2"/>
    <n v="17816.2"/>
    <s v="Completed"/>
    <s v="Pune"/>
    <x v="5"/>
    <s v="SMB"/>
    <n v="29"/>
    <x v="2"/>
  </r>
  <r>
    <s v="ORD-01822"/>
    <x v="41"/>
    <s v="CUST-0276"/>
    <s v="PROD-020"/>
    <x v="28"/>
    <n v="7"/>
    <n v="820"/>
    <n v="6.4"/>
    <n v="5372.64"/>
    <s v="Refunded"/>
    <s v="Chennai"/>
    <x v="0"/>
    <s v="Retail"/>
    <n v="26"/>
    <x v="2"/>
  </r>
  <r>
    <s v="ORD-01823"/>
    <x v="105"/>
    <s v="CUST-0139"/>
    <s v="PROD-040"/>
    <x v="14"/>
    <n v="5"/>
    <n v="1080"/>
    <n v="6"/>
    <n v="5076"/>
    <s v="Completed"/>
    <s v="Hyderabad"/>
    <x v="3"/>
    <s v="SMB"/>
    <n v="65"/>
    <x v="2"/>
  </r>
  <r>
    <s v="ORD-01824"/>
    <x v="202"/>
    <s v="CUST-0087"/>
    <s v="PROD-060"/>
    <x v="8"/>
    <n v="4"/>
    <n v="190"/>
    <n v="6.3"/>
    <n v="712.12"/>
    <s v="Refunded"/>
    <s v="Pune"/>
    <x v="1"/>
    <s v="SMB"/>
    <n v="49"/>
    <x v="2"/>
  </r>
  <r>
    <s v="ORD-01825"/>
    <x v="158"/>
    <s v="CUST-0203"/>
    <s v="PROD-017"/>
    <x v="20"/>
    <n v="6"/>
    <n v="2510"/>
    <n v="11.5"/>
    <n v="13328.1"/>
    <s v="Completed"/>
    <s v="Chennai"/>
    <x v="0"/>
    <s v="SMB"/>
    <n v="55"/>
    <x v="2"/>
  </r>
  <r>
    <s v="ORD-01826"/>
    <x v="193"/>
    <s v="CUST-0180"/>
    <s v="PROD-018"/>
    <x v="15"/>
    <n v="2"/>
    <n v="3560"/>
    <n v="10.5"/>
    <n v="6372.4"/>
    <s v="Completed"/>
    <s v="Chennai"/>
    <x v="0"/>
    <s v="Retail"/>
    <n v="36"/>
    <x v="1"/>
  </r>
  <r>
    <s v="ORD-01827"/>
    <x v="361"/>
    <s v="CUST-0130"/>
    <s v="PROD-020"/>
    <x v="22"/>
    <n v="3"/>
    <n v="820"/>
    <n v="13"/>
    <n v="2140.1999999999998"/>
    <s v="Cancelled"/>
    <s v="Bengaluru"/>
    <x v="0"/>
    <s v="Corporate"/>
    <n v="41"/>
    <x v="1"/>
  </r>
  <r>
    <s v="ORD-01828"/>
    <x v="66"/>
    <s v="CUST-0049"/>
    <s v="PROD-013"/>
    <x v="11"/>
    <n v="6"/>
    <n v="3640"/>
    <n v="14"/>
    <n v="18782.400000000001"/>
    <s v="Completed"/>
    <s v="Mumbai"/>
    <x v="0"/>
    <s v="Corporate"/>
    <n v="42"/>
    <x v="0"/>
  </r>
  <r>
    <s v="ORD-01829"/>
    <x v="43"/>
    <s v="CUST-0182"/>
    <s v="PROD-028"/>
    <x v="7"/>
    <n v="5"/>
    <n v="3660"/>
    <n v="28.7"/>
    <n v="13047.9"/>
    <s v="Completed"/>
    <s v="Mumbai"/>
    <x v="2"/>
    <s v="Retail"/>
    <n v="54"/>
    <x v="3"/>
  </r>
  <r>
    <s v="ORD-01830"/>
    <x v="126"/>
    <s v="CUST-0291"/>
    <s v="PROD-055"/>
    <x v="14"/>
    <n v="2"/>
    <n v="2860"/>
    <n v="21.1"/>
    <n v="4513.08"/>
    <s v="Completed"/>
    <s v="Pune"/>
    <x v="1"/>
    <s v="SMB"/>
    <n v="29"/>
    <x v="2"/>
  </r>
  <r>
    <s v="ORD-01831"/>
    <x v="214"/>
    <s v="CUST-0167"/>
    <s v="PROD-015"/>
    <x v="7"/>
    <n v="1"/>
    <n v="2720"/>
    <n v="22.1"/>
    <n v="2118.88"/>
    <s v="Completed"/>
    <s v="Delhi"/>
    <x v="0"/>
    <s v="Retail"/>
    <n v="43"/>
    <x v="3"/>
  </r>
  <r>
    <s v="ORD-01832"/>
    <x v="142"/>
    <s v="CUST-0223"/>
    <s v="PROD-055"/>
    <x v="10"/>
    <n v="6"/>
    <n v="2860"/>
    <n v="10.5"/>
    <n v="15358.2"/>
    <s v="Cancelled"/>
    <s v="Bengaluru"/>
    <x v="1"/>
    <s v="Retail"/>
    <n v="46"/>
    <x v="0"/>
  </r>
  <r>
    <s v="ORD-01833"/>
    <x v="359"/>
    <s v="CUST-0050"/>
    <s v="PROD-017"/>
    <x v="16"/>
    <n v="1"/>
    <n v="2510"/>
    <n v="12"/>
    <n v="2208.8000000000002"/>
    <s v="Completed"/>
    <s v="Mumbai"/>
    <x v="0"/>
    <s v="Retail"/>
    <n v="37"/>
    <x v="3"/>
  </r>
  <r>
    <s v="ORD-01834"/>
    <x v="106"/>
    <s v="CUST-0242"/>
    <s v="PROD-017"/>
    <x v="16"/>
    <n v="4"/>
    <n v="2510"/>
    <n v="23.2"/>
    <n v="7710.72"/>
    <s v="Completed"/>
    <s v="Chennai"/>
    <x v="0"/>
    <s v="SMB"/>
    <n v="59"/>
    <x v="3"/>
  </r>
  <r>
    <s v="ORD-01835"/>
    <x v="122"/>
    <s v="CUST-0144"/>
    <s v="PROD-049"/>
    <x v="1"/>
    <n v="8"/>
    <n v="960"/>
    <n v="20.3"/>
    <n v="6120.96"/>
    <s v="Pending"/>
    <s v="Chennai"/>
    <x v="5"/>
    <s v="Retail"/>
    <n v="49"/>
    <x v="0"/>
  </r>
  <r>
    <s v="ORD-01836"/>
    <x v="5"/>
    <s v="CUST-0140"/>
    <s v="PROD-038"/>
    <x v="9"/>
    <n v="3"/>
    <n v="5490"/>
    <n v="25.2"/>
    <n v="12319.56"/>
    <s v="Completed"/>
    <s v="Hyderabad"/>
    <x v="3"/>
    <s v="SMB"/>
    <n v="39"/>
    <x v="1"/>
  </r>
  <r>
    <s v="ORD-01837"/>
    <x v="262"/>
    <s v="CUST-0174"/>
    <s v="PROD-017"/>
    <x v="3"/>
    <n v="2"/>
    <n v="2510"/>
    <n v="28.2"/>
    <n v="3604.36"/>
    <s v="Completed"/>
    <s v="Pune"/>
    <x v="0"/>
    <s v="Retail"/>
    <n v="54"/>
    <x v="0"/>
  </r>
  <r>
    <s v="ORD-01838"/>
    <x v="194"/>
    <s v="CUST-0290"/>
    <s v="PROD-020"/>
    <x v="23"/>
    <n v="1"/>
    <n v="820"/>
    <n v="4.7"/>
    <n v="781.46"/>
    <s v="Completed"/>
    <s v="Delhi"/>
    <x v="0"/>
    <s v="Retail"/>
    <n v="63"/>
    <x v="1"/>
  </r>
  <r>
    <s v="ORD-01839"/>
    <x v="99"/>
    <s v="CUST-0170"/>
    <s v="PROD-005"/>
    <x v="26"/>
    <n v="6"/>
    <n v="300"/>
    <n v="13.3"/>
    <n v="1560.6"/>
    <s v="Completed"/>
    <s v="Mumbai"/>
    <x v="4"/>
    <s v="SMB"/>
    <n v="22"/>
    <x v="3"/>
  </r>
  <r>
    <s v="ORD-01840"/>
    <x v="155"/>
    <s v="CUST-0180"/>
    <s v="PROD-043"/>
    <x v="29"/>
    <n v="4"/>
    <n v="3350"/>
    <n v="5.8"/>
    <n v="12622.8"/>
    <s v="Pending"/>
    <s v="Chennai"/>
    <x v="5"/>
    <s v="Retail"/>
    <n v="36"/>
    <x v="1"/>
  </r>
  <r>
    <s v="ORD-01841"/>
    <x v="150"/>
    <s v="CUST-0286"/>
    <s v="PROD-036"/>
    <x v="5"/>
    <n v="3"/>
    <n v="3250"/>
    <n v="19.600000000000001"/>
    <n v="7839"/>
    <s v="Pending"/>
    <s v="Delhi"/>
    <x v="3"/>
    <s v="Retail"/>
    <n v="62"/>
    <x v="2"/>
  </r>
  <r>
    <s v="ORD-01842"/>
    <x v="112"/>
    <s v="CUST-0056"/>
    <s v="PROD-044"/>
    <x v="28"/>
    <n v="10"/>
    <n v="1650"/>
    <n v="22.5"/>
    <n v="12787.5"/>
    <s v="Cancelled"/>
    <s v="Bengaluru"/>
    <x v="5"/>
    <s v="SMB"/>
    <n v="46"/>
    <x v="2"/>
  </r>
  <r>
    <s v="ORD-01843"/>
    <x v="47"/>
    <s v="CUST-0292"/>
    <s v="PROD-009"/>
    <x v="17"/>
    <n v="2"/>
    <n v="1220"/>
    <n v="10.5"/>
    <n v="2183.8000000000002"/>
    <s v="Completed"/>
    <s v="Bengaluru"/>
    <x v="4"/>
    <s v="Retail"/>
    <n v="32"/>
    <x v="2"/>
  </r>
  <r>
    <s v="ORD-01844"/>
    <x v="126"/>
    <s v="CUST-0020"/>
    <s v="PROD-049"/>
    <x v="17"/>
    <n v="7"/>
    <n v="960"/>
    <n v="5.4"/>
    <n v="6357.12"/>
    <s v="Refunded"/>
    <s v="Hyderabad"/>
    <x v="5"/>
    <s v="Retail"/>
    <n v="46"/>
    <x v="2"/>
  </r>
  <r>
    <s v="ORD-01845"/>
    <x v="44"/>
    <s v="CUST-0089"/>
    <s v="PROD-046"/>
    <x v="2"/>
    <n v="3"/>
    <n v="4880"/>
    <n v="17.100000000000001"/>
    <n v="12136.56"/>
    <s v="Completed"/>
    <s v="Mumbai"/>
    <x v="5"/>
    <s v="SMB"/>
    <n v="43"/>
    <x v="1"/>
  </r>
  <r>
    <s v="ORD-01846"/>
    <x v="69"/>
    <s v="CUST-0242"/>
    <s v="PROD-024"/>
    <x v="8"/>
    <n v="5"/>
    <n v="2270"/>
    <n v="12.4"/>
    <n v="9942.6"/>
    <s v="Completed"/>
    <s v="Chennai"/>
    <x v="2"/>
    <s v="SMB"/>
    <n v="59"/>
    <x v="2"/>
  </r>
  <r>
    <s v="ORD-01847"/>
    <x v="3"/>
    <s v="CUST-0249"/>
    <s v="PROD-035"/>
    <x v="8"/>
    <n v="1"/>
    <n v="1090"/>
    <n v="17.3"/>
    <n v="901.43"/>
    <s v="Completed"/>
    <s v="Mumbai"/>
    <x v="3"/>
    <s v="Retail"/>
    <n v="44"/>
    <x v="2"/>
  </r>
  <r>
    <s v="ORD-01848"/>
    <x v="275"/>
    <s v="CUST-0032"/>
    <s v="PROD-034"/>
    <x v="20"/>
    <n v="8"/>
    <n v="5080"/>
    <n v="0.9"/>
    <n v="40274.239999999998"/>
    <s v="Completed"/>
    <s v="Hyderabad"/>
    <x v="3"/>
    <s v="Retail"/>
    <n v="28"/>
    <x v="2"/>
  </r>
  <r>
    <s v="ORD-01849"/>
    <x v="28"/>
    <s v="CUST-0217"/>
    <s v="PROD-039"/>
    <x v="21"/>
    <n v="7"/>
    <n v="4610"/>
    <n v="0.9"/>
    <n v="31979.57"/>
    <s v="Completed"/>
    <s v="Pune"/>
    <x v="3"/>
    <s v="SMB"/>
    <n v="59"/>
    <x v="3"/>
  </r>
  <r>
    <s v="ORD-01850"/>
    <x v="159"/>
    <s v="CUST-0284"/>
    <s v="PROD-045"/>
    <x v="8"/>
    <n v="1"/>
    <n v="3020"/>
    <n v="10.3"/>
    <n v="2708.94"/>
    <s v="Completed"/>
    <s v="Hyderabad"/>
    <x v="5"/>
    <s v="SMB"/>
    <n v="65"/>
    <x v="2"/>
  </r>
  <r>
    <s v="ORD-01851"/>
    <x v="99"/>
    <s v="CUST-0167"/>
    <s v="PROD-022"/>
    <x v="8"/>
    <n v="6"/>
    <n v="2270"/>
    <n v="23.1"/>
    <n v="10473.780000000001"/>
    <s v="Completed"/>
    <s v="Delhi"/>
    <x v="2"/>
    <s v="Retail"/>
    <n v="43"/>
    <x v="2"/>
  </r>
  <r>
    <s v="ORD-01852"/>
    <x v="150"/>
    <s v="CUST-0008"/>
    <s v="PROD-026"/>
    <x v="9"/>
    <n v="6"/>
    <n v="4070"/>
    <n v="28.9"/>
    <n v="17362.62"/>
    <s v="Completed"/>
    <s v="Pune"/>
    <x v="2"/>
    <s v="SMB"/>
    <n v="39"/>
    <x v="1"/>
  </r>
  <r>
    <s v="ORD-01853"/>
    <x v="181"/>
    <s v="CUST-0277"/>
    <s v="PROD-009"/>
    <x v="21"/>
    <n v="5"/>
    <n v="1220"/>
    <n v="18.7"/>
    <n v="4959.3"/>
    <s v="Completed"/>
    <s v="Chennai"/>
    <x v="4"/>
    <s v="Corporate"/>
    <n v="34"/>
    <x v="3"/>
  </r>
  <r>
    <s v="ORD-01854"/>
    <x v="249"/>
    <s v="CUST-0025"/>
    <s v="PROD-019"/>
    <x v="6"/>
    <n v="8"/>
    <n v="2480"/>
    <n v="3.2"/>
    <n v="19205.12"/>
    <s v="Cancelled"/>
    <s v="Bengaluru"/>
    <x v="0"/>
    <s v="Retail"/>
    <n v="23"/>
    <x v="2"/>
  </r>
  <r>
    <s v="ORD-01855"/>
    <x v="211"/>
    <s v="CUST-0228"/>
    <s v="PROD-055"/>
    <x v="0"/>
    <n v="7"/>
    <n v="2860"/>
    <n v="8.4"/>
    <n v="18338.32"/>
    <s v="Completed"/>
    <s v="Pune"/>
    <x v="1"/>
    <s v="Corporate"/>
    <n v="37"/>
    <x v="0"/>
  </r>
  <r>
    <s v="ORD-01856"/>
    <x v="13"/>
    <s v="CUST-0078"/>
    <s v="PROD-027"/>
    <x v="6"/>
    <n v="1"/>
    <n v="3780"/>
    <n v="16.3"/>
    <n v="3163.86"/>
    <s v="Cancelled"/>
    <s v="Delhi"/>
    <x v="2"/>
    <s v="Retail"/>
    <n v="31"/>
    <x v="2"/>
  </r>
  <r>
    <s v="ORD-01857"/>
    <x v="172"/>
    <s v="CUST-0205"/>
    <s v="PROD-055"/>
    <x v="5"/>
    <n v="6"/>
    <n v="2860"/>
    <n v="10.7"/>
    <n v="15323.88"/>
    <s v="Completed"/>
    <s v="Pune"/>
    <x v="1"/>
    <s v="Corporate"/>
    <n v="29"/>
    <x v="2"/>
  </r>
  <r>
    <s v="ORD-01858"/>
    <x v="325"/>
    <s v="CUST-0044"/>
    <s v="PROD-058"/>
    <x v="28"/>
    <n v="3"/>
    <n v="2400"/>
    <n v="20.7"/>
    <n v="5709.6"/>
    <s v="Completed"/>
    <s v="Hyderabad"/>
    <x v="1"/>
    <s v="SMB"/>
    <n v="29"/>
    <x v="2"/>
  </r>
  <r>
    <s v="ORD-01859"/>
    <x v="259"/>
    <s v="CUST-0188"/>
    <s v="PROD-023"/>
    <x v="5"/>
    <n v="8"/>
    <n v="2380"/>
    <n v="22.3"/>
    <n v="14794.08"/>
    <s v="Refunded"/>
    <s v="Bengaluru"/>
    <x v="2"/>
    <s v="Retail"/>
    <n v="54"/>
    <x v="2"/>
  </r>
  <r>
    <s v="ORD-01860"/>
    <x v="80"/>
    <s v="CUST-0165"/>
    <s v="PROD-048"/>
    <x v="3"/>
    <n v="7"/>
    <n v="5100"/>
    <n v="22.9"/>
    <n v="27524.7"/>
    <s v="Cancelled"/>
    <s v="Pune"/>
    <x v="5"/>
    <s v="Retail"/>
    <n v="29"/>
    <x v="0"/>
  </r>
  <r>
    <s v="ORD-01861"/>
    <x v="113"/>
    <s v="CUST-0059"/>
    <s v="PROD-005"/>
    <x v="15"/>
    <n v="7"/>
    <n v="300"/>
    <n v="15.3"/>
    <n v="1778.7"/>
    <s v="Completed"/>
    <s v="Pune"/>
    <x v="4"/>
    <s v="Corporate"/>
    <n v="29"/>
    <x v="1"/>
  </r>
  <r>
    <s v="ORD-01862"/>
    <x v="49"/>
    <s v="CUST-0280"/>
    <s v="PROD-051"/>
    <x v="9"/>
    <n v="5"/>
    <n v="3450"/>
    <n v="16.8"/>
    <n v="14352"/>
    <s v="Completed"/>
    <s v="Delhi"/>
    <x v="1"/>
    <s v="SMB"/>
    <n v="27"/>
    <x v="1"/>
  </r>
  <r>
    <s v="ORD-01863"/>
    <x v="287"/>
    <s v="CUST-0153"/>
    <s v="PROD-055"/>
    <x v="2"/>
    <n v="4"/>
    <n v="2860"/>
    <n v="14.3"/>
    <n v="9804.08"/>
    <s v="Completed"/>
    <s v="Mumbai"/>
    <x v="1"/>
    <s v="Retail"/>
    <n v="35"/>
    <x v="1"/>
  </r>
  <r>
    <s v="ORD-01864"/>
    <x v="180"/>
    <s v="CUST-0251"/>
    <s v="PROD-015"/>
    <x v="19"/>
    <n v="6"/>
    <n v="2720"/>
    <n v="25.1"/>
    <n v="12223.68"/>
    <s v="Cancelled"/>
    <s v="Mumbai"/>
    <x v="0"/>
    <s v="Retail"/>
    <n v="44"/>
    <x v="0"/>
  </r>
  <r>
    <s v="ORD-01865"/>
    <x v="335"/>
    <s v="CUST-0255"/>
    <s v="PROD-031"/>
    <x v="8"/>
    <n v="3"/>
    <n v="3730"/>
    <n v="24.8"/>
    <n v="8414.8799999999992"/>
    <s v="Completed"/>
    <s v="Chennai"/>
    <x v="3"/>
    <s v="Corporate"/>
    <n v="51"/>
    <x v="2"/>
  </r>
  <r>
    <s v="ORD-01866"/>
    <x v="83"/>
    <s v="CUST-0076"/>
    <s v="PROD-025"/>
    <x v="25"/>
    <n v="2"/>
    <n v="4060"/>
    <n v="11.3"/>
    <n v="7202.44"/>
    <s v="Completed"/>
    <s v="Mumbai"/>
    <x v="2"/>
    <s v="Retail"/>
    <n v="38"/>
    <x v="0"/>
  </r>
  <r>
    <s v="ORD-01867"/>
    <x v="146"/>
    <s v="CUST-0195"/>
    <s v="PROD-042"/>
    <x v="26"/>
    <n v="6"/>
    <n v="2290"/>
    <n v="26.8"/>
    <n v="10057.68"/>
    <s v="Refunded"/>
    <s v="Bengaluru"/>
    <x v="5"/>
    <s v="Retail"/>
    <n v="28"/>
    <x v="3"/>
  </r>
  <r>
    <s v="ORD-01868"/>
    <x v="196"/>
    <s v="CUST-0164"/>
    <s v="PROD-056"/>
    <x v="22"/>
    <n v="1"/>
    <n v="6940"/>
    <n v="15.7"/>
    <n v="5850.42"/>
    <s v="Completed"/>
    <s v="Chennai"/>
    <x v="1"/>
    <s v="Retail"/>
    <n v="60"/>
    <x v="1"/>
  </r>
  <r>
    <s v="ORD-01869"/>
    <x v="235"/>
    <s v="CUST-0239"/>
    <s v="PROD-031"/>
    <x v="18"/>
    <n v="3"/>
    <n v="3730"/>
    <n v="18.100000000000001"/>
    <n v="9164.61"/>
    <s v="Completed"/>
    <s v="Mumbai"/>
    <x v="3"/>
    <s v="Retail"/>
    <n v="61"/>
    <x v="1"/>
  </r>
  <r>
    <s v="ORD-01870"/>
    <x v="72"/>
    <s v="CUST-0133"/>
    <s v="PROD-031"/>
    <x v="25"/>
    <n v="8"/>
    <n v="3730"/>
    <n v="12.5"/>
    <n v="26110"/>
    <s v="Completed"/>
    <s v="Chennai"/>
    <x v="3"/>
    <s v="Retail"/>
    <n v="26"/>
    <x v="0"/>
  </r>
  <r>
    <s v="ORD-01871"/>
    <x v="128"/>
    <s v="CUST-0286"/>
    <s v="PROD-023"/>
    <x v="15"/>
    <n v="9"/>
    <n v="2380"/>
    <n v="8.1"/>
    <n v="19684.98"/>
    <s v="Cancelled"/>
    <s v="Delhi"/>
    <x v="2"/>
    <s v="Retail"/>
    <n v="62"/>
    <x v="1"/>
  </r>
  <r>
    <s v="ORD-01872"/>
    <x v="206"/>
    <s v="CUST-0122"/>
    <s v="PROD-040"/>
    <x v="25"/>
    <n v="6"/>
    <n v="1080"/>
    <n v="8.8000000000000007"/>
    <n v="5909.76"/>
    <s v="Completed"/>
    <s v="Mumbai"/>
    <x v="3"/>
    <s v="Retail"/>
    <n v="44"/>
    <x v="0"/>
  </r>
  <r>
    <s v="ORD-01712"/>
    <x v="24"/>
    <s v="CUST-0285"/>
    <s v="PROD-053"/>
    <x v="22"/>
    <n v="5"/>
    <n v="470"/>
    <n v="1.3"/>
    <n v="2319.4499999999998"/>
    <s v="Completed"/>
    <s v="Hyderabad"/>
    <x v="1"/>
    <s v="Retail"/>
    <n v="22"/>
    <x v="1"/>
  </r>
  <r>
    <s v="ORD-01874"/>
    <x v="340"/>
    <s v="CUST-0174"/>
    <s v="PROD-032"/>
    <x v="17"/>
    <n v="4"/>
    <n v="370"/>
    <n v="13.1"/>
    <n v="1286.1199999999999"/>
    <s v="Completed"/>
    <s v="Pune"/>
    <x v="3"/>
    <s v="Retail"/>
    <n v="54"/>
    <x v="2"/>
  </r>
  <r>
    <s v="ORD-01875"/>
    <x v="25"/>
    <s v="CUST-0115"/>
    <s v="PROD-012"/>
    <x v="0"/>
    <n v="7"/>
    <n v="3160"/>
    <n v="12.3"/>
    <n v="19399.240000000002"/>
    <s v="Completed"/>
    <s v="Mumbai"/>
    <x v="0"/>
    <s v="SMB"/>
    <n v="65"/>
    <x v="0"/>
  </r>
  <r>
    <s v="ORD-01876"/>
    <x v="218"/>
    <s v="CUST-0028"/>
    <s v="PROD-018"/>
    <x v="6"/>
    <n v="5"/>
    <n v="3560"/>
    <n v="24"/>
    <n v="13528"/>
    <s v="Completed"/>
    <s v="Bengaluru"/>
    <x v="0"/>
    <s v="Retail"/>
    <n v="59"/>
    <x v="2"/>
  </r>
  <r>
    <s v="ORD-01877"/>
    <x v="53"/>
    <s v="CUST-0111"/>
    <s v="PROD-033"/>
    <x v="13"/>
    <n v="6"/>
    <n v="2030"/>
    <n v="20.5"/>
    <n v="9683.1"/>
    <s v="Completed"/>
    <s v="Chennai"/>
    <x v="3"/>
    <s v="SMB"/>
    <n v="64"/>
    <x v="3"/>
  </r>
  <r>
    <s v="ORD-01878"/>
    <x v="116"/>
    <s v="CUST-0240"/>
    <s v="PROD-010"/>
    <x v="26"/>
    <n v="5"/>
    <n v="2640"/>
    <n v="21.3"/>
    <n v="10388.4"/>
    <s v="Pending"/>
    <s v="Chennai"/>
    <x v="4"/>
    <s v="Corporate"/>
    <n v="35"/>
    <x v="3"/>
  </r>
  <r>
    <s v="ORD-01879"/>
    <x v="98"/>
    <s v="CUST-0222"/>
    <s v="PROD-022"/>
    <x v="25"/>
    <n v="4"/>
    <n v="2270"/>
    <n v="15.8"/>
    <n v="7645.36"/>
    <s v="Completed"/>
    <s v="Chennai"/>
    <x v="2"/>
    <s v="Retail"/>
    <n v="37"/>
    <x v="0"/>
  </r>
  <r>
    <s v="ORD-01880"/>
    <x v="276"/>
    <s v="CUST-0251"/>
    <s v="PROD-032"/>
    <x v="25"/>
    <n v="1"/>
    <n v="370"/>
    <n v="27"/>
    <n v="270.10000000000002"/>
    <s v="Pending"/>
    <s v="Mumbai"/>
    <x v="3"/>
    <s v="Retail"/>
    <n v="44"/>
    <x v="0"/>
  </r>
  <r>
    <s v="ORD-01881"/>
    <x v="250"/>
    <s v="CUST-0203"/>
    <s v="PROD-048"/>
    <x v="21"/>
    <n v="9"/>
    <n v="5100"/>
    <n v="2.4"/>
    <n v="44798.400000000001"/>
    <s v="Completed"/>
    <s v="Chennai"/>
    <x v="5"/>
    <s v="SMB"/>
    <n v="55"/>
    <x v="3"/>
  </r>
  <r>
    <s v="ORD-01882"/>
    <x v="94"/>
    <s v="CUST-0285"/>
    <s v="PROD-032"/>
    <x v="12"/>
    <n v="6"/>
    <n v="370"/>
    <n v="18.7"/>
    <n v="1804.86"/>
    <s v="Cancelled"/>
    <s v="Hyderabad"/>
    <x v="3"/>
    <s v="Retail"/>
    <n v="22"/>
    <x v="3"/>
  </r>
  <r>
    <s v="ORD-01883"/>
    <x v="57"/>
    <s v="CUST-0135"/>
    <s v="PROD-030"/>
    <x v="10"/>
    <n v="6"/>
    <n v="970"/>
    <n v="21.6"/>
    <n v="4562.88"/>
    <s v="Completed"/>
    <s v="Pune"/>
    <x v="2"/>
    <s v="SMB"/>
    <n v="24"/>
    <x v="0"/>
  </r>
  <r>
    <s v="ORD-01884"/>
    <x v="81"/>
    <s v="CUST-9967"/>
    <s v="PROD-029"/>
    <x v="20"/>
    <n v="3"/>
    <n v="2210"/>
    <n v="8.5"/>
    <n v="6066.45"/>
    <s v="Completed"/>
    <s v="Delhi"/>
    <x v="2"/>
    <s v=""/>
    <s v=""/>
    <x v="2"/>
  </r>
  <r>
    <s v="ORD-01885"/>
    <x v="136"/>
    <s v="CUST-0096"/>
    <s v="PROD-044"/>
    <x v="25"/>
    <n v="1"/>
    <n v="1650"/>
    <n v="19.7"/>
    <n v="1324.95"/>
    <s v="Completed"/>
    <s v="Delhi"/>
    <x v="5"/>
    <s v="Corporate"/>
    <n v="27"/>
    <x v="0"/>
  </r>
  <r>
    <s v="ORD-01886"/>
    <x v="178"/>
    <s v="CUST-0266"/>
    <s v="PROD-056"/>
    <x v="11"/>
    <n v="5"/>
    <n v="6940"/>
    <n v="7.7"/>
    <n v="32028.1"/>
    <s v="Completed"/>
    <s v="Pune"/>
    <x v="1"/>
    <s v="Retail"/>
    <n v="65"/>
    <x v="0"/>
  </r>
  <r>
    <s v="ORD-01887"/>
    <x v="40"/>
    <s v="CUST-0059"/>
    <s v="PROD-029"/>
    <x v="24"/>
    <n v="2"/>
    <n v="2210"/>
    <n v="5.6"/>
    <n v="4172.4799999999996"/>
    <s v="Cancelled"/>
    <s v="Pune"/>
    <x v="2"/>
    <s v="Corporate"/>
    <n v="29"/>
    <x v="3"/>
  </r>
  <r>
    <s v="ORD-01888"/>
    <x v="82"/>
    <s v="CUST-0094"/>
    <s v="PROD-002"/>
    <x v="2"/>
    <n v="9"/>
    <n v="2600"/>
    <n v="3.1"/>
    <n v="22674.6"/>
    <s v="Completed"/>
    <s v="Pune"/>
    <x v="4"/>
    <s v="SMB"/>
    <n v="60"/>
    <x v="1"/>
  </r>
  <r>
    <s v="ORD-01889"/>
    <x v="315"/>
    <s v="CUST-0254"/>
    <s v="PROD-059"/>
    <x v="11"/>
    <n v="7"/>
    <n v="3780"/>
    <n v="13.3"/>
    <n v="22940.82"/>
    <s v="Completed"/>
    <s v="Bengaluru"/>
    <x v="1"/>
    <s v="Retail"/>
    <n v="35"/>
    <x v="0"/>
  </r>
  <r>
    <s v="ORD-01890"/>
    <x v="356"/>
    <s v="CUST-0022"/>
    <s v="PROD-058"/>
    <x v="22"/>
    <n v="4"/>
    <n v="2400"/>
    <n v="16.600000000000001"/>
    <n v="8006.4"/>
    <s v="Pending"/>
    <s v="Bengaluru"/>
    <x v="1"/>
    <s v="Corporate"/>
    <n v="55"/>
    <x v="1"/>
  </r>
  <r>
    <s v="ORD-01891"/>
    <x v="348"/>
    <s v="CUST-0168"/>
    <s v="PROD-005"/>
    <x v="1"/>
    <n v="10"/>
    <n v="300"/>
    <n v="23.9"/>
    <n v="2283"/>
    <s v="Completed"/>
    <s v="Pune"/>
    <x v="4"/>
    <s v="Retail"/>
    <n v="25"/>
    <x v="0"/>
  </r>
  <r>
    <s v="ORD-01892"/>
    <x v="93"/>
    <s v="CUST-0175"/>
    <s v="PROD-028"/>
    <x v="9"/>
    <n v="1"/>
    <n v="3660"/>
    <n v="1.5"/>
    <n v="3605.1"/>
    <s v="Pending"/>
    <s v="Delhi"/>
    <x v="2"/>
    <s v="Corporate"/>
    <n v="55"/>
    <x v="1"/>
  </r>
  <r>
    <s v="ORD-01893"/>
    <x v="166"/>
    <s v="CUST-0193"/>
    <s v="PROD-051"/>
    <x v="23"/>
    <n v="9"/>
    <n v="3450"/>
    <n v="21.8"/>
    <n v="24281.1"/>
    <s v="Completed"/>
    <s v="Bengaluru"/>
    <x v="1"/>
    <s v="Retail"/>
    <n v="42"/>
    <x v="1"/>
  </r>
  <r>
    <s v="ORD-01894"/>
    <x v="306"/>
    <s v="CUST-0284"/>
    <s v="PROD-011"/>
    <x v="0"/>
    <n v="10"/>
    <n v="3450"/>
    <n v="15.7"/>
    <n v="29083.5"/>
    <s v="Cancelled"/>
    <s v="Hyderabad"/>
    <x v="0"/>
    <s v="SMB"/>
    <n v="65"/>
    <x v="0"/>
  </r>
  <r>
    <s v="ORD-01895"/>
    <x v="249"/>
    <s v="CUST-0071"/>
    <s v="PROD-026"/>
    <x v="4"/>
    <n v="2"/>
    <n v="4070"/>
    <n v="10.8"/>
    <n v="7260.88"/>
    <s v="Completed"/>
    <s v="Delhi"/>
    <x v="2"/>
    <s v="Corporate"/>
    <n v="46"/>
    <x v="0"/>
  </r>
  <r>
    <s v="ORD-01896"/>
    <x v="332"/>
    <s v="CUST-0102"/>
    <s v="PROD-059"/>
    <x v="12"/>
    <n v="4"/>
    <n v="3780"/>
    <n v="17.100000000000001"/>
    <n v="12534.48"/>
    <s v="Completed"/>
    <s v="Chennai"/>
    <x v="1"/>
    <s v="SMB"/>
    <n v="62"/>
    <x v="3"/>
  </r>
  <r>
    <s v="ORD-01897"/>
    <x v="81"/>
    <s v="CUST-0036"/>
    <s v="PROD-021"/>
    <x v="10"/>
    <n v="1"/>
    <n v="2760"/>
    <n v="2.5"/>
    <n v="2691"/>
    <s v="Cancelled"/>
    <s v="Mumbai"/>
    <x v="2"/>
    <s v="Retail"/>
    <n v="35"/>
    <x v="0"/>
  </r>
  <r>
    <s v="ORD-01898"/>
    <x v="293"/>
    <s v="CUST-0273"/>
    <s v="PROD-046"/>
    <x v="14"/>
    <n v="2"/>
    <n v="4880"/>
    <n v="11"/>
    <n v="8686.4"/>
    <s v="Completed"/>
    <s v="Hyderabad"/>
    <x v="5"/>
    <s v="Corporate"/>
    <n v="32"/>
    <x v="2"/>
  </r>
  <r>
    <s v="ORD-01899"/>
    <x v="228"/>
    <s v="CUST-0262"/>
    <s v="PROD-023"/>
    <x v="24"/>
    <n v="10"/>
    <n v="2380"/>
    <n v="28.3"/>
    <n v="17064.599999999999"/>
    <s v="Completed"/>
    <s v="Mumbai"/>
    <x v="2"/>
    <s v="Retail"/>
    <n v="52"/>
    <x v="3"/>
  </r>
  <r>
    <s v="ORD-01900"/>
    <x v="121"/>
    <s v="CUST-0083"/>
    <s v="PROD-042"/>
    <x v="11"/>
    <n v="3"/>
    <n v="2290"/>
    <n v="11.1"/>
    <n v="6107.43"/>
    <s v="Cancelled"/>
    <s v="Bengaluru"/>
    <x v="5"/>
    <s v="Corporate"/>
    <n v="31"/>
    <x v="0"/>
  </r>
  <r>
    <s v="ORD-01901"/>
    <x v="53"/>
    <s v="CUST-0273"/>
    <s v="PROD-021"/>
    <x v="10"/>
    <n v="6"/>
    <n v="2760"/>
    <n v="16.5"/>
    <n v="13827.6"/>
    <s v="Completed"/>
    <s v="Hyderabad"/>
    <x v="2"/>
    <s v="Corporate"/>
    <n v="32"/>
    <x v="0"/>
  </r>
  <r>
    <s v="ORD-01902"/>
    <x v="271"/>
    <s v="CUST-0047"/>
    <s v="PROD-025"/>
    <x v="28"/>
    <n v="5"/>
    <n v="4060"/>
    <n v="22.5"/>
    <n v="15732.5"/>
    <s v="Completed"/>
    <s v="Pune"/>
    <x v="2"/>
    <s v="Retail"/>
    <n v="49"/>
    <x v="2"/>
  </r>
  <r>
    <s v="ORD-01903"/>
    <x v="27"/>
    <s v="CUST-0084"/>
    <s v="PROD-010"/>
    <x v="3"/>
    <n v="8"/>
    <n v="2640"/>
    <n v="11.8"/>
    <n v="18627.84"/>
    <s v="Completed"/>
    <s v="Chennai"/>
    <x v="4"/>
    <s v="Retail"/>
    <n v="28"/>
    <x v="0"/>
  </r>
  <r>
    <s v="ORD-01904"/>
    <x v="119"/>
    <s v="CUST-0093"/>
    <s v="PROD-039"/>
    <x v="1"/>
    <n v="2"/>
    <n v="4610"/>
    <n v="10.4"/>
    <n v="8261.1200000000008"/>
    <s v="Pending"/>
    <s v="Pune"/>
    <x v="3"/>
    <s v="Retail"/>
    <n v="36"/>
    <x v="0"/>
  </r>
  <r>
    <s v="ORD-01905"/>
    <x v="266"/>
    <s v="CUST-0282"/>
    <s v="PROD-029"/>
    <x v="8"/>
    <n v="6"/>
    <n v="2210"/>
    <n v="22.5"/>
    <n v="10276.5"/>
    <s v="Cancelled"/>
    <s v="Hyderabad"/>
    <x v="2"/>
    <s v="Corporate"/>
    <n v="29"/>
    <x v="2"/>
  </r>
  <r>
    <s v="ORD-01906"/>
    <x v="103"/>
    <s v="CUST-0246"/>
    <s v="PROD-029"/>
    <x v="23"/>
    <n v="4"/>
    <n v="2210"/>
    <n v="21.5"/>
    <n v="6939.4"/>
    <s v="Pending"/>
    <s v="Delhi"/>
    <x v="2"/>
    <s v="SMB"/>
    <n v="29"/>
    <x v="1"/>
  </r>
  <r>
    <s v="ORD-01907"/>
    <x v="169"/>
    <s v="CUST-0243"/>
    <s v="PROD-035"/>
    <x v="22"/>
    <n v="6"/>
    <n v="1090"/>
    <n v="28.3"/>
    <n v="4689.18"/>
    <s v="Completed"/>
    <s v="Pune"/>
    <x v="3"/>
    <s v="SMB"/>
    <n v="44"/>
    <x v="1"/>
  </r>
  <r>
    <s v="ORD-01908"/>
    <x v="327"/>
    <s v="CUST-0298"/>
    <s v="PROD-032"/>
    <x v="11"/>
    <n v="9"/>
    <n v="370"/>
    <n v="13.8"/>
    <n v="2870.46"/>
    <s v="Completed"/>
    <s v="Delhi"/>
    <x v="3"/>
    <s v="Retail"/>
    <n v="44"/>
    <x v="0"/>
  </r>
  <r>
    <s v="ORD-01909"/>
    <x v="122"/>
    <s v="CUST-0124"/>
    <s v="PROD-003"/>
    <x v="5"/>
    <n v="10"/>
    <n v="3570"/>
    <n v="3"/>
    <n v="34629"/>
    <s v="Cancelled"/>
    <s v="Pune"/>
    <x v="4"/>
    <s v="Retail"/>
    <n v="57"/>
    <x v="2"/>
  </r>
  <r>
    <s v="ORD-01910"/>
    <x v="89"/>
    <s v="CUST-0070"/>
    <s v="PROD-036"/>
    <x v="29"/>
    <n v="10"/>
    <n v="3250"/>
    <n v="20.3"/>
    <n v="25902.5"/>
    <s v="Completed"/>
    <s v="Mumbai"/>
    <x v="3"/>
    <s v="Retail"/>
    <n v="42"/>
    <x v="1"/>
  </r>
  <r>
    <s v="ORD-01911"/>
    <x v="295"/>
    <s v="CUST-0054"/>
    <s v="PROD-036"/>
    <x v="8"/>
    <n v="6"/>
    <n v="3250"/>
    <n v="25.8"/>
    <n v="14469"/>
    <s v="Pending"/>
    <s v="Mumbai"/>
    <x v="3"/>
    <s v="Corporate"/>
    <n v="62"/>
    <x v="2"/>
  </r>
  <r>
    <s v="ORD-01912"/>
    <x v="294"/>
    <s v="CUST-0208"/>
    <s v="PROD-057"/>
    <x v="6"/>
    <n v="9"/>
    <n v="960"/>
    <n v="29"/>
    <n v="6134.4"/>
    <s v="Completed"/>
    <s v="Mumbai"/>
    <x v="1"/>
    <s v="Retail"/>
    <n v="49"/>
    <x v="2"/>
  </r>
  <r>
    <s v="ORD-01913"/>
    <x v="275"/>
    <s v="CUST-0181"/>
    <s v="PROD-050"/>
    <x v="15"/>
    <n v="9"/>
    <n v="6080"/>
    <n v="21"/>
    <n v="43228.800000000003"/>
    <s v="Completed"/>
    <s v="Delhi"/>
    <x v="5"/>
    <s v="SMB"/>
    <n v="38"/>
    <x v="1"/>
  </r>
  <r>
    <s v="ORD-01914"/>
    <x v="250"/>
    <s v="CUST-0259"/>
    <s v="PROD-039"/>
    <x v="16"/>
    <n v="6"/>
    <n v="4610"/>
    <n v="13.5"/>
    <n v="23925.9"/>
    <s v="Completed"/>
    <s v="Mumbai"/>
    <x v="3"/>
    <s v="Retail"/>
    <n v="34"/>
    <x v="3"/>
  </r>
  <r>
    <s v="ORD-01915"/>
    <x v="225"/>
    <s v="CUST-0277"/>
    <s v="PROD-034"/>
    <x v="13"/>
    <n v="7"/>
    <n v="5080"/>
    <n v="25.4"/>
    <n v="26527.759999999998"/>
    <s v="Completed"/>
    <s v="Chennai"/>
    <x v="3"/>
    <s v="Corporate"/>
    <n v="34"/>
    <x v="3"/>
  </r>
  <r>
    <s v="ORD-01916"/>
    <x v="269"/>
    <s v="CUST-0173"/>
    <s v="PROD-043"/>
    <x v="21"/>
    <n v="5"/>
    <n v="3350"/>
    <n v="2.2000000000000002"/>
    <n v="16381.5"/>
    <s v="Completed"/>
    <s v="Mumbai"/>
    <x v="5"/>
    <s v="Retail"/>
    <n v="65"/>
    <x v="3"/>
  </r>
  <r>
    <s v="ORD-01917"/>
    <x v="77"/>
    <s v="CUST-0091"/>
    <s v="PROD-027"/>
    <x v="2"/>
    <n v="1"/>
    <n v="3780"/>
    <n v="13.7"/>
    <n v="3262.14"/>
    <s v="Completed"/>
    <s v="Delhi"/>
    <x v="2"/>
    <s v="Retail"/>
    <n v="55"/>
    <x v="1"/>
  </r>
  <r>
    <s v="ORD-01918"/>
    <x v="279"/>
    <s v="CUST-0142"/>
    <s v="PROD-046"/>
    <x v="16"/>
    <n v="4"/>
    <n v="4880"/>
    <n v="11.6"/>
    <n v="17255.68"/>
    <s v="Completed"/>
    <s v="Chennai"/>
    <x v="5"/>
    <s v="Corporate"/>
    <n v="55"/>
    <x v="3"/>
  </r>
  <r>
    <s v="ORD-01919"/>
    <x v="217"/>
    <s v="CUST-0011"/>
    <s v="PROD-048"/>
    <x v="20"/>
    <n v="3"/>
    <n v="5100"/>
    <n v="24.2"/>
    <n v="11597.4"/>
    <s v="Completed"/>
    <s v=" Chennai "/>
    <x v="5"/>
    <s v="Corporate"/>
    <n v="41"/>
    <x v="2"/>
  </r>
  <r>
    <s v="ORD-01920"/>
    <x v="287"/>
    <s v="CUST-0074"/>
    <s v="PROD-008"/>
    <x v="12"/>
    <n v="5"/>
    <n v="2660"/>
    <n v="4.7"/>
    <n v="12674.9"/>
    <s v="Completed"/>
    <s v="Bengaluru"/>
    <x v="4"/>
    <s v="Retail"/>
    <n v="27"/>
    <x v="3"/>
  </r>
  <r>
    <s v="ORD-01921"/>
    <x v="328"/>
    <s v="CUST-0131"/>
    <s v="PROD-023"/>
    <x v="21"/>
    <n v="10"/>
    <n v="2380"/>
    <n v="1"/>
    <n v="23562"/>
    <s v="Completed"/>
    <s v="Delhi"/>
    <x v="2"/>
    <s v="SMB"/>
    <n v="28"/>
    <x v="3"/>
  </r>
  <r>
    <s v="ORD-01922"/>
    <x v="223"/>
    <s v="CUST-0093"/>
    <s v="PROD-046"/>
    <x v="25"/>
    <n v="9"/>
    <n v="4880"/>
    <n v="7.2"/>
    <n v="40757.760000000002"/>
    <s v="Completed"/>
    <s v="Pune"/>
    <x v="5"/>
    <s v="Retail"/>
    <n v="36"/>
    <x v="0"/>
  </r>
  <r>
    <s v="ORD-01923"/>
    <x v="91"/>
    <s v="CUST-0229"/>
    <s v="PROD-031"/>
    <x v="2"/>
    <n v="1"/>
    <n v="3730"/>
    <n v="15.3"/>
    <n v="3159.31"/>
    <s v="Completed"/>
    <s v="Hyderabad"/>
    <x v="3"/>
    <s v="SMB"/>
    <n v="25"/>
    <x v="1"/>
  </r>
  <r>
    <s v="ORD-01924"/>
    <x v="33"/>
    <s v="CUST-0293"/>
    <s v="PROD-059"/>
    <x v="11"/>
    <n v="10"/>
    <n v="3780"/>
    <n v="2.7"/>
    <n v="36779.4"/>
    <s v="Completed"/>
    <s v="Bengaluru"/>
    <x v="1"/>
    <s v="Retail"/>
    <n v="27"/>
    <x v="0"/>
  </r>
  <r>
    <s v="ORD-01925"/>
    <x v="257"/>
    <s v="CUST-0105"/>
    <s v="PROD-014"/>
    <x v="12"/>
    <n v="2"/>
    <n v="3620"/>
    <n v="23"/>
    <n v="5574.8"/>
    <s v="Completed"/>
    <s v="Chennai"/>
    <x v="0"/>
    <s v="SMB"/>
    <n v="51"/>
    <x v="3"/>
  </r>
  <r>
    <s v="ORD-01926"/>
    <x v="355"/>
    <s v="CUST-0003"/>
    <s v="PROD-034"/>
    <x v="13"/>
    <n v="9"/>
    <n v="5080"/>
    <n v="19.899999999999999"/>
    <n v="36621.72"/>
    <s v="Completed"/>
    <s v="Mumbai"/>
    <x v="3"/>
    <s v="Retail"/>
    <n v="33"/>
    <x v="3"/>
  </r>
  <r>
    <s v="ORD-01927"/>
    <x v="230"/>
    <s v="CUST-0092"/>
    <s v="PROD-018"/>
    <x v="6"/>
    <n v="2"/>
    <n v="3560"/>
    <n v="5.5"/>
    <n v="6728.4"/>
    <s v="Completed"/>
    <s v="Bengaluru"/>
    <x v="0"/>
    <s v="SMB"/>
    <n v="28"/>
    <x v="2"/>
  </r>
  <r>
    <s v="ORD-01928"/>
    <x v="134"/>
    <s v="CUST-0050"/>
    <s v="PROD-030"/>
    <x v="19"/>
    <n v="6"/>
    <n v="970"/>
    <n v="22.5"/>
    <n v="4510.5"/>
    <s v="Refunded"/>
    <s v="Mumbai"/>
    <x v="2"/>
    <s v="Retail"/>
    <n v="37"/>
    <x v="0"/>
  </r>
  <r>
    <s v="ORD-01929"/>
    <x v="181"/>
    <s v="CUST-0237"/>
    <s v="PROD-043"/>
    <x v="2"/>
    <n v="9"/>
    <n v="3350"/>
    <n v="5.0999999999999996"/>
    <n v="28612.35"/>
    <s v="Completed"/>
    <s v="Mumbai"/>
    <x v="5"/>
    <s v="Retail"/>
    <n v="49"/>
    <x v="1"/>
  </r>
  <r>
    <s v="ORD-01930"/>
    <x v="283"/>
    <s v="CUST-9905"/>
    <s v="PROD-032"/>
    <x v="23"/>
    <n v="6"/>
    <n v="370"/>
    <n v="17.8"/>
    <n v="1824.84"/>
    <s v="Completed"/>
    <s v="Mumbai"/>
    <x v="3"/>
    <s v=""/>
    <s v=""/>
    <x v="1"/>
  </r>
  <r>
    <s v="ORD-01931"/>
    <x v="13"/>
    <s v="CUST-0175"/>
    <s v="PROD-024"/>
    <x v="23"/>
    <n v="3"/>
    <n v="2270"/>
    <n v="8.4"/>
    <n v="6237.96"/>
    <s v="Pending"/>
    <s v="Delhi"/>
    <x v="2"/>
    <s v="Corporate"/>
    <n v="55"/>
    <x v="1"/>
  </r>
  <r>
    <s v="ORD-01932"/>
    <x v="364"/>
    <s v="CUST-0271"/>
    <s v="PROD-051"/>
    <x v="13"/>
    <n v="3"/>
    <n v="3450"/>
    <n v="7.2"/>
    <n v="9604.7999999999993"/>
    <s v="Completed"/>
    <s v="Bengaluru"/>
    <x v="1"/>
    <s v="Corporate"/>
    <n v="41"/>
    <x v="3"/>
  </r>
  <r>
    <s v="ORD-01933"/>
    <x v="142"/>
    <s v="CUST-0129"/>
    <s v="PROD-054"/>
    <x v="4"/>
    <n v="9"/>
    <n v="1010"/>
    <n v="17.8"/>
    <n v="7471.98"/>
    <s v="Completed"/>
    <s v="Hyderabad"/>
    <x v="1"/>
    <s v="Retail"/>
    <n v="29"/>
    <x v="0"/>
  </r>
  <r>
    <s v="ORD-01934"/>
    <x v="41"/>
    <s v="CUST-0156"/>
    <s v="PROD-039"/>
    <x v="11"/>
    <n v="5"/>
    <n v="4610"/>
    <n v="29.8"/>
    <n v="16181.1"/>
    <s v="Cancelled"/>
    <s v="Mumbai"/>
    <x v="3"/>
    <s v="Retail"/>
    <n v="33"/>
    <x v="0"/>
  </r>
  <r>
    <s v="ORD-01935"/>
    <x v="255"/>
    <s v="CUST-0048"/>
    <s v="PROD-032"/>
    <x v="11"/>
    <n v="6"/>
    <n v="370"/>
    <n v="17.899999999999999"/>
    <n v="1822.62"/>
    <s v="Completed"/>
    <s v="Delhi"/>
    <x v="3"/>
    <s v="Retail"/>
    <n v="59"/>
    <x v="0"/>
  </r>
  <r>
    <s v="ORD-01936"/>
    <x v="279"/>
    <s v="CUST-0224"/>
    <s v="PROD-023"/>
    <x v="17"/>
    <n v="6"/>
    <n v="2380"/>
    <n v="13.6"/>
    <n v="12337.92"/>
    <s v="Cancelled"/>
    <s v="Chennai"/>
    <x v="2"/>
    <s v="Corporate"/>
    <n v="24"/>
    <x v="2"/>
  </r>
  <r>
    <s v="ORD-01937"/>
    <x v="229"/>
    <s v="CUST-0101"/>
    <s v="PROD-049"/>
    <x v="12"/>
    <n v="6"/>
    <n v="960"/>
    <n v="15"/>
    <n v="4896"/>
    <s v="Pending"/>
    <s v="Hyderabad"/>
    <x v="5"/>
    <s v="SMB"/>
    <n v="40"/>
    <x v="3"/>
  </r>
  <r>
    <s v="ORD-01938"/>
    <x v="124"/>
    <s v="CUST-0269"/>
    <s v="PROD-057"/>
    <x v="25"/>
    <n v="3"/>
    <n v="960"/>
    <n v="12.3"/>
    <n v="2525.7600000000002"/>
    <s v="Completed"/>
    <s v="Pune"/>
    <x v="1"/>
    <s v="Retail"/>
    <n v="48"/>
    <x v="0"/>
  </r>
  <r>
    <s v="ORD-01939"/>
    <x v="3"/>
    <s v="CUST-0097"/>
    <s v="PROD-016"/>
    <x v="20"/>
    <n v="7"/>
    <n v="620"/>
    <n v="5.8"/>
    <n v="4088.28"/>
    <s v="Completed"/>
    <s v="Mumbai"/>
    <x v="0"/>
    <s v="Retail"/>
    <n v="65"/>
    <x v="2"/>
  </r>
  <r>
    <s v="ORD-01940"/>
    <x v="299"/>
    <s v="CUST-0062"/>
    <s v="PROD-057"/>
    <x v="16"/>
    <n v="1"/>
    <n v="960"/>
    <n v="4.5999999999999996"/>
    <n v="915.84"/>
    <s v="Completed"/>
    <s v="Pune"/>
    <x v="1"/>
    <s v="Retail"/>
    <n v="54"/>
    <x v="3"/>
  </r>
  <r>
    <s v="ORD-01941"/>
    <x v="226"/>
    <s v="CUST-0124"/>
    <s v="PROD-047"/>
    <x v="8"/>
    <n v="4"/>
    <n v="3450"/>
    <n v="13.3"/>
    <n v="11964.6"/>
    <s v="Completed"/>
    <s v="Pune"/>
    <x v="5"/>
    <s v="Retail"/>
    <n v="57"/>
    <x v="2"/>
  </r>
  <r>
    <s v="ORD-01942"/>
    <x v="17"/>
    <s v="CUST-0185"/>
    <s v="PROD-015"/>
    <x v="7"/>
    <n v="10"/>
    <n v="2720"/>
    <n v="3.4"/>
    <n v="26275.200000000001"/>
    <s v="Completed"/>
    <s v="Hyderabad"/>
    <x v="0"/>
    <s v="SMB"/>
    <n v="43"/>
    <x v="3"/>
  </r>
  <r>
    <s v="ORD-01943"/>
    <x v="358"/>
    <s v="CUST-0115"/>
    <s v="PROD-047"/>
    <x v="7"/>
    <n v="1"/>
    <n v="3450"/>
    <n v="29.4"/>
    <n v="2435.6999999999998"/>
    <s v="Completed"/>
    <s v="Mumbai"/>
    <x v="5"/>
    <s v="SMB"/>
    <n v="65"/>
    <x v="3"/>
  </r>
  <r>
    <s v="ORD-01944"/>
    <x v="201"/>
    <s v="CUST-0097"/>
    <s v="PROD-044"/>
    <x v="6"/>
    <n v="5"/>
    <n v="1650"/>
    <n v="29.4"/>
    <n v="5824.5"/>
    <s v="Completed"/>
    <s v="Mumbai"/>
    <x v="5"/>
    <s v="Retail"/>
    <n v="65"/>
    <x v="2"/>
  </r>
  <r>
    <s v="ORD-01945"/>
    <x v="167"/>
    <s v="CUST-0221"/>
    <s v="PROD-014"/>
    <x v="18"/>
    <n v="2"/>
    <n v="3620"/>
    <n v="15.6"/>
    <n v="6110.56"/>
    <s v="Completed"/>
    <s v="Delhi"/>
    <x v="0"/>
    <s v="SMB"/>
    <n v="29"/>
    <x v="1"/>
  </r>
  <r>
    <s v="ORD-01946"/>
    <x v="95"/>
    <s v="CUST-0098"/>
    <s v="PROD-005"/>
    <x v="27"/>
    <n v="3"/>
    <n v="300"/>
    <n v="24.8"/>
    <n v="676.8"/>
    <s v="Completed"/>
    <s v="Delhi"/>
    <x v="4"/>
    <s v="Retail"/>
    <n v="52"/>
    <x v="1"/>
  </r>
  <r>
    <s v="ORD-01947"/>
    <x v="200"/>
    <s v="CUST-0203"/>
    <s v="PROD-041"/>
    <x v="19"/>
    <n v="3"/>
    <n v="1540"/>
    <n v="29.5"/>
    <n v="3257.1"/>
    <s v="Completed"/>
    <s v="Chennai"/>
    <x v="5"/>
    <s v="SMB"/>
    <n v="55"/>
    <x v="0"/>
  </r>
  <r>
    <s v="ORD-01948"/>
    <x v="317"/>
    <s v="CUST-0074"/>
    <s v="PROD-024"/>
    <x v="7"/>
    <n v="10"/>
    <n v="2270"/>
    <n v="5.5"/>
    <n v="21451.5"/>
    <s v="Cancelled"/>
    <s v="Bengaluru"/>
    <x v="2"/>
    <s v="Retail"/>
    <n v="27"/>
    <x v="3"/>
  </r>
  <r>
    <s v="ORD-01949"/>
    <x v="154"/>
    <s v="CUST-0217"/>
    <s v="PROD-010"/>
    <x v="4"/>
    <n v="3"/>
    <n v="2640"/>
    <n v="28.2"/>
    <n v="5686.56"/>
    <s v="Refunded"/>
    <s v="Pune"/>
    <x v="4"/>
    <s v="SMB"/>
    <n v="59"/>
    <x v="0"/>
  </r>
  <r>
    <s v="ORD-01950"/>
    <x v="11"/>
    <s v="CUST-0021"/>
    <s v="PROD-010"/>
    <x v="15"/>
    <n v="10"/>
    <n v="2640"/>
    <n v="25.9"/>
    <n v="19562.400000000001"/>
    <s v="Completed"/>
    <s v="Pune"/>
    <x v="4"/>
    <s v="Retail"/>
    <n v="44"/>
    <x v="1"/>
  </r>
  <r>
    <s v="ORD-01951"/>
    <x v="152"/>
    <s v="CUST-0004"/>
    <s v="PROD-007"/>
    <x v="14"/>
    <n v="2"/>
    <n v="1430"/>
    <n v="5"/>
    <n v="2717"/>
    <s v="Cancelled"/>
    <s v="Delhi"/>
    <x v="4"/>
    <s v="Retail"/>
    <n v="53"/>
    <x v="2"/>
  </r>
  <r>
    <s v="ORD-01952"/>
    <x v="221"/>
    <s v="CUST-0080"/>
    <s v="PROD-003"/>
    <x v="16"/>
    <n v="6"/>
    <n v="3570"/>
    <n v="28.5"/>
    <n v="15315.3"/>
    <s v="Cancelled"/>
    <s v="Pune"/>
    <x v="4"/>
    <s v="SMB"/>
    <n v="30"/>
    <x v="3"/>
  </r>
  <r>
    <s v="ORD-01953"/>
    <x v="328"/>
    <s v="CUST-0113"/>
    <s v="PROD-003"/>
    <x v="6"/>
    <n v="1"/>
    <n v="3570"/>
    <n v="7.7"/>
    <n v="3295.11"/>
    <s v="Completed"/>
    <s v="Delhi"/>
    <x v="4"/>
    <s v="Retail"/>
    <n v="30"/>
    <x v="2"/>
  </r>
  <r>
    <s v="ORD-01954"/>
    <x v="312"/>
    <s v="CUST-0023"/>
    <s v="PROD-004"/>
    <x v="14"/>
    <n v="9"/>
    <n v="3870"/>
    <n v="11.9"/>
    <n v="30685.23"/>
    <s v="Cancelled"/>
    <s v="Chennai"/>
    <x v="4"/>
    <s v="SMB"/>
    <n v="43"/>
    <x v="2"/>
  </r>
  <r>
    <s v="ORD-01955"/>
    <x v="50"/>
    <s v="CUST-0136"/>
    <s v="PROD-056"/>
    <x v="2"/>
    <n v="5"/>
    <n v="6940"/>
    <n v="17.399999999999999"/>
    <n v="28662.2"/>
    <s v="Completed"/>
    <s v="Chennai"/>
    <x v="1"/>
    <s v="SMB"/>
    <n v="26"/>
    <x v="1"/>
  </r>
  <r>
    <s v="ORD-01956"/>
    <x v="42"/>
    <s v="CUST-0031"/>
    <s v="PROD-032"/>
    <x v="17"/>
    <n v="6"/>
    <n v="370"/>
    <n v="8.1"/>
    <n v="2040.18"/>
    <s v="Cancelled"/>
    <s v="Hyderabad"/>
    <x v="3"/>
    <s v="Retail"/>
    <n v="53"/>
    <x v="2"/>
  </r>
  <r>
    <s v="ORD-01957"/>
    <x v="0"/>
    <s v="CUST-0175"/>
    <s v="PROD-018"/>
    <x v="28"/>
    <n v="8"/>
    <n v="3560"/>
    <n v="23.3"/>
    <n v="21844.16"/>
    <s v="Completed"/>
    <s v="Delhi"/>
    <x v="0"/>
    <s v="Corporate"/>
    <n v="55"/>
    <x v="2"/>
  </r>
  <r>
    <s v="ORD-01958"/>
    <x v="142"/>
    <s v="CUST-0249"/>
    <s v="PROD-009"/>
    <x v="8"/>
    <n v="4"/>
    <n v="1220"/>
    <n v="2.7"/>
    <n v="4748.24"/>
    <s v="Completed"/>
    <s v="Mumbai"/>
    <x v="4"/>
    <s v="Retail"/>
    <n v="44"/>
    <x v="2"/>
  </r>
  <r>
    <s v="ORD-01959"/>
    <x v="311"/>
    <s v="CUST-0138"/>
    <s v="PROD-026"/>
    <x v="16"/>
    <n v="10"/>
    <n v="4070"/>
    <n v="11.6"/>
    <n v="35978.800000000003"/>
    <s v="Completed"/>
    <s v="Chennai"/>
    <x v="2"/>
    <s v="Retail"/>
    <n v="24"/>
    <x v="3"/>
  </r>
  <r>
    <s v="ORD-01960"/>
    <x v="260"/>
    <s v="CUST-0290"/>
    <s v="PROD-028"/>
    <x v="7"/>
    <n v="10"/>
    <n v="3660"/>
    <n v="28.8"/>
    <n v="26059.200000000001"/>
    <s v="Completed"/>
    <s v="Delhi"/>
    <x v="2"/>
    <s v="Retail"/>
    <n v="63"/>
    <x v="3"/>
  </r>
  <r>
    <s v="ORD-01961"/>
    <x v="121"/>
    <s v="CUST-0151"/>
    <s v="PROD-034"/>
    <x v="26"/>
    <n v="5"/>
    <n v="5080"/>
    <n v="12.1"/>
    <n v="22326.6"/>
    <s v="Completed"/>
    <s v="Mumbai"/>
    <x v="3"/>
    <s v="Retail"/>
    <n v="53"/>
    <x v="3"/>
  </r>
  <r>
    <s v="ORD-01962"/>
    <x v="200"/>
    <s v="CUST-0290"/>
    <s v="PROD-039"/>
    <x v="22"/>
    <n v="10"/>
    <n v="4610"/>
    <n v="22.5"/>
    <n v="35727.5"/>
    <s v="Completed"/>
    <s v="Delhi"/>
    <x v="3"/>
    <s v="Retail"/>
    <n v="63"/>
    <x v="1"/>
  </r>
  <r>
    <s v="ORD-01963"/>
    <x v="58"/>
    <s v="CUST-0074"/>
    <s v="PROD-008"/>
    <x v="0"/>
    <n v="3"/>
    <n v="2660"/>
    <n v="15"/>
    <n v="6783"/>
    <s v="Completed"/>
    <s v="Bengaluru"/>
    <x v="4"/>
    <s v="Retail"/>
    <n v="27"/>
    <x v="0"/>
  </r>
  <r>
    <s v="ORD-01964"/>
    <x v="360"/>
    <s v="CUST-0295"/>
    <s v="PROD-012"/>
    <x v="3"/>
    <n v="5"/>
    <n v="3160"/>
    <n v="1.3"/>
    <n v="15594.6"/>
    <s v="Completed"/>
    <s v="Delhi"/>
    <x v="0"/>
    <s v="SMB"/>
    <n v="48"/>
    <x v="0"/>
  </r>
  <r>
    <s v="ORD-01965"/>
    <x v="354"/>
    <s v="CUST-0132"/>
    <s v="PROD-032"/>
    <x v="10"/>
    <n v="10"/>
    <n v="370"/>
    <n v="29"/>
    <n v="2627"/>
    <s v="Completed"/>
    <s v="Delhi"/>
    <x v="3"/>
    <s v="Retail"/>
    <n v="41"/>
    <x v="0"/>
  </r>
  <r>
    <s v="ORD-01966"/>
    <x v="243"/>
    <s v="CUST-0289"/>
    <s v="PROD-054"/>
    <x v="4"/>
    <n v="10"/>
    <n v="1010"/>
    <n v="14.1"/>
    <n v="8675.9"/>
    <s v="Refunded"/>
    <s v="Mumbai"/>
    <x v="1"/>
    <s v="Retail"/>
    <n v="54"/>
    <x v="0"/>
  </r>
  <r>
    <s v="ORD-01967"/>
    <x v="261"/>
    <s v="CUST-0139"/>
    <s v="PROD-018"/>
    <x v="14"/>
    <n v="3"/>
    <n v="3560"/>
    <n v="23.6"/>
    <n v="8159.52"/>
    <s v="Completed"/>
    <s v="Hyderabad"/>
    <x v="0"/>
    <s v="SMB"/>
    <n v="65"/>
    <x v="2"/>
  </r>
  <r>
    <s v="ORD-01968"/>
    <x v="1"/>
    <s v="CUST-0032"/>
    <s v="PROD-009"/>
    <x v="8"/>
    <n v="9"/>
    <n v="1220"/>
    <n v="16.600000000000001"/>
    <n v="9157.32"/>
    <s v="Completed"/>
    <s v="Hyderabad"/>
    <x v="4"/>
    <s v="Retail"/>
    <n v="28"/>
    <x v="2"/>
  </r>
  <r>
    <s v="ORD-01969"/>
    <x v="30"/>
    <s v="CUST-0109"/>
    <s v="PROD-060"/>
    <x v="4"/>
    <n v="8"/>
    <n v="190"/>
    <n v="22.3"/>
    <n v="1181.04"/>
    <s v="Completed"/>
    <s v="Pune"/>
    <x v="1"/>
    <s v="Retail"/>
    <n v="42"/>
    <x v="0"/>
  </r>
  <r>
    <s v="ORD-01970"/>
    <x v="290"/>
    <s v="CUST-0224"/>
    <s v="PROD-054"/>
    <x v="25"/>
    <n v="2"/>
    <n v="1010"/>
    <n v="3.8"/>
    <n v="1943.24"/>
    <s v="Completed"/>
    <s v="Chennai"/>
    <x v="1"/>
    <s v="Corporate"/>
    <n v="24"/>
    <x v="0"/>
  </r>
  <r>
    <s v="ORD-01971"/>
    <x v="96"/>
    <s v="CUST-0038"/>
    <s v="PROD-002"/>
    <x v="18"/>
    <n v="4"/>
    <n v="2600"/>
    <n v="29.1"/>
    <n v="7373.6"/>
    <s v="Completed"/>
    <s v="Mumbai"/>
    <x v="4"/>
    <s v="Retail"/>
    <n v="57"/>
    <x v="1"/>
  </r>
  <r>
    <s v="ORD-01972"/>
    <x v="25"/>
    <s v="CUST-0132"/>
    <s v="PROD-011"/>
    <x v="20"/>
    <n v="7"/>
    <n v="3450"/>
    <n v="4"/>
    <n v="23184"/>
    <s v="Completed"/>
    <s v="Delhi"/>
    <x v="0"/>
    <s v="Retail"/>
    <n v="41"/>
    <x v="2"/>
  </r>
  <r>
    <s v="ORD-01973"/>
    <x v="288"/>
    <s v="CUST-0226"/>
    <s v="PROD-017"/>
    <x v="7"/>
    <n v="6"/>
    <n v="2510"/>
    <n v="12.7"/>
    <n v="13147.38"/>
    <s v="Completed"/>
    <s v="Chennai"/>
    <x v="0"/>
    <s v="Corporate"/>
    <n v="52"/>
    <x v="3"/>
  </r>
  <r>
    <s v="ORD-01974"/>
    <x v="9"/>
    <s v="CUST-0275"/>
    <s v="PROD-060"/>
    <x v="28"/>
    <n v="6"/>
    <n v="190"/>
    <n v="20"/>
    <n v="912"/>
    <s v="Cancelled"/>
    <s v="Mumbai"/>
    <x v="1"/>
    <s v="Retail"/>
    <n v="36"/>
    <x v="2"/>
  </r>
  <r>
    <s v="ORD-01975"/>
    <x v="201"/>
    <s v="CUST-0109"/>
    <s v="PROD-044"/>
    <x v="20"/>
    <n v="10"/>
    <n v="1650"/>
    <n v="21.5"/>
    <n v="12952.5"/>
    <s v="Completed"/>
    <s v="Pune"/>
    <x v="5"/>
    <s v="Retail"/>
    <n v="42"/>
    <x v="2"/>
  </r>
  <r>
    <s v="ORD-01976"/>
    <x v="112"/>
    <s v="CUST-0281"/>
    <s v="PROD-055"/>
    <x v="18"/>
    <n v="4"/>
    <n v="2860"/>
    <n v="15.2"/>
    <n v="9701.1200000000008"/>
    <s v="Completed"/>
    <s v="Bengaluru"/>
    <x v="1"/>
    <s v="Corporate"/>
    <n v="57"/>
    <x v="1"/>
  </r>
  <r>
    <s v="ORD-01977"/>
    <x v="55"/>
    <s v="CUST-0174"/>
    <s v="PROD-053"/>
    <x v="8"/>
    <n v="3"/>
    <n v="470"/>
    <n v="14.2"/>
    <n v="1209.78"/>
    <s v="Completed"/>
    <s v="Pune"/>
    <x v="1"/>
    <s v="Retail"/>
    <n v="54"/>
    <x v="2"/>
  </r>
  <r>
    <s v="ORD-01978"/>
    <x v="277"/>
    <s v="CUST-0103"/>
    <s v="PROD-055"/>
    <x v="14"/>
    <n v="2"/>
    <n v="2860"/>
    <n v="17.899999999999999"/>
    <n v="4696.12"/>
    <s v="Completed"/>
    <s v="Hyderabad"/>
    <x v="1"/>
    <s v="Corporate"/>
    <n v="54"/>
    <x v="2"/>
  </r>
  <r>
    <s v="ORD-01979"/>
    <x v="192"/>
    <s v="CUST-0076"/>
    <s v="PROD-019"/>
    <x v="26"/>
    <n v="2"/>
    <n v="2480"/>
    <n v="11.5"/>
    <n v="4389.6000000000004"/>
    <s v="Cancelled"/>
    <s v="Mumbai"/>
    <x v="0"/>
    <s v="Retail"/>
    <n v="38"/>
    <x v="3"/>
  </r>
  <r>
    <s v="ORD-01980"/>
    <x v="208"/>
    <s v="CUST-0227"/>
    <s v="PROD-033"/>
    <x v="3"/>
    <n v="10"/>
    <n v="2030"/>
    <n v="29.2"/>
    <n v="14372.4"/>
    <s v="Completed"/>
    <s v="Bengaluru"/>
    <x v="3"/>
    <s v="SMB"/>
    <n v="44"/>
    <x v="0"/>
  </r>
  <r>
    <s v="ORD-01981"/>
    <x v="135"/>
    <s v="CUST-0006"/>
    <s v="PROD-047"/>
    <x v="27"/>
    <n v="6"/>
    <n v="3450"/>
    <n v="3.5"/>
    <n v="19975.5"/>
    <s v="Refunded"/>
    <s v="Pune"/>
    <x v="5"/>
    <s v="SMB"/>
    <n v="44"/>
    <x v="1"/>
  </r>
  <r>
    <s v="ORD-01982"/>
    <x v="320"/>
    <s v="CUST-0231"/>
    <s v="PROD-007"/>
    <x v="23"/>
    <n v="10"/>
    <n v="1430"/>
    <n v="3.5"/>
    <n v="13799.5"/>
    <s v="Completed"/>
    <s v="Chennai"/>
    <x v="4"/>
    <s v="Retail"/>
    <n v="61"/>
    <x v="1"/>
  </r>
  <r>
    <s v="ORD-01983"/>
    <x v="124"/>
    <s v="CUST-0085"/>
    <s v="PROD-020"/>
    <x v="21"/>
    <n v="1"/>
    <n v="820"/>
    <n v="14.5"/>
    <n v="701.1"/>
    <s v="Cancelled"/>
    <s v="Chennai"/>
    <x v="0"/>
    <s v="Retail"/>
    <n v="26"/>
    <x v="3"/>
  </r>
  <r>
    <s v="ORD-01984"/>
    <x v="144"/>
    <s v="CUST-0022"/>
    <s v="PROD-046"/>
    <x v="12"/>
    <n v="5"/>
    <n v="4880"/>
    <n v="1.8"/>
    <n v="23960.799999999999"/>
    <s v="Completed"/>
    <s v="Bengaluru"/>
    <x v="5"/>
    <s v="Corporate"/>
    <n v="55"/>
    <x v="3"/>
  </r>
  <r>
    <s v="ORD-01985"/>
    <x v="217"/>
    <s v="CUST-0275"/>
    <s v="PROD-043"/>
    <x v="29"/>
    <n v="8"/>
    <n v="3350"/>
    <n v="26.3"/>
    <n v="19751.599999999999"/>
    <s v="Cancelled"/>
    <s v="Mumbai"/>
    <x v="5"/>
    <s v="Retail"/>
    <n v="36"/>
    <x v="1"/>
  </r>
  <r>
    <s v="ORD-01986"/>
    <x v="129"/>
    <s v="CUST-0159"/>
    <s v="PROD-019"/>
    <x v="24"/>
    <n v="9"/>
    <n v="2480"/>
    <n v="24.3"/>
    <n v="16896.240000000002"/>
    <s v="Completed"/>
    <s v="Hyderabad"/>
    <x v="0"/>
    <s v="Retail"/>
    <n v="32"/>
    <x v="3"/>
  </r>
  <r>
    <s v="ORD-01987"/>
    <x v="66"/>
    <s v="CUST-0152"/>
    <s v="PROD-039"/>
    <x v="6"/>
    <n v="9"/>
    <n v="4610"/>
    <n v="10"/>
    <n v="37341"/>
    <s v="Completed"/>
    <s v="Bengaluru"/>
    <x v="3"/>
    <s v="SMB"/>
    <n v="64"/>
    <x v="2"/>
  </r>
  <r>
    <s v="ORD-01988"/>
    <x v="132"/>
    <s v="CUST-0289"/>
    <s v="PROD-027"/>
    <x v="10"/>
    <n v="1"/>
    <n v="3780"/>
    <n v="2.2000000000000002"/>
    <n v="3696.84"/>
    <s v="Completed"/>
    <s v="Mumbai"/>
    <x v="2"/>
    <s v="Retail"/>
    <n v="54"/>
    <x v="0"/>
  </r>
  <r>
    <s v="ORD-01989"/>
    <x v="24"/>
    <s v="CUST-0004"/>
    <s v="PROD-045"/>
    <x v="17"/>
    <n v="3"/>
    <n v="3020"/>
    <n v="21.4"/>
    <n v="7121.16"/>
    <s v="Cancelled"/>
    <s v="Delhi"/>
    <x v="5"/>
    <s v="Retail"/>
    <n v="53"/>
    <x v="2"/>
  </r>
  <r>
    <s v="ORD-01990"/>
    <x v="218"/>
    <s v="CUST-0159"/>
    <s v="PROD-035"/>
    <x v="3"/>
    <n v="10"/>
    <n v="1090"/>
    <n v="29.2"/>
    <n v="7717.2"/>
    <s v="Cancelled"/>
    <s v="Hyderabad"/>
    <x v="3"/>
    <s v="Retail"/>
    <n v="32"/>
    <x v="0"/>
  </r>
  <r>
    <s v="ORD-01991"/>
    <x v="48"/>
    <s v="CUST-0083"/>
    <s v="PROD-048"/>
    <x v="22"/>
    <n v="5"/>
    <n v="5100"/>
    <n v="28.4"/>
    <n v="18258"/>
    <s v="Completed"/>
    <s v="Bengaluru"/>
    <x v="5"/>
    <s v="Corporate"/>
    <n v="31"/>
    <x v="1"/>
  </r>
  <r>
    <s v="ORD-01992"/>
    <x v="279"/>
    <s v="CUST-0242"/>
    <s v="PROD-046"/>
    <x v="4"/>
    <n v="6"/>
    <n v="4880"/>
    <n v="16.8"/>
    <n v="24360.959999999999"/>
    <s v="Completed"/>
    <s v="Chennai"/>
    <x v="5"/>
    <s v="SMB"/>
    <n v="59"/>
    <x v="0"/>
  </r>
  <r>
    <s v="ORD-01993"/>
    <x v="310"/>
    <s v="CUST-0245"/>
    <s v="PROD-001"/>
    <x v="28"/>
    <n v="1"/>
    <n v="5330"/>
    <n v="27.5"/>
    <n v="3864.25"/>
    <s v="Completed"/>
    <s v="Hyderabad"/>
    <x v="4"/>
    <s v="Retail"/>
    <n v="65"/>
    <x v="2"/>
  </r>
  <r>
    <s v="ORD-01994"/>
    <x v="302"/>
    <s v="CUST-0008"/>
    <s v="PROD-033"/>
    <x v="20"/>
    <n v="7"/>
    <n v="2030"/>
    <n v="5.3"/>
    <n v="13456.87"/>
    <s v="Cancelled"/>
    <s v="Pune"/>
    <x v="3"/>
    <s v="SMB"/>
    <n v="39"/>
    <x v="2"/>
  </r>
  <r>
    <s v="ORD-01995"/>
    <x v="107"/>
    <s v="CUST-0260"/>
    <s v="PROD-043"/>
    <x v="6"/>
    <n v="7"/>
    <n v="3350"/>
    <n v="0.4"/>
    <n v="23356.2"/>
    <s v="Completed"/>
    <s v="Bengaluru"/>
    <x v="5"/>
    <s v="Retail"/>
    <n v="42"/>
    <x v="2"/>
  </r>
  <r>
    <s v="ORD-01996"/>
    <x v="346"/>
    <s v="CUST-0265"/>
    <s v="PROD-031"/>
    <x v="15"/>
    <n v="6"/>
    <n v="3730"/>
    <n v="13.8"/>
    <n v="19291.560000000001"/>
    <s v="Completed"/>
    <s v="Chennai"/>
    <x v="3"/>
    <s v="Retail"/>
    <n v="49"/>
    <x v="1"/>
  </r>
  <r>
    <s v="ORD-01997"/>
    <x v="65"/>
    <s v="CUST-0135"/>
    <s v="PROD-006"/>
    <x v="21"/>
    <n v="6"/>
    <n v="3970"/>
    <n v="5.8"/>
    <n v="22438.44"/>
    <s v="Pending"/>
    <s v="Pune"/>
    <x v="4"/>
    <s v="SMB"/>
    <n v="24"/>
    <x v="3"/>
  </r>
  <r>
    <s v="ORD-01998"/>
    <x v="95"/>
    <s v="CUST-0030"/>
    <s v="PROD-029"/>
    <x v="23"/>
    <n v="4"/>
    <n v="2210"/>
    <n v="18.2"/>
    <n v="7231.12"/>
    <s v="Pending"/>
    <s v="Bengaluru"/>
    <x v="2"/>
    <s v="Corporate"/>
    <n v="43"/>
    <x v="1"/>
  </r>
  <r>
    <s v="ORD-01999"/>
    <x v="43"/>
    <s v="CUST-0167"/>
    <s v="PROD-052"/>
    <x v="4"/>
    <n v="6"/>
    <n v="5410"/>
    <n v="15.5"/>
    <n v="27428.7"/>
    <s v="Completed"/>
    <s v="Delhi"/>
    <x v="1"/>
    <s v="Retail"/>
    <n v="43"/>
    <x v="0"/>
  </r>
  <r>
    <s v="ORD-02000"/>
    <x v="354"/>
    <s v="CUST-0238"/>
    <s v="PROD-034"/>
    <x v="12"/>
    <n v="6"/>
    <n v="5080"/>
    <n v="28.1"/>
    <n v="21915.119999999999"/>
    <s v="Completed"/>
    <s v="Delhi"/>
    <x v="3"/>
    <s v="Retail"/>
    <n v="49"/>
    <x v="3"/>
  </r>
  <r>
    <m/>
    <x v="365"/>
    <m/>
    <m/>
    <x v="30"/>
    <m/>
    <m/>
    <m/>
    <m/>
    <m/>
    <m/>
    <x v="6"/>
    <m/>
    <s v=""/>
    <x v="4"/>
  </r>
  <r>
    <m/>
    <x v="365"/>
    <m/>
    <m/>
    <x v="30"/>
    <m/>
    <m/>
    <m/>
    <m/>
    <m/>
    <m/>
    <x v="6"/>
    <m/>
    <s v=""/>
    <x v="4"/>
  </r>
  <r>
    <m/>
    <x v="365"/>
    <m/>
    <m/>
    <x v="30"/>
    <m/>
    <m/>
    <m/>
    <m/>
    <m/>
    <m/>
    <x v="6"/>
    <m/>
    <s v=""/>
    <x v="4"/>
  </r>
  <r>
    <m/>
    <x v="365"/>
    <m/>
    <m/>
    <x v="30"/>
    <m/>
    <m/>
    <m/>
    <m/>
    <m/>
    <m/>
    <x v="6"/>
    <m/>
    <s v="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67">
  <r>
    <s v="ORD-00001"/>
    <d v="2024-09-14T00:00:00"/>
    <s v="CUST-0243"/>
    <x v="0"/>
    <s v="R007"/>
    <n v="8"/>
    <n v="3620"/>
    <n v="15.4"/>
    <n v="24500.16"/>
    <s v="Completed"/>
    <s v="Pune"/>
    <s v="Apparel"/>
    <s v="SMB"/>
    <n v="44"/>
    <x v="0"/>
    <n v="2509"/>
    <n v="0.3069060773480663"/>
  </r>
  <r>
    <s v="ORD-00002"/>
    <d v="2024-02-18T00:00:00"/>
    <s v="CUST-0202"/>
    <x v="1"/>
    <s v="R005"/>
    <n v="2"/>
    <n v="820"/>
    <n v="10.8"/>
    <n v="1462.88"/>
    <s v="Pending"/>
    <s v="Chennai"/>
    <s v="Apparel"/>
    <s v="Retail"/>
    <n v="39"/>
    <x v="0"/>
    <n v="391"/>
    <n v="0.52317073170731709"/>
  </r>
  <r>
    <s v="ORD-00003"/>
    <d v="2024-03-20T00:00:00"/>
    <s v="CUST-0098"/>
    <x v="2"/>
    <s v="R014"/>
    <n v="8"/>
    <n v="470"/>
    <n v="3.3"/>
    <n v="3635.92"/>
    <s v="Pending"/>
    <s v="Delhi"/>
    <s v="Sports"/>
    <s v="Retail"/>
    <n v="52"/>
    <x v="1"/>
    <n v="302"/>
    <n v="0.35744680851063831"/>
  </r>
  <r>
    <s v="ORD-00004"/>
    <d v="2024-05-01T00:00:00"/>
    <s v="CUST-0071"/>
    <x v="3"/>
    <s v="R006"/>
    <n v="1"/>
    <n v="3660"/>
    <n v="15.7"/>
    <n v="3085.38"/>
    <s v="Completed"/>
    <s v="Delhi"/>
    <s v="Grocery"/>
    <s v="Corporate"/>
    <n v="46"/>
    <x v="0"/>
    <n v="2214"/>
    <n v="0.39508196721311473"/>
  </r>
  <r>
    <s v="ORD-00005"/>
    <d v="2024-11-15T00:00:00"/>
    <s v="CUST-0180"/>
    <x v="4"/>
    <s v="R008"/>
    <n v="1"/>
    <n v="3160"/>
    <n v="26"/>
    <n v="2338.4"/>
    <s v="Completed"/>
    <s v="Chennai"/>
    <s v="Apparel"/>
    <s v="Retail"/>
    <n v="36"/>
    <x v="0"/>
    <n v="1886"/>
    <n v="0.4031645569620253"/>
  </r>
  <r>
    <s v="ORD-00006"/>
    <d v="2024-04-24T00:00:00"/>
    <s v="CUST-0275"/>
    <x v="5"/>
    <s v="R025"/>
    <n v="4"/>
    <n v="370"/>
    <n v="29"/>
    <n v="1050.8"/>
    <s v="Completed"/>
    <s v="Mumbai"/>
    <s v="Home"/>
    <s v="Retail"/>
    <n v="36"/>
    <x v="2"/>
    <n v="288"/>
    <n v="0.22162162162162163"/>
  </r>
  <r>
    <s v="ORD-00007"/>
    <d v="2024-06-12T00:00:00"/>
    <s v="CUST-0293"/>
    <x v="6"/>
    <s v="R024"/>
    <n v="3"/>
    <n v="960"/>
    <n v="5.8"/>
    <n v="2712.96"/>
    <s v="Completed"/>
    <s v="Bengaluru"/>
    <s v="Sports"/>
    <s v="Retail"/>
    <n v="27"/>
    <x v="2"/>
    <n v="705"/>
    <n v="0.265625"/>
  </r>
  <r>
    <s v="ORD-00008"/>
    <d v="2024-11-21T00:00:00"/>
    <s v="CUST-0281"/>
    <x v="7"/>
    <s v="R019"/>
    <n v="8"/>
    <n v="1430"/>
    <n v="2.4"/>
    <n v="11165.44"/>
    <s v="Completed"/>
    <s v="Bengaluru"/>
    <s v="Electronics"/>
    <s v="Corporate"/>
    <n v="57"/>
    <x v="3"/>
    <n v="861"/>
    <n v="0.39790209790209791"/>
  </r>
  <r>
    <s v="ORD-00009"/>
    <d v="2024-09-14T00:00:00"/>
    <s v="CUST-0260"/>
    <x v="8"/>
    <s v="R008"/>
    <n v="3"/>
    <n v="5490"/>
    <n v="14.2"/>
    <n v="14131.26"/>
    <s v="Completed"/>
    <s v="Bengaluru"/>
    <s v="Home"/>
    <s v="Retail"/>
    <n v="42"/>
    <x v="0"/>
    <n v="2549"/>
    <n v="0.53570127504553733"/>
  </r>
  <r>
    <s v="ORD-00010"/>
    <d v="2024-04-14T00:00:00"/>
    <s v="CUST-0147"/>
    <x v="9"/>
    <s v="R028"/>
    <n v="3"/>
    <n v="970"/>
    <n v="1.2"/>
    <n v="2875.08"/>
    <s v="Completed"/>
    <s v="Pune"/>
    <s v="Grocery"/>
    <s v="Retail"/>
    <n v="56"/>
    <x v="2"/>
    <n v="434"/>
    <n v="0.5525773195876289"/>
  </r>
  <r>
    <s v="ORD-00011"/>
    <d v="2024-09-25T00:00:00"/>
    <s v="CUST-0204"/>
    <x v="10"/>
    <s v="R010"/>
    <n v="7"/>
    <n v="2270"/>
    <n v="7.1"/>
    <n v="14761.81"/>
    <s v="Pending"/>
    <s v="Hyderabad"/>
    <s v="Grocery"/>
    <s v="Retail"/>
    <n v="60"/>
    <x v="1"/>
    <n v="1203"/>
    <n v="0.47004405286343615"/>
  </r>
  <r>
    <s v="ORD-00012"/>
    <d v="2024-02-10T00:00:00"/>
    <s v="CUST-0147"/>
    <x v="11"/>
    <s v="R024"/>
    <n v="9"/>
    <n v="2640"/>
    <n v="21.7"/>
    <n v="18604.080000000002"/>
    <s v="Completed"/>
    <s v="Pune"/>
    <s v="Electronics"/>
    <s v="Retail"/>
    <n v="56"/>
    <x v="2"/>
    <n v="1149"/>
    <n v="0.56477272727272732"/>
  </r>
  <r>
    <s v="ORD-00013"/>
    <d v="2024-08-03T00:00:00"/>
    <s v="CUST-0280"/>
    <x v="12"/>
    <s v="R004"/>
    <n v="3"/>
    <n v="2600"/>
    <n v="4.3"/>
    <n v="7464.6"/>
    <s v="Cancelled"/>
    <s v="Delhi"/>
    <s v="Electronics"/>
    <s v="SMB"/>
    <n v="27"/>
    <x v="0"/>
    <n v="1052"/>
    <n v="0.5953846153846154"/>
  </r>
  <r>
    <s v="ORD-00014"/>
    <d v="2024-06-23T00:00:00"/>
    <s v="CUST-0008"/>
    <x v="13"/>
    <s v="R025"/>
    <n v="3"/>
    <n v="3250"/>
    <n v="14.1"/>
    <n v="8375.25"/>
    <s v="Refunded"/>
    <s v="Pune"/>
    <s v="Home"/>
    <s v="SMB"/>
    <n v="39"/>
    <x v="2"/>
    <n v="1556"/>
    <n v="0.52123076923076928"/>
  </r>
  <r>
    <s v="ORD-00015"/>
    <d v="2024-03-14T00:00:00"/>
    <s v="CUST-0052"/>
    <x v="14"/>
    <s v="R003"/>
    <n v="1"/>
    <n v="190"/>
    <n v="20.7"/>
    <n v="150.66999999999999"/>
    <s v="Completed"/>
    <s v="Pune"/>
    <s v="Sports"/>
    <s v="Retail"/>
    <n v="38"/>
    <x v="0"/>
    <n v="147"/>
    <n v="0.22631578947368422"/>
  </r>
  <r>
    <s v="ORD-00016"/>
    <d v="2024-09-11T00:00:00"/>
    <s v="CUST-0184"/>
    <x v="15"/>
    <s v="R014"/>
    <n v="7"/>
    <n v="2400"/>
    <n v="10.199999999999999"/>
    <n v="15086.4"/>
    <s v="Pending"/>
    <s v="Pune"/>
    <s v="Sports"/>
    <s v="Retail"/>
    <n v="63"/>
    <x v="1"/>
    <n v="974"/>
    <n v="0.59416666666666662"/>
  </r>
  <r>
    <s v="ORD-00017"/>
    <d v="2024-08-08T00:00:00"/>
    <s v="CUST-0056"/>
    <x v="3"/>
    <s v="R023"/>
    <n v="4"/>
    <n v="3660"/>
    <n v="2.6"/>
    <n v="14259.36"/>
    <s v="Completed"/>
    <s v="Bengaluru"/>
    <s v="Grocery"/>
    <s v="SMB"/>
    <n v="46"/>
    <x v="3"/>
    <n v="2214"/>
    <n v="0.39508196721311473"/>
  </r>
  <r>
    <s v="ORD-00018"/>
    <d v="2024-12-28T00:00:00"/>
    <s v="CUST-0273"/>
    <x v="16"/>
    <s v="R021"/>
    <n v="8"/>
    <n v="3450"/>
    <n v="18.5"/>
    <n v="22494"/>
    <s v="Completed"/>
    <s v="Hyderabad"/>
    <s v="Beauty"/>
    <s v="Corporate"/>
    <n v="32"/>
    <x v="3"/>
    <n v="2420"/>
    <n v="0.29855072463768118"/>
  </r>
  <r>
    <s v="ORD-00019"/>
    <d v="2024-11-30T00:00:00"/>
    <s v="CUST-0182"/>
    <x v="17"/>
    <s v="R023"/>
    <n v="5"/>
    <n v="3450"/>
    <n v="7.3"/>
    <n v="15990.75"/>
    <s v="Completed"/>
    <s v="Mumbai"/>
    <s v="Sports"/>
    <s v="Retail"/>
    <n v="54"/>
    <x v="3"/>
    <n v="2467"/>
    <n v="0.28492753623188405"/>
  </r>
  <r>
    <s v="ORD-00020"/>
    <d v="2024-04-12T00:00:00"/>
    <s v="CUST-0265"/>
    <x v="18"/>
    <s v="R023"/>
    <n v="8"/>
    <n v="1080"/>
    <n v="2.2000000000000002"/>
    <n v="8449.92"/>
    <s v="Completed"/>
    <s v="Chennai"/>
    <s v="Home"/>
    <s v="Retail"/>
    <n v="49"/>
    <x v="3"/>
    <n v="519"/>
    <n v="0.51944444444444449"/>
  </r>
  <r>
    <s v="ORD-00021"/>
    <d v="2024-06-27T00:00:00"/>
    <s v="CUST-0159"/>
    <x v="19"/>
    <s v="R006"/>
    <n v="7"/>
    <n v="2480"/>
    <n v="28.7"/>
    <n v="12377.68"/>
    <s v="Completed"/>
    <s v="Hyderabad"/>
    <s v="Apparel"/>
    <s v="Retail"/>
    <n v="32"/>
    <x v="0"/>
    <n v="1173"/>
    <n v="0.52701612903225803"/>
  </r>
  <r>
    <s v="ORD-00022"/>
    <d v="2024-03-03T00:00:00"/>
    <s v="CUST-0259"/>
    <x v="13"/>
    <s v="R030"/>
    <n v="4"/>
    <n v="3250"/>
    <n v="24.6"/>
    <n v="9802"/>
    <s v="Completed"/>
    <s v="Mumbai"/>
    <s v="Home"/>
    <s v="Retail"/>
    <n v="34"/>
    <x v="2"/>
    <n v="1556"/>
    <n v="0.52123076923076928"/>
  </r>
  <r>
    <s v="ORD-00023"/>
    <d v="2024-08-26T00:00:00"/>
    <s v="CUST-0107"/>
    <x v="20"/>
    <s v="R030"/>
    <n v="9"/>
    <n v="2720"/>
    <n v="26.2"/>
    <n v="18066.240000000002"/>
    <s v="Completed"/>
    <s v="Pune"/>
    <s v="Apparel"/>
    <s v="Retail"/>
    <n v="50"/>
    <x v="2"/>
    <n v="1962"/>
    <n v="0.2786764705882353"/>
  </r>
  <r>
    <s v="ORD-00024"/>
    <d v="2024-06-29T00:00:00"/>
    <s v="CUST-0101"/>
    <x v="21"/>
    <s v="R003"/>
    <n v="2"/>
    <n v="1650"/>
    <n v="9.4"/>
    <n v="2989.8"/>
    <s v="Completed"/>
    <s v="Hyderabad"/>
    <s v="Beauty"/>
    <s v="SMB"/>
    <n v="40"/>
    <x v="0"/>
    <n v="1222"/>
    <n v="0.2593939393939394"/>
  </r>
  <r>
    <s v="ORD-00025"/>
    <d v="2024-04-12T00:00:00"/>
    <s v="CUST-0142"/>
    <x v="22"/>
    <s v="R023"/>
    <n v="6"/>
    <n v="3350"/>
    <n v="6.1"/>
    <n v="18873.900000000001"/>
    <s v="Pending"/>
    <s v="Chennai"/>
    <s v="Beauty"/>
    <s v="Corporate"/>
    <n v="55"/>
    <x v="3"/>
    <n v="1728"/>
    <n v="0.48417910447761192"/>
  </r>
  <r>
    <s v="ORD-00026"/>
    <d v="2024-10-05T00:00:00"/>
    <s v="CUST-0250"/>
    <x v="23"/>
    <s v="R019"/>
    <n v="2"/>
    <n v="1010"/>
    <n v="16.5"/>
    <n v="1686.7"/>
    <s v="Cancelled"/>
    <s v="Delhi"/>
    <s v="Sports"/>
    <s v="Retail"/>
    <n v="31"/>
    <x v="3"/>
    <n v="516"/>
    <n v="0.4891089108910891"/>
  </r>
  <r>
    <s v="ORD-00027"/>
    <d v="2024-04-19T00:00:00"/>
    <s v="CUST-0098"/>
    <x v="24"/>
    <s v="R006"/>
    <n v="5"/>
    <n v="4880"/>
    <n v="23.6"/>
    <n v="18641.599999999999"/>
    <s v="Completed"/>
    <s v="Delhi"/>
    <s v="Beauty"/>
    <s v="Retail"/>
    <n v="52"/>
    <x v="0"/>
    <n v="2768"/>
    <n v="0.43278688524590164"/>
  </r>
  <r>
    <s v="ORD-00028"/>
    <d v="2024-08-13T00:00:00"/>
    <s v="CUST-0143"/>
    <x v="25"/>
    <s v="R015"/>
    <n v="7"/>
    <n v="3570"/>
    <n v="5.8"/>
    <n v="23540.58"/>
    <s v="Cancelled"/>
    <s v="Chennai"/>
    <s v="Electronics"/>
    <s v="SMB"/>
    <n v="52"/>
    <x v="1"/>
    <n v="1665"/>
    <n v="0.53361344537815125"/>
  </r>
  <r>
    <s v="ORD-00029"/>
    <d v="2024-03-12T00:00:00"/>
    <s v="CUST-0086"/>
    <x v="26"/>
    <s v="R020"/>
    <n v="9"/>
    <n v="5100"/>
    <n v="16.7"/>
    <n v="38234.699999999997"/>
    <s v="Completed"/>
    <s v="Hyderabad"/>
    <s v="Beauty"/>
    <s v="Corporate"/>
    <n v="56"/>
    <x v="3"/>
    <n v="2237"/>
    <n v="0.56137254901960787"/>
  </r>
  <r>
    <s v="ORD-00030"/>
    <d v="2024-03-16T00:00:00"/>
    <s v="CUST-0006"/>
    <x v="27"/>
    <s v="R005"/>
    <n v="3"/>
    <n v="2860"/>
    <n v="25.8"/>
    <n v="6366.36"/>
    <s v="Completed"/>
    <s v="Pune"/>
    <s v="Sports"/>
    <s v="SMB"/>
    <n v="44"/>
    <x v="0"/>
    <n v="2028"/>
    <n v="0.29090909090909089"/>
  </r>
  <r>
    <s v="ORD-00031"/>
    <d v="2024-10-04T00:00:00"/>
    <s v="CUST-0241"/>
    <x v="9"/>
    <s v="R006"/>
    <n v="7"/>
    <n v="970"/>
    <n v="29.8"/>
    <n v="4766.58"/>
    <s v="Completed"/>
    <s v="Pune"/>
    <s v="Grocery"/>
    <s v="Corporate"/>
    <n v="47"/>
    <x v="0"/>
    <n v="434"/>
    <n v="0.5525773195876289"/>
  </r>
  <r>
    <s v="ORD-00032"/>
    <d v="2024-12-15T00:00:00"/>
    <s v="CUST-0035"/>
    <x v="28"/>
    <s v="R026"/>
    <n v="4"/>
    <n v="2760"/>
    <n v="5.9"/>
    <n v="10388.64"/>
    <s v="Completed"/>
    <s v="Hyderabad"/>
    <s v="Grocery"/>
    <s v="Retail"/>
    <n v="53"/>
    <x v="2"/>
    <n v="1435"/>
    <n v="0.48007246376811596"/>
  </r>
  <r>
    <s v="ORD-00033"/>
    <d v="2024-02-21T00:00:00"/>
    <s v="CUST-0273"/>
    <x v="29"/>
    <s v="R009"/>
    <n v="10"/>
    <n v="660"/>
    <n v="18.3"/>
    <n v="5392.2"/>
    <s v="Pending"/>
    <s v="Hyderabad"/>
    <s v="Home"/>
    <s v="Corporate"/>
    <n v="32"/>
    <x v="1"/>
    <n v="329"/>
    <n v="0.50151515151515147"/>
  </r>
  <r>
    <s v="ORD-00034"/>
    <d v="2024-10-11T00:00:00"/>
    <s v="CUST-0064"/>
    <x v="13"/>
    <s v="R019"/>
    <n v="1"/>
    <n v="3250"/>
    <n v="10.7"/>
    <n v="2902.25"/>
    <s v="Completed"/>
    <s v="Hyderabad"/>
    <s v="Home"/>
    <s v="SMB"/>
    <n v="40"/>
    <x v="3"/>
    <n v="1556"/>
    <n v="0.52123076923076928"/>
  </r>
  <r>
    <s v="ORD-00035"/>
    <d v="2024-06-19T00:00:00"/>
    <s v="CUST-0118"/>
    <x v="26"/>
    <s v="R019"/>
    <n v="8"/>
    <n v="5100"/>
    <n v="26.4"/>
    <n v="30028.799999999999"/>
    <s v="Cancelled"/>
    <s v="Hyderabad"/>
    <s v="Beauty"/>
    <s v="Retail"/>
    <n v="26"/>
    <x v="3"/>
    <n v="2237"/>
    <n v="0.56137254901960787"/>
  </r>
  <r>
    <s v="ORD-00036"/>
    <d v="2024-05-30T00:00:00"/>
    <s v="CUST-0013"/>
    <x v="18"/>
    <s v="R021"/>
    <n v="1"/>
    <n v="1080"/>
    <n v="5.0999999999999996"/>
    <n v="1024.92"/>
    <s v="Completed"/>
    <s v="Delhi"/>
    <s v="Home"/>
    <s v="Retail"/>
    <n v="41"/>
    <x v="3"/>
    <n v="519"/>
    <n v="0.51944444444444449"/>
  </r>
  <r>
    <s v="ORD-00037"/>
    <d v="2024-12-20T00:00:00"/>
    <s v="CUST-0177"/>
    <x v="8"/>
    <s v="R009"/>
    <n v="2"/>
    <n v="5490"/>
    <n v="21.1"/>
    <n v="8663.2199999999993"/>
    <s v="Cancelled"/>
    <s v="Mumbai"/>
    <s v="Home"/>
    <s v="SMB"/>
    <n v="36"/>
    <x v="1"/>
    <n v="2549"/>
    <n v="0.53570127504553733"/>
  </r>
  <r>
    <s v="ORD-00038"/>
    <d v="2024-07-05T00:00:00"/>
    <s v="CUST-0186"/>
    <x v="14"/>
    <s v="R001"/>
    <n v="7"/>
    <n v="190"/>
    <n v="28.7"/>
    <n v="948.29"/>
    <s v="Completed"/>
    <s v="Bengaluru"/>
    <s v="Sports"/>
    <s v="Retail"/>
    <n v="42"/>
    <x v="0"/>
    <n v="147"/>
    <n v="0.22631578947368422"/>
  </r>
  <r>
    <s v="ORD-00039"/>
    <d v="2024-03-04T00:00:00"/>
    <s v="CUST-0069"/>
    <x v="15"/>
    <s v="R015"/>
    <n v="6"/>
    <n v="2400"/>
    <n v="2.7"/>
    <n v="14011.2"/>
    <s v="Completed"/>
    <s v="Chennai"/>
    <s v="Sports"/>
    <s v="Retail"/>
    <n v="51"/>
    <x v="1"/>
    <n v="974"/>
    <n v="0.59416666666666662"/>
  </r>
  <r>
    <s v="ORD-00040"/>
    <d v="2024-11-03T00:00:00"/>
    <s v="CUST-0283"/>
    <x v="21"/>
    <s v="R023"/>
    <n v="9"/>
    <n v="1650"/>
    <n v="11.6"/>
    <n v="13127.4"/>
    <s v="Completed"/>
    <s v="Delhi"/>
    <s v="Beauty"/>
    <s v="SMB"/>
    <n v="50"/>
    <x v="3"/>
    <n v="1222"/>
    <n v="0.2593939393939394"/>
  </r>
  <r>
    <s v="ORD-00041"/>
    <d v="2024-11-10T00:00:00"/>
    <s v="CUST-9507"/>
    <x v="8"/>
    <s v="R006"/>
    <n v="4"/>
    <n v="5490"/>
    <n v="12.8"/>
    <n v="19149.12"/>
    <s v="Cancelled"/>
    <s v="Chennai"/>
    <s v="Home"/>
    <s v=""/>
    <s v=""/>
    <x v="0"/>
    <n v="2549"/>
    <n v="0.53570127504553733"/>
  </r>
  <r>
    <s v="ORD-00042"/>
    <d v="2024-05-20T00:00:00"/>
    <s v="CUST-0053"/>
    <x v="24"/>
    <s v="R014"/>
    <n v="10"/>
    <n v="4880"/>
    <n v="12.7"/>
    <n v="42602.400000000001"/>
    <s v="Completed"/>
    <s v="Delhi"/>
    <s v="Beauty"/>
    <s v="Retail"/>
    <n v="53"/>
    <x v="1"/>
    <n v="2768"/>
    <n v="0.43278688524590164"/>
  </r>
  <r>
    <s v="ORD-00043"/>
    <d v="2024-04-10T00:00:00"/>
    <s v="CUST-0222"/>
    <x v="30"/>
    <s v="R019"/>
    <n v="2"/>
    <n v="3730"/>
    <n v="25.8"/>
    <n v="5535.32"/>
    <s v="Completed"/>
    <s v="Chennai"/>
    <s v="Home"/>
    <s v="Retail"/>
    <n v="37"/>
    <x v="3"/>
    <n v="2135"/>
    <n v="0.42761394101876676"/>
  </r>
  <r>
    <s v="ORD-00044"/>
    <d v="2024-04-14T00:00:00"/>
    <s v="CUST-0095"/>
    <x v="16"/>
    <s v="R029"/>
    <n v="4"/>
    <n v="3450"/>
    <n v="20.7"/>
    <n v="10943.4"/>
    <s v="Completed"/>
    <s v="Mumbai"/>
    <s v="Beauty"/>
    <s v="SMB"/>
    <n v="54"/>
    <x v="2"/>
    <n v="2420"/>
    <n v="0.29855072463768118"/>
  </r>
  <r>
    <s v="ORD-00045"/>
    <d v="2024-03-22T00:00:00"/>
    <s v="CUST-0152"/>
    <x v="19"/>
    <s v="R019"/>
    <n v="2"/>
    <n v="2480"/>
    <n v="17.3"/>
    <n v="4101.92"/>
    <s v="Completed"/>
    <s v="Bengaluru"/>
    <s v="Apparel"/>
    <s v="SMB"/>
    <n v="64"/>
    <x v="3"/>
    <n v="1173"/>
    <n v="0.52701612903225803"/>
  </r>
  <r>
    <s v="ORD-00046"/>
    <d v="2024-01-21T00:00:00"/>
    <s v="CUST-0291"/>
    <x v="31"/>
    <s v="R015"/>
    <n v="9"/>
    <n v="3780"/>
    <n v="8.6999999999999993"/>
    <n v="31060.26"/>
    <s v="Pending"/>
    <s v="Pune"/>
    <s v="Grocery"/>
    <s v="SMB"/>
    <n v="29"/>
    <x v="1"/>
    <n v="2436"/>
    <n v="0.35555555555555557"/>
  </r>
  <r>
    <s v="ORD-00047"/>
    <d v="2024-02-18T00:00:00"/>
    <s v="CUST-0112"/>
    <x v="32"/>
    <s v="R017"/>
    <n v="4"/>
    <n v="3640"/>
    <n v="20.7"/>
    <n v="11546.08"/>
    <s v="Completed"/>
    <s v="Hyderabad"/>
    <s v="Apparel"/>
    <s v="Retail"/>
    <n v="64"/>
    <x v="3"/>
    <n v="2611"/>
    <n v="0.28269230769230769"/>
  </r>
  <r>
    <s v="ORD-00048"/>
    <d v="2024-03-19T00:00:00"/>
    <s v="CUST-9800"/>
    <x v="33"/>
    <s v="R003"/>
    <n v="8"/>
    <n v="6080"/>
    <n v="24.4"/>
    <n v="36771.839999999997"/>
    <s v="Completed"/>
    <s v="Pune"/>
    <s v="Beauty"/>
    <s v=""/>
    <s v=""/>
    <x v="0"/>
    <n v="2617"/>
    <n v="0.56957236842105263"/>
  </r>
  <r>
    <s v="ORD-00049"/>
    <d v="2024-04-07T00:00:00"/>
    <s v="CUST-0143"/>
    <x v="9"/>
    <s v="R007"/>
    <n v="10"/>
    <n v="970"/>
    <n v="0.6"/>
    <n v="9641.7999999999993"/>
    <s v="Cancelled"/>
    <s v="Chennai"/>
    <s v="Grocery"/>
    <s v="SMB"/>
    <n v="52"/>
    <x v="0"/>
    <n v="434"/>
    <n v="0.5525773195876289"/>
  </r>
  <r>
    <s v="ORD-00050"/>
    <d v="2024-09-30T00:00:00"/>
    <s v="CUST-0226"/>
    <x v="34"/>
    <s v="R028"/>
    <n v="1"/>
    <n v="2270"/>
    <n v="11.5"/>
    <n v="2008.95"/>
    <s v="Pending"/>
    <s v="Chennai"/>
    <s v="Grocery"/>
    <s v="Corporate"/>
    <n v="52"/>
    <x v="2"/>
    <n v="1412"/>
    <n v="0.37797356828193834"/>
  </r>
  <r>
    <s v="ORD-00051"/>
    <d v="2024-02-01T00:00:00"/>
    <s v="CUST-0234"/>
    <x v="35"/>
    <s v="R023"/>
    <n v="7"/>
    <n v="3870"/>
    <n v="0.3"/>
    <n v="27008.73"/>
    <s v="Cancelled"/>
    <s v="Bengaluru"/>
    <s v="Electronics"/>
    <s v="Retail"/>
    <n v="34"/>
    <x v="3"/>
    <n v="1559"/>
    <n v="0.59715762273901807"/>
  </r>
  <r>
    <s v="ORD-00052"/>
    <d v="2024-08-02T00:00:00"/>
    <s v="CUST-0176"/>
    <x v="24"/>
    <s v="R009"/>
    <n v="1"/>
    <n v="4880"/>
    <n v="23.9"/>
    <n v="3713.68"/>
    <s v="Pending"/>
    <s v="Bengaluru"/>
    <s v="Beauty"/>
    <s v="SMB"/>
    <n v="34"/>
    <x v="1"/>
    <n v="2768"/>
    <n v="0.43278688524590164"/>
  </r>
  <r>
    <s v="ORD-00053"/>
    <d v="2024-11-20T00:00:00"/>
    <s v="CUST-0180"/>
    <x v="31"/>
    <s v="R013"/>
    <n v="5"/>
    <n v="3780"/>
    <n v="18.5"/>
    <n v="15403.5"/>
    <s v="Completed"/>
    <s v="Chennai"/>
    <s v="Grocery"/>
    <s v="Retail"/>
    <n v="36"/>
    <x v="1"/>
    <n v="2436"/>
    <n v="0.35555555555555557"/>
  </r>
  <r>
    <s v="ORD-00054"/>
    <d v="2024-05-16T00:00:00"/>
    <s v="CUST-0088"/>
    <x v="13"/>
    <s v="R020"/>
    <n v="10"/>
    <n v="3250"/>
    <n v="25.5"/>
    <n v="24212.5"/>
    <s v="Completed"/>
    <s v="Chennai"/>
    <s v="Home"/>
    <s v="Retail"/>
    <n v="24"/>
    <x v="3"/>
    <n v="1556"/>
    <n v="0.52123076923076928"/>
  </r>
  <r>
    <s v="ORD-00055"/>
    <d v="2024-08-11T00:00:00"/>
    <s v="CUST-0267"/>
    <x v="32"/>
    <s v="R007"/>
    <n v="4"/>
    <n v="3640"/>
    <n v="9.9"/>
    <n v="13118.56"/>
    <s v="Refunded"/>
    <s v="Hyderabad"/>
    <s v="Apparel"/>
    <s v="Retail"/>
    <n v="27"/>
    <x v="0"/>
    <n v="2611"/>
    <n v="0.28269230769230769"/>
  </r>
  <r>
    <s v="ORD-00056"/>
    <d v="2024-12-23T00:00:00"/>
    <s v="CUST-0194"/>
    <x v="36"/>
    <s v="R023"/>
    <n v="4"/>
    <n v="1540"/>
    <n v="28.8"/>
    <n v="4385.92"/>
    <s v="Completed"/>
    <s v="Delhi"/>
    <s v="Beauty"/>
    <s v="SMB"/>
    <n v="55"/>
    <x v="3"/>
    <n v="647"/>
    <n v="0.57987012987012987"/>
  </r>
  <r>
    <s v="ORD-00057"/>
    <d v="2024-11-20T00:00:00"/>
    <s v="CUST-0261"/>
    <x v="18"/>
    <s v="R017"/>
    <n v="1"/>
    <n v="1080"/>
    <n v="23"/>
    <n v="831.6"/>
    <s v="Cancelled"/>
    <s v="Delhi"/>
    <s v="Home"/>
    <s v="Retail"/>
    <n v="54"/>
    <x v="3"/>
    <n v="519"/>
    <n v="0.51944444444444449"/>
  </r>
  <r>
    <s v="ORD-00058"/>
    <d v="2024-10-08T00:00:00"/>
    <s v="CUST-0031"/>
    <x v="37"/>
    <s v="R007"/>
    <n v="1"/>
    <n v="4070"/>
    <n v="6.7"/>
    <n v="3797.31"/>
    <s v="Completed"/>
    <s v="Hyderabad"/>
    <s v="Grocery"/>
    <s v="Retail"/>
    <n v="53"/>
    <x v="0"/>
    <n v="2027"/>
    <n v="0.50196560196560192"/>
  </r>
  <r>
    <s v="ORD-00059"/>
    <d v="2024-05-05T00:00:00"/>
    <s v="CUST-0175"/>
    <x v="38"/>
    <s v="R030"/>
    <n v="2"/>
    <n v="1220"/>
    <n v="11.7"/>
    <n v="2154.52"/>
    <s v="Cancelled"/>
    <s v="Delhi"/>
    <s v="Electronics"/>
    <s v="Corporate"/>
    <n v="55"/>
    <x v="2"/>
    <n v="517"/>
    <n v="0.57622950819672136"/>
  </r>
  <r>
    <s v="ORD-00060"/>
    <d v="2024-05-13T00:00:00"/>
    <s v="CUST-0263"/>
    <x v="39"/>
    <s v="R029"/>
    <n v="4"/>
    <n v="4610"/>
    <n v="26.9"/>
    <n v="13479.64"/>
    <s v="Pending"/>
    <s v="Mumbai"/>
    <s v="Home"/>
    <s v="Retail"/>
    <n v="40"/>
    <x v="2"/>
    <n v="1850"/>
    <n v="0.59869848156182215"/>
  </r>
  <r>
    <s v="ORD-00061"/>
    <d v="2024-10-24T00:00:00"/>
    <s v="CUST-0203"/>
    <x v="18"/>
    <s v="R011"/>
    <n v="8"/>
    <n v="1080"/>
    <n v="28.4"/>
    <n v="6186.24"/>
    <s v="Completed"/>
    <s v="Chennai"/>
    <s v="Home"/>
    <s v="SMB"/>
    <n v="55"/>
    <x v="1"/>
    <n v="519"/>
    <n v="0.51944444444444449"/>
  </r>
  <r>
    <s v="ORD-00062"/>
    <d v="2024-07-15T00:00:00"/>
    <s v="CUST-0258"/>
    <x v="40"/>
    <s v="R006"/>
    <n v="10"/>
    <n v="3020"/>
    <n v="25.4"/>
    <n v="22529.200000000001"/>
    <s v="Completed"/>
    <s v="Pune"/>
    <s v="Beauty"/>
    <s v="Retail"/>
    <n v="44"/>
    <x v="0"/>
    <n v="1626"/>
    <n v="0.46158940397350995"/>
  </r>
  <r>
    <s v="ORD-00063"/>
    <d v="2024-06-22T00:00:00"/>
    <s v="CUST-0282"/>
    <x v="41"/>
    <s v="R017"/>
    <n v="7"/>
    <n v="2660"/>
    <n v="5.3"/>
    <n v="17633.14"/>
    <s v="Completed"/>
    <s v="Hyderabad"/>
    <s v="Electronics"/>
    <s v="Corporate"/>
    <n v="29"/>
    <x v="3"/>
    <n v="1259"/>
    <n v="0.52669172932330832"/>
  </r>
  <r>
    <s v="ORD-00064"/>
    <d v="2024-11-03T00:00:00"/>
    <s v="CUST-0168"/>
    <x v="42"/>
    <s v="R003"/>
    <n v="9"/>
    <n v="300"/>
    <n v="25.3"/>
    <n v="2016.9"/>
    <s v="Completed"/>
    <s v="Pune"/>
    <s v="Electronics"/>
    <s v="Retail"/>
    <n v="25"/>
    <x v="0"/>
    <n v="128"/>
    <n v="0.57333333333333336"/>
  </r>
  <r>
    <s v="ORD-00065"/>
    <d v="2024-01-26T00:00:00"/>
    <s v="CUST-0040"/>
    <x v="11"/>
    <s v="R022"/>
    <n v="10"/>
    <n v="2640"/>
    <n v="18.7"/>
    <n v="21463.200000000001"/>
    <s v="Cancelled"/>
    <s v="Chennai"/>
    <s v="Electronics"/>
    <s v="Retail"/>
    <n v="28"/>
    <x v="3"/>
    <n v="1149"/>
    <n v="0.56477272727272732"/>
  </r>
  <r>
    <s v="ORD-00066"/>
    <d v="2024-06-19T00:00:00"/>
    <s v="CUST-0283"/>
    <x v="1"/>
    <s v="R020"/>
    <n v="8"/>
    <n v="820"/>
    <n v="24"/>
    <n v="4985.6000000000004"/>
    <s v="Completed"/>
    <s v="Delhi"/>
    <s v="Apparel"/>
    <s v="SMB"/>
    <n v="50"/>
    <x v="3"/>
    <n v="391"/>
    <n v="0.52317073170731709"/>
  </r>
  <r>
    <s v="ORD-00067"/>
    <d v="2024-07-26T00:00:00"/>
    <s v="CUST-0202"/>
    <x v="28"/>
    <s v="R028"/>
    <n v="1"/>
    <n v="2760"/>
    <n v="4.8"/>
    <n v="2627.52"/>
    <s v="Completed"/>
    <s v="Chennai"/>
    <s v="Grocery"/>
    <s v="Retail"/>
    <n v="39"/>
    <x v="2"/>
    <n v="1435"/>
    <n v="0.48007246376811596"/>
  </r>
  <r>
    <s v="ORD-00068"/>
    <d v="2024-02-06T00:00:00"/>
    <s v="CUST-0161"/>
    <x v="0"/>
    <s v="R017"/>
    <n v="2"/>
    <n v="3620"/>
    <n v="19.100000000000001"/>
    <n v="5857.16"/>
    <s v="Completed"/>
    <s v="Chennai"/>
    <s v="Apparel"/>
    <s v="Retail"/>
    <n v="38"/>
    <x v="3"/>
    <n v="2509"/>
    <n v="0.3069060773480663"/>
  </r>
  <r>
    <s v="ORD-00069"/>
    <d v="2024-06-16T00:00:00"/>
    <s v="CUST-0033"/>
    <x v="43"/>
    <s v="R025"/>
    <n v="1"/>
    <n v="620"/>
    <n v="1"/>
    <n v="613.79999999999995"/>
    <s v="Completed"/>
    <s v="Delhi"/>
    <s v="Apparel"/>
    <s v="Retail"/>
    <n v="35"/>
    <x v="2"/>
    <n v="396"/>
    <n v="0.36129032258064514"/>
  </r>
  <r>
    <s v="ORD-00070"/>
    <d v="2024-04-16T00:00:00"/>
    <s v="CUST-0191"/>
    <x v="44"/>
    <s v="R030"/>
    <n v="1"/>
    <n v="2030"/>
    <n v="3.3"/>
    <n v="1963.01"/>
    <s v="Completed"/>
    <s v="Hyderabad"/>
    <s v="Home"/>
    <s v="SMB"/>
    <n v="43"/>
    <x v="2"/>
    <n v="1143"/>
    <n v="0.43694581280788175"/>
  </r>
  <r>
    <s v="ORD-00071"/>
    <d v="2024-06-27T00:00:00"/>
    <s v="CUST-0180"/>
    <x v="4"/>
    <s v="R002"/>
    <n v="10"/>
    <n v="3160"/>
    <n v="15.8"/>
    <n v="26607.200000000001"/>
    <s v="Completed"/>
    <s v="Chennai"/>
    <s v="Apparel"/>
    <s v="Retail"/>
    <n v="36"/>
    <x v="0"/>
    <n v="1886"/>
    <n v="0.4031645569620253"/>
  </r>
  <r>
    <s v="ORD-00072"/>
    <d v="2024-02-24T00:00:00"/>
    <s v="CUST-0129"/>
    <x v="9"/>
    <s v="R001"/>
    <n v="5"/>
    <n v="970"/>
    <n v="12.2"/>
    <n v="4258.3"/>
    <s v="Completed"/>
    <s v="Hyderabad"/>
    <s v="Grocery"/>
    <s v="Retail"/>
    <n v="29"/>
    <x v="0"/>
    <n v="434"/>
    <n v="0.5525773195876289"/>
  </r>
  <r>
    <s v="ORD-00073"/>
    <d v="2024-07-10T00:00:00"/>
    <s v="CUST-0189"/>
    <x v="22"/>
    <s v="R003"/>
    <n v="9"/>
    <n v="3350"/>
    <n v="25.8"/>
    <n v="22371.3"/>
    <s v="Pending"/>
    <s v="Chennai"/>
    <s v="Beauty"/>
    <s v="Retail"/>
    <n v="41"/>
    <x v="0"/>
    <n v="1728"/>
    <n v="0.48417910447761192"/>
  </r>
  <r>
    <s v="ORD-00074"/>
    <d v="2024-10-20T00:00:00"/>
    <s v="CUST-0194"/>
    <x v="5"/>
    <s v="R018"/>
    <n v="1"/>
    <n v="370"/>
    <n v="28.9"/>
    <n v="263.07"/>
    <s v="Completed"/>
    <s v="Delhi"/>
    <s v="Home"/>
    <s v="SMB"/>
    <n v="55"/>
    <x v="3"/>
    <n v="288"/>
    <n v="0.22162162162162163"/>
  </r>
  <r>
    <s v="ORD-00075"/>
    <d v="2024-07-27T00:00:00"/>
    <s v="CUST-0200"/>
    <x v="9"/>
    <s v="R010"/>
    <n v="3"/>
    <n v="970"/>
    <n v="4.3"/>
    <n v="2784.87"/>
    <s v="Cancelled"/>
    <s v="Hyderabad"/>
    <s v="Grocery"/>
    <s v="Corporate"/>
    <n v="46"/>
    <x v="1"/>
    <n v="434"/>
    <n v="0.5525773195876289"/>
  </r>
  <r>
    <s v="ORD-00076"/>
    <d v="2024-03-24T00:00:00"/>
    <s v="CUST-0008"/>
    <x v="28"/>
    <s v="R022"/>
    <n v="6"/>
    <n v="2760"/>
    <n v="19.899999999999999"/>
    <n v="13264.56"/>
    <s v="Pending"/>
    <s v="Pune"/>
    <s v="Grocery"/>
    <s v="SMB"/>
    <n v="39"/>
    <x v="3"/>
    <n v="1435"/>
    <n v="0.48007246376811596"/>
  </r>
  <r>
    <s v="ORD-00077"/>
    <d v="2024-05-31T00:00:00"/>
    <s v="CUST-0051"/>
    <x v="28"/>
    <s v="R019"/>
    <n v="7"/>
    <n v="2760"/>
    <n v="25.2"/>
    <n v="14451.36"/>
    <s v="Completed"/>
    <s v="Pune"/>
    <s v="Grocery"/>
    <s v="SMB"/>
    <n v="54"/>
    <x v="3"/>
    <n v="1435"/>
    <n v="0.48007246376811596"/>
  </r>
  <r>
    <s v="ORD-00078"/>
    <d v="2024-04-08T00:00:00"/>
    <s v="CUST-0193"/>
    <x v="38"/>
    <s v="R022"/>
    <n v="4"/>
    <n v="1220"/>
    <n v="8.4"/>
    <n v="4470.08"/>
    <s v="Completed"/>
    <s v="Bengaluru"/>
    <s v="Electronics"/>
    <s v="Retail"/>
    <n v="42"/>
    <x v="3"/>
    <n v="517"/>
    <n v="0.57622950819672136"/>
  </r>
  <r>
    <s v="ORD-00079"/>
    <d v="2024-11-19T00:00:00"/>
    <s v="CUST-0020"/>
    <x v="12"/>
    <s v="R028"/>
    <n v="2"/>
    <n v="2600"/>
    <n v="1.9"/>
    <n v="5101.2"/>
    <s v="Pending"/>
    <s v="Hyderabad"/>
    <s v="Electronics"/>
    <s v="Retail"/>
    <n v="46"/>
    <x v="2"/>
    <n v="1052"/>
    <n v="0.5953846153846154"/>
  </r>
  <r>
    <s v="ORD-00080"/>
    <d v="2024-07-25T00:00:00"/>
    <s v="CUST-0230"/>
    <x v="37"/>
    <s v="R030"/>
    <n v="9"/>
    <n v="4070"/>
    <n v="28.8"/>
    <n v="26080.560000000001"/>
    <s v="Completed"/>
    <s v="Pune"/>
    <s v="Grocery"/>
    <s v="Corporate"/>
    <n v="33"/>
    <x v="2"/>
    <n v="2027"/>
    <n v="0.50196560196560192"/>
  </r>
  <r>
    <s v="ORD-00081"/>
    <d v="2024-08-11T00:00:00"/>
    <s v="CUST-0094"/>
    <x v="10"/>
    <s v="R005"/>
    <n v="2"/>
    <n v="2270"/>
    <n v="18"/>
    <n v="3722.8"/>
    <s v="Refunded"/>
    <s v="Pune"/>
    <s v="Grocery"/>
    <s v="SMB"/>
    <n v="60"/>
    <x v="0"/>
    <n v="1203"/>
    <n v="0.47004405286343615"/>
  </r>
  <r>
    <s v="ORD-00082"/>
    <d v="2024-08-24T00:00:00"/>
    <s v="CUST-0248"/>
    <x v="4"/>
    <s v="R017"/>
    <n v="2"/>
    <n v="3160"/>
    <n v="18.3"/>
    <n v="5163.4399999999996"/>
    <s v="Completed"/>
    <s v="Chennai"/>
    <s v="Apparel"/>
    <s v="SMB"/>
    <n v="57"/>
    <x v="3"/>
    <n v="1886"/>
    <n v="0.4031645569620253"/>
  </r>
  <r>
    <s v="ORD-00083"/>
    <d v="2024-04-20T00:00:00"/>
    <s v="CUST-0082"/>
    <x v="19"/>
    <s v="R007"/>
    <n v="4"/>
    <n v="2480"/>
    <n v="1.1000000000000001"/>
    <n v="9810.8799999999992"/>
    <s v="Pending"/>
    <s v="Hyderabad"/>
    <s v="Apparel"/>
    <s v="SMB"/>
    <n v="36"/>
    <x v="0"/>
    <n v="1173"/>
    <n v="0.52701612903225803"/>
  </r>
  <r>
    <s v="ORD-00084"/>
    <d v="2024-09-12T00:00:00"/>
    <s v="CUST-0078"/>
    <x v="41"/>
    <s v="R026"/>
    <n v="1"/>
    <n v="2660"/>
    <n v="21"/>
    <n v="2101.4"/>
    <s v="Completed"/>
    <s v="Delhi"/>
    <s v="Electronics"/>
    <s v="Retail"/>
    <n v="31"/>
    <x v="2"/>
    <n v="1259"/>
    <n v="0.52669172932330832"/>
  </r>
  <r>
    <s v="ORD-00085"/>
    <d v="2024-05-12T00:00:00"/>
    <s v="CUST-0032"/>
    <x v="40"/>
    <s v="R012"/>
    <n v="5"/>
    <n v="3020"/>
    <n v="22.2"/>
    <n v="11747.8"/>
    <s v="Completed"/>
    <s v="Hyderabad"/>
    <s v="Beauty"/>
    <s v="Retail"/>
    <n v="28"/>
    <x v="1"/>
    <n v="1626"/>
    <n v="0.46158940397350995"/>
  </r>
  <r>
    <s v="ORD-00086"/>
    <d v="2024-06-18T00:00:00"/>
    <s v="CUST-0006"/>
    <x v="43"/>
    <s v="R030"/>
    <n v="9"/>
    <n v="620"/>
    <n v="23.3"/>
    <n v="4279.8599999999997"/>
    <s v="Completed"/>
    <s v="Pune"/>
    <s v="Apparel"/>
    <s v="SMB"/>
    <n v="44"/>
    <x v="2"/>
    <n v="396"/>
    <n v="0.36129032258064514"/>
  </r>
  <r>
    <s v="ORD-00087"/>
    <d v="2024-11-04T00:00:00"/>
    <s v="CUST-0084"/>
    <x v="2"/>
    <s v="R026"/>
    <n v="2"/>
    <n v="470"/>
    <n v="5.4"/>
    <n v="889.24"/>
    <s v="Completed"/>
    <s v="Chennai"/>
    <s v="Sports"/>
    <s v="Retail"/>
    <n v="28"/>
    <x v="2"/>
    <n v="302"/>
    <n v="0.35744680851063831"/>
  </r>
  <r>
    <s v="ORD-00088"/>
    <d v="2024-10-22T00:00:00"/>
    <s v="CUST-0107"/>
    <x v="7"/>
    <s v="R010"/>
    <n v="3"/>
    <n v="1430"/>
    <n v="6.5"/>
    <n v="4011.15"/>
    <s v="Completed"/>
    <s v="Pune"/>
    <s v="Electronics"/>
    <s v="Retail"/>
    <n v="50"/>
    <x v="1"/>
    <n v="861"/>
    <n v="0.39790209790209791"/>
  </r>
  <r>
    <s v="ORD-00089"/>
    <d v="2024-08-14T00:00:00"/>
    <s v="CUST-0108"/>
    <x v="43"/>
    <s v="R004"/>
    <n v="6"/>
    <n v="620"/>
    <n v="2.6"/>
    <n v="3623.28"/>
    <s v="Completed"/>
    <s v="Bengaluru"/>
    <s v="Apparel"/>
    <s v="Corporate"/>
    <n v="59"/>
    <x v="0"/>
    <n v="396"/>
    <n v="0.36129032258064514"/>
  </r>
  <r>
    <s v="ORD-00090"/>
    <d v="2024-08-29T00:00:00"/>
    <s v="CUST-0139"/>
    <x v="25"/>
    <s v="R012"/>
    <n v="4"/>
    <n v="3570"/>
    <n v="4.5"/>
    <n v="13637.4"/>
    <s v="Pending"/>
    <s v="Hyderabad"/>
    <s v="Electronics"/>
    <s v="SMB"/>
    <n v="65"/>
    <x v="1"/>
    <n v="1665"/>
    <n v="0.53361344537815125"/>
  </r>
  <r>
    <s v="ORD-00091"/>
    <d v="2024-11-26T00:00:00"/>
    <s v="CUST-0200"/>
    <x v="34"/>
    <s v="R010"/>
    <n v="6"/>
    <n v="2270"/>
    <n v="2"/>
    <n v="13347.6"/>
    <s v="Completed"/>
    <s v="Hyderabad"/>
    <s v="Grocery"/>
    <s v="Corporate"/>
    <n v="46"/>
    <x v="1"/>
    <n v="1412"/>
    <n v="0.37797356828193834"/>
  </r>
  <r>
    <s v="ORD-00092"/>
    <d v="2024-02-06T00:00:00"/>
    <s v="CUST-0208"/>
    <x v="20"/>
    <s v="R014"/>
    <n v="7"/>
    <n v="2720"/>
    <n v="15.4"/>
    <n v="16107.84"/>
    <s v="Completed"/>
    <s v="Mumbai"/>
    <s v="Apparel"/>
    <s v="Retail"/>
    <n v="49"/>
    <x v="1"/>
    <n v="1962"/>
    <n v="0.2786764705882353"/>
  </r>
  <r>
    <s v="ORD-00093"/>
    <d v="2024-03-29T00:00:00"/>
    <s v="CUST-0161"/>
    <x v="45"/>
    <s v="R001"/>
    <n v="9"/>
    <n v="2210"/>
    <n v="12.4"/>
    <n v="17423.64"/>
    <s v="Completed"/>
    <s v="Chennai"/>
    <s v="Grocery"/>
    <s v="Retail"/>
    <n v="38"/>
    <x v="0"/>
    <n v="1010"/>
    <n v="0.54298642533936647"/>
  </r>
  <r>
    <s v="ORD-00094"/>
    <d v="2024-12-22T00:00:00"/>
    <s v="CUST-0042"/>
    <x v="14"/>
    <s v="R026"/>
    <n v="6"/>
    <n v="190"/>
    <n v="19.2"/>
    <n v="921.12"/>
    <s v="Completed"/>
    <s v="Pune"/>
    <s v="Sports"/>
    <s v="Retail"/>
    <n v="25"/>
    <x v="2"/>
    <n v="147"/>
    <n v="0.22631578947368422"/>
  </r>
  <r>
    <s v="ORD-00095"/>
    <d v="2024-11-11T00:00:00"/>
    <s v="CUST-0133"/>
    <x v="26"/>
    <s v="R027"/>
    <n v="10"/>
    <n v="5100"/>
    <n v="25.4"/>
    <n v="38046"/>
    <s v="Refunded"/>
    <s v="Chennai"/>
    <s v="Beauty"/>
    <s v="Retail"/>
    <n v="26"/>
    <x v="2"/>
    <n v="2237"/>
    <n v="0.56137254901960787"/>
  </r>
  <r>
    <s v="ORD-00096"/>
    <d v="2024-05-02T00:00:00"/>
    <s v="CUST-0219"/>
    <x v="23"/>
    <s v="R016"/>
    <n v="5"/>
    <n v="1010"/>
    <n v="1.6"/>
    <n v="4969.2"/>
    <s v="Completed"/>
    <s v="Chennai"/>
    <s v="Sports"/>
    <s v="Corporate"/>
    <n v="38"/>
    <x v="1"/>
    <n v="516"/>
    <n v="0.4891089108910891"/>
  </r>
  <r>
    <s v="ORD-00097"/>
    <d v="2024-02-06T00:00:00"/>
    <s v="CUST-0031"/>
    <x v="30"/>
    <s v="R025"/>
    <n v="1"/>
    <n v="3730"/>
    <n v="22.7"/>
    <n v="2883.29"/>
    <s v="Completed"/>
    <s v="Hyderabad"/>
    <s v="Home"/>
    <s v="Retail"/>
    <n v="53"/>
    <x v="2"/>
    <n v="2135"/>
    <n v="0.42761394101876676"/>
  </r>
  <r>
    <s v="ORD-00098"/>
    <d v="2024-03-22T00:00:00"/>
    <s v="CUST-0189"/>
    <x v="12"/>
    <s v="R028"/>
    <n v="10"/>
    <n v="2600"/>
    <n v="20.7"/>
    <n v="20618"/>
    <s v="Completed"/>
    <s v="Chennai"/>
    <s v="Electronics"/>
    <s v="Retail"/>
    <n v="41"/>
    <x v="2"/>
    <n v="1052"/>
    <n v="0.5953846153846154"/>
  </r>
  <r>
    <s v="ORD-00099"/>
    <d v="2024-06-15T00:00:00"/>
    <s v="CUST-0170"/>
    <x v="46"/>
    <s v="R006"/>
    <n v="4"/>
    <n v="4060"/>
    <n v="13.9"/>
    <n v="13982.64"/>
    <s v="Completed"/>
    <s v="Mumbai"/>
    <s v="Grocery"/>
    <s v="SMB"/>
    <n v="22"/>
    <x v="0"/>
    <n v="2911"/>
    <n v="0.28300492610837441"/>
  </r>
  <r>
    <s v="ORD-00100"/>
    <d v="2024-05-14T00:00:00"/>
    <s v="CUST-0164"/>
    <x v="33"/>
    <s v="R027"/>
    <n v="6"/>
    <n v="6080"/>
    <n v="16.5"/>
    <n v="30460.799999999999"/>
    <s v="Completed"/>
    <s v="Chennai"/>
    <s v="Beauty"/>
    <s v="Retail"/>
    <n v="60"/>
    <x v="2"/>
    <n v="2617"/>
    <n v="0.56957236842105263"/>
  </r>
  <r>
    <s v="ORD-00101"/>
    <d v="2024-09-22T00:00:00"/>
    <s v="CUST-0006"/>
    <x v="47"/>
    <s v="R028"/>
    <n v="6"/>
    <n v="2510"/>
    <n v="11.7"/>
    <n v="13297.98"/>
    <s v="Completed"/>
    <s v="Pune"/>
    <s v="Apparel"/>
    <s v="SMB"/>
    <n v="44"/>
    <x v="2"/>
    <n v="1075"/>
    <n v="0.57171314741035861"/>
  </r>
  <r>
    <s v="ORD-00102"/>
    <d v="2024-08-05T00:00:00"/>
    <s v="CUST-0181"/>
    <x v="13"/>
    <s v="R026"/>
    <n v="5"/>
    <n v="3250"/>
    <n v="18.399999999999999"/>
    <n v="13260"/>
    <s v="Completed"/>
    <s v="Delhi"/>
    <s v="Home"/>
    <s v="SMB"/>
    <n v="38"/>
    <x v="2"/>
    <n v="1556"/>
    <n v="0.52123076923076928"/>
  </r>
  <r>
    <s v="ORD-00103"/>
    <d v="2024-02-07T00:00:00"/>
    <s v="CUST-0131"/>
    <x v="48"/>
    <s v="R005"/>
    <n v="4"/>
    <n v="5410"/>
    <n v="9.8000000000000007"/>
    <n v="19519.28"/>
    <s v="Cancelled"/>
    <s v="Delhi"/>
    <s v="Sports"/>
    <s v="SMB"/>
    <n v="28"/>
    <x v="0"/>
    <n v="2265"/>
    <n v="0.58133086876155271"/>
  </r>
  <r>
    <s v="ORD-00104"/>
    <d v="2024-04-29T00:00:00"/>
    <s v="CUST-0255"/>
    <x v="25"/>
    <s v="R018"/>
    <n v="8"/>
    <n v="3570"/>
    <n v="11.1"/>
    <n v="25389.84"/>
    <s v="Completed"/>
    <s v="Chennai"/>
    <s v="Electronics"/>
    <s v="Corporate"/>
    <n v="51"/>
    <x v="3"/>
    <n v="1665"/>
    <n v="0.53361344537815125"/>
  </r>
  <r>
    <s v="ORD-00105"/>
    <d v="2024-01-06T00:00:00"/>
    <s v="CUST-0170"/>
    <x v="49"/>
    <s v="R003"/>
    <n v="10"/>
    <n v="5330"/>
    <n v="21.2"/>
    <n v="42000.4"/>
    <s v="Completed"/>
    <s v="Mumbai"/>
    <s v="Electronics"/>
    <s v="SMB"/>
    <n v="22"/>
    <x v="0"/>
    <n v="2405"/>
    <n v="0.54878048780487809"/>
  </r>
  <r>
    <s v="ORD-00106"/>
    <d v="2024-12-14T00:00:00"/>
    <s v="CUST-0081"/>
    <x v="50"/>
    <s v="R017"/>
    <n v="4"/>
    <n v="2380"/>
    <n v="26.2"/>
    <n v="7025.76"/>
    <s v="Completed"/>
    <s v="Mumbai"/>
    <s v="Grocery"/>
    <s v="Retail"/>
    <n v="25"/>
    <x v="3"/>
    <n v="1182"/>
    <n v="0.50336134453781511"/>
  </r>
  <r>
    <s v="ORD-00107"/>
    <d v="2024-01-31T00:00:00"/>
    <s v="CUST-0102"/>
    <x v="23"/>
    <s v="R027"/>
    <n v="1"/>
    <n v="1010"/>
    <n v="19.5"/>
    <n v="813.05"/>
    <s v="Cancelled"/>
    <s v="Chennai"/>
    <s v="Sports"/>
    <s v="SMB"/>
    <n v="62"/>
    <x v="2"/>
    <n v="516"/>
    <n v="0.4891089108910891"/>
  </r>
  <r>
    <s v="ORD-00108"/>
    <d v="2024-05-02T00:00:00"/>
    <s v="CUST-0070"/>
    <x v="3"/>
    <s v="R025"/>
    <n v="1"/>
    <n v="3660"/>
    <n v="1.3"/>
    <n v="3612.42"/>
    <s v="Completed"/>
    <s v="Mumbai"/>
    <s v="Grocery"/>
    <s v="Retail"/>
    <n v="42"/>
    <x v="2"/>
    <n v="2214"/>
    <n v="0.39508196721311473"/>
  </r>
  <r>
    <s v="ORD-00109"/>
    <d v="2024-10-27T00:00:00"/>
    <s v="CUST-0012"/>
    <x v="37"/>
    <s v="R013"/>
    <n v="2"/>
    <n v="4070"/>
    <n v="29"/>
    <n v="5779.4"/>
    <s v="Cancelled"/>
    <s v="Pune"/>
    <s v="Grocery"/>
    <s v="Retail"/>
    <n v="43"/>
    <x v="1"/>
    <n v="2027"/>
    <n v="0.50196560196560192"/>
  </r>
  <r>
    <s v="ORD-00110"/>
    <d v="2024-05-27T00:00:00"/>
    <s v="CUST-0086"/>
    <x v="29"/>
    <s v="R029"/>
    <n v="6"/>
    <n v="660"/>
    <n v="20.2"/>
    <n v="3160.08"/>
    <s v="Pending"/>
    <s v="Hyderabad"/>
    <s v="Home"/>
    <s v="Corporate"/>
    <n v="56"/>
    <x v="2"/>
    <n v="329"/>
    <n v="0.50151515151515147"/>
  </r>
  <r>
    <s v="ORD-00111"/>
    <d v="2024-07-13T00:00:00"/>
    <s v="CUST-0145"/>
    <x v="18"/>
    <s v="R024"/>
    <n v="3"/>
    <n v="1080"/>
    <n v="29.7"/>
    <n v="2277.7199999999998"/>
    <s v="Completed"/>
    <s v="Bengaluru"/>
    <s v="Home"/>
    <s v="SMB"/>
    <n v="44"/>
    <x v="2"/>
    <n v="519"/>
    <n v="0.51944444444444449"/>
  </r>
  <r>
    <s v="ORD-00112"/>
    <d v="2024-12-03T00:00:00"/>
    <s v="CUST-0287"/>
    <x v="1"/>
    <s v="R006"/>
    <n v="7"/>
    <n v="820"/>
    <n v="13.5"/>
    <n v="4965.1000000000004"/>
    <s v="Cancelled"/>
    <s v="Chennai"/>
    <s v="Apparel"/>
    <s v="SMB"/>
    <n v="53"/>
    <x v="0"/>
    <n v="391"/>
    <n v="0.52317073170731709"/>
  </r>
  <r>
    <s v="ORD-00113"/>
    <d v="2024-04-12T00:00:00"/>
    <s v="CUST-0280"/>
    <x v="51"/>
    <s v="R027"/>
    <n v="4"/>
    <n v="960"/>
    <n v="26"/>
    <n v="2841.6"/>
    <s v="Completed"/>
    <s v="Delhi"/>
    <s v="Beauty"/>
    <s v="SMB"/>
    <n v="27"/>
    <x v="2"/>
    <n v="675"/>
    <n v="0.296875"/>
  </r>
  <r>
    <s v="ORD-00114"/>
    <d v="2024-06-10T00:00:00"/>
    <s v="CUST-0096"/>
    <x v="12"/>
    <s v="R014"/>
    <n v="3"/>
    <n v="2600"/>
    <n v="18.2"/>
    <n v="6380.4"/>
    <s v="Completed"/>
    <s v="Delhi"/>
    <s v="Electronics"/>
    <s v="Corporate"/>
    <n v="27"/>
    <x v="1"/>
    <n v="1052"/>
    <n v="0.5953846153846154"/>
  </r>
  <r>
    <s v="ORD-00115"/>
    <d v="2024-03-19T00:00:00"/>
    <s v="CUST-0184"/>
    <x v="44"/>
    <s v="R029"/>
    <n v="9"/>
    <n v="2030"/>
    <n v="26.1"/>
    <n v="13501.53"/>
    <s v="Completed"/>
    <s v="Pune"/>
    <s v="Home"/>
    <s v="Retail"/>
    <n v="63"/>
    <x v="2"/>
    <n v="1143"/>
    <n v="0.43694581280788175"/>
  </r>
  <r>
    <s v="ORD-00116"/>
    <d v="2024-11-01T00:00:00"/>
    <s v="CUST-0025"/>
    <x v="52"/>
    <s v="R028"/>
    <n v="8"/>
    <n v="2290"/>
    <n v="20.8"/>
    <n v="14509.44"/>
    <s v="Completed"/>
    <s v="Bengaluru"/>
    <s v="Beauty"/>
    <s v="Retail"/>
    <n v="23"/>
    <x v="2"/>
    <n v="1219"/>
    <n v="0.46768558951965067"/>
  </r>
  <r>
    <s v="ORD-00117"/>
    <d v="2024-08-27T00:00:00"/>
    <s v="CUST-0149"/>
    <x v="30"/>
    <s v="R029"/>
    <n v="3"/>
    <n v="3730"/>
    <n v="7.9"/>
    <n v="10305.99"/>
    <s v="Completed"/>
    <s v="Hyderabad"/>
    <s v="Home"/>
    <s v="Retail"/>
    <n v="44"/>
    <x v="2"/>
    <n v="2135"/>
    <n v="0.42761394101876676"/>
  </r>
  <r>
    <s v="ORD-00118"/>
    <d v="2024-10-31T00:00:00"/>
    <s v="CUST-0018"/>
    <x v="42"/>
    <s v="R014"/>
    <n v="1"/>
    <n v="300"/>
    <n v="16.899999999999999"/>
    <n v="249.3"/>
    <s v="Pending"/>
    <s v="Pune"/>
    <s v="Electronics"/>
    <s v="SMB"/>
    <n v="54"/>
    <x v="1"/>
    <n v="128"/>
    <n v="0.57333333333333336"/>
  </r>
  <r>
    <s v="ORD-00119"/>
    <d v="2024-05-08T00:00:00"/>
    <s v="CUST-0216"/>
    <x v="42"/>
    <s v="R012"/>
    <n v="3"/>
    <n v="300"/>
    <n v="0.6"/>
    <n v="894.6"/>
    <s v="Completed"/>
    <s v="Mumbai"/>
    <s v="Electronics"/>
    <s v="Retail"/>
    <n v="50"/>
    <x v="1"/>
    <n v="128"/>
    <n v="0.57333333333333336"/>
  </r>
  <r>
    <s v="ORD-00120"/>
    <d v="2024-02-07T00:00:00"/>
    <s v="CUST-0092"/>
    <x v="22"/>
    <s v="R007"/>
    <n v="6"/>
    <n v="3350"/>
    <n v="2.2999999999999998"/>
    <n v="19637.7"/>
    <s v="Cancelled"/>
    <s v="Bengaluru"/>
    <s v="Beauty"/>
    <s v="SMB"/>
    <n v="28"/>
    <x v="0"/>
    <n v="1728"/>
    <n v="0.48417910447761192"/>
  </r>
  <r>
    <s v="ORD-00121"/>
    <d v="2024-05-04T00:00:00"/>
    <s v="CUST-0056"/>
    <x v="49"/>
    <s v="R003"/>
    <n v="4"/>
    <n v="5330"/>
    <n v="29.3"/>
    <n v="15073.24"/>
    <s v="Completed"/>
    <s v="Bengaluru"/>
    <s v="Electronics"/>
    <s v="SMB"/>
    <n v="46"/>
    <x v="0"/>
    <n v="2405"/>
    <n v="0.54878048780487809"/>
  </r>
  <r>
    <s v="ORD-00122"/>
    <d v="2024-11-18T00:00:00"/>
    <s v="CUST-0113"/>
    <x v="0"/>
    <s v="R002"/>
    <n v="6"/>
    <n v="3620"/>
    <n v="10.8"/>
    <n v="19374.240000000002"/>
    <s v="Completed"/>
    <s v="Delhi"/>
    <s v="Apparel"/>
    <s v="Retail"/>
    <n v="30"/>
    <x v="0"/>
    <n v="2509"/>
    <n v="0.3069060773480663"/>
  </r>
  <r>
    <s v="ORD-00123"/>
    <d v="2024-10-28T00:00:00"/>
    <s v="CUST-0253"/>
    <x v="0"/>
    <s v="R005"/>
    <n v="6"/>
    <n v="3620"/>
    <n v="21.7"/>
    <n v="17006.759999999998"/>
    <s v="Completed"/>
    <s v="Delhi"/>
    <s v="Apparel"/>
    <s v="SMB"/>
    <n v="53"/>
    <x v="0"/>
    <n v="2509"/>
    <n v="0.3069060773480663"/>
  </r>
  <r>
    <s v="ORD-00124"/>
    <d v="2024-03-09T00:00:00"/>
    <s v="CUST-0187"/>
    <x v="6"/>
    <s v="R008"/>
    <n v="8"/>
    <n v="960"/>
    <n v="27.9"/>
    <n v="5537.28"/>
    <s v="Completed"/>
    <s v="Chennai"/>
    <s v="Sports"/>
    <s v="SMB"/>
    <n v="51"/>
    <x v="0"/>
    <n v="705"/>
    <n v="0.265625"/>
  </r>
  <r>
    <s v="ORD-00125"/>
    <d v="2024-12-02T00:00:00"/>
    <s v="CUST-0028"/>
    <x v="21"/>
    <s v="R025"/>
    <n v="5"/>
    <n v="1650"/>
    <n v="4.9000000000000004"/>
    <n v="7845.75"/>
    <s v="Completed"/>
    <s v="Bengaluru"/>
    <s v="Beauty"/>
    <s v="Retail"/>
    <n v="59"/>
    <x v="2"/>
    <n v="1222"/>
    <n v="0.2593939393939394"/>
  </r>
  <r>
    <s v="ORD-00126"/>
    <d v="2024-10-27T00:00:00"/>
    <s v="CUST-0224"/>
    <x v="51"/>
    <s v="R010"/>
    <n v="9"/>
    <n v="960"/>
    <n v="25.1"/>
    <n v="6471.36"/>
    <s v="Refunded"/>
    <s v="Chennai"/>
    <s v="Beauty"/>
    <s v="Corporate"/>
    <n v="24"/>
    <x v="1"/>
    <n v="675"/>
    <n v="0.296875"/>
  </r>
  <r>
    <s v="ORD-00127"/>
    <d v="2024-06-10T00:00:00"/>
    <s v="CUST-0150"/>
    <x v="53"/>
    <s v="R003"/>
    <n v="7"/>
    <n v="3970"/>
    <n v="13.8"/>
    <n v="23954.98"/>
    <s v="Pending"/>
    <s v="Pune"/>
    <s v="Electronics"/>
    <s v="SMB"/>
    <n v="53"/>
    <x v="0"/>
    <n v="2865"/>
    <n v="0.27833753148614609"/>
  </r>
  <r>
    <s v="ORD-00128"/>
    <d v="2024-11-16T00:00:00"/>
    <s v="CUST-0129"/>
    <x v="9"/>
    <s v="R005"/>
    <n v="7"/>
    <n v="970"/>
    <n v="21.6"/>
    <n v="5323.36"/>
    <s v="Pending"/>
    <s v="Hyderabad"/>
    <s v="Grocery"/>
    <s v="Retail"/>
    <n v="29"/>
    <x v="0"/>
    <n v="434"/>
    <n v="0.5525773195876289"/>
  </r>
  <r>
    <s v="ORD-00129"/>
    <d v="2024-09-06T00:00:00"/>
    <s v="CUST-0239"/>
    <x v="44"/>
    <s v="R001"/>
    <n v="10"/>
    <n v="2030"/>
    <n v="1.2"/>
    <n v="20056.400000000001"/>
    <s v="Completed"/>
    <s v="Mumbai"/>
    <s v="Home"/>
    <s v="Retail"/>
    <n v="61"/>
    <x v="0"/>
    <n v="1143"/>
    <n v="0.43694581280788175"/>
  </r>
  <r>
    <s v="ORD-00130"/>
    <d v="2024-12-14T00:00:00"/>
    <s v="CUST-0106"/>
    <x v="10"/>
    <s v="R021"/>
    <n v="9"/>
    <n v="2270"/>
    <n v="13.2"/>
    <n v="17733.240000000002"/>
    <s v="Pending"/>
    <s v="Pune"/>
    <s v="Grocery"/>
    <s v="Retail"/>
    <n v="22"/>
    <x v="3"/>
    <n v="1203"/>
    <n v="0.47004405286343615"/>
  </r>
  <r>
    <s v="ORD-00131"/>
    <d v="2024-08-20T00:00:00"/>
    <s v="CUST-0273"/>
    <x v="24"/>
    <s v="R003"/>
    <n v="8"/>
    <n v="4880"/>
    <n v="13.4"/>
    <n v="33808.639999999999"/>
    <s v="Completed"/>
    <s v="Hyderabad"/>
    <s v="Beauty"/>
    <s v="Corporate"/>
    <n v="32"/>
    <x v="0"/>
    <n v="2768"/>
    <n v="0.43278688524590164"/>
  </r>
  <r>
    <s v="ORD-00132"/>
    <d v="2024-02-22T00:00:00"/>
    <s v="CUST-0114"/>
    <x v="35"/>
    <s v="R011"/>
    <n v="10"/>
    <n v="3870"/>
    <n v="23.9"/>
    <n v="29450.7"/>
    <s v="Completed"/>
    <s v="Bengaluru"/>
    <s v="Electronics"/>
    <s v="Corporate"/>
    <n v="42"/>
    <x v="1"/>
    <n v="1559"/>
    <n v="0.59715762273901807"/>
  </r>
  <r>
    <s v="ORD-00133"/>
    <d v="2024-06-20T00:00:00"/>
    <s v="CUST-0146"/>
    <x v="52"/>
    <s v="R002"/>
    <n v="4"/>
    <n v="2290"/>
    <n v="15.2"/>
    <n v="7767.68"/>
    <s v="Completed"/>
    <s v="Hyderabad"/>
    <s v="Beauty"/>
    <s v="Retail"/>
    <n v="22"/>
    <x v="0"/>
    <n v="1219"/>
    <n v="0.46768558951965067"/>
  </r>
  <r>
    <s v="ORD-00134"/>
    <d v="2024-05-31T00:00:00"/>
    <s v="CUST-0298"/>
    <x v="50"/>
    <s v="R020"/>
    <n v="8"/>
    <n v="2380"/>
    <n v="4.2"/>
    <n v="18240.32"/>
    <s v="Completed"/>
    <s v="Delhi"/>
    <s v="Grocery"/>
    <s v="Retail"/>
    <n v="44"/>
    <x v="3"/>
    <n v="1182"/>
    <n v="0.50336134453781511"/>
  </r>
  <r>
    <s v="ORD-00135"/>
    <d v="2024-01-10T00:00:00"/>
    <s v="CUST-0111"/>
    <x v="45"/>
    <s v="R013"/>
    <n v="8"/>
    <n v="2210"/>
    <n v="11.5"/>
    <n v="15646.8"/>
    <s v="Completed"/>
    <s v="Chennai"/>
    <s v="Grocery"/>
    <s v="SMB"/>
    <n v="64"/>
    <x v="1"/>
    <n v="1010"/>
    <n v="0.54298642533936647"/>
  </r>
  <r>
    <s v="ORD-01445"/>
    <d v="2024-03-09T00:00:00"/>
    <s v="CUST-0291"/>
    <x v="49"/>
    <s v="R022"/>
    <n v="4"/>
    <n v="5330"/>
    <n v="22.6"/>
    <n v="16501.68"/>
    <s v="Pending"/>
    <s v="Pune"/>
    <s v="Electronics"/>
    <s v="SMB"/>
    <n v="29"/>
    <x v="3"/>
    <n v="2405"/>
    <n v="0.54878048780487809"/>
  </r>
  <r>
    <s v="ORD-00137"/>
    <d v="2024-09-24T00:00:00"/>
    <s v="CUST-0024"/>
    <x v="53"/>
    <s v="R022"/>
    <n v="8"/>
    <n v="3970"/>
    <n v="21.8"/>
    <n v="24836.32"/>
    <s v="Completed"/>
    <s v="Chennai"/>
    <s v="Electronics"/>
    <s v="SMB"/>
    <n v="64"/>
    <x v="3"/>
    <n v="2865"/>
    <n v="0.27833753148614609"/>
  </r>
  <r>
    <s v="ORD-00138"/>
    <d v="2024-09-11T00:00:00"/>
    <s v="CUST-0210"/>
    <x v="4"/>
    <s v="R020"/>
    <n v="10"/>
    <n v="3160"/>
    <n v="16.100000000000001"/>
    <n v="26512.400000000001"/>
    <s v="Cancelled"/>
    <s v="Pune"/>
    <s v="Apparel"/>
    <s v="Corporate"/>
    <n v="48"/>
    <x v="3"/>
    <n v="1886"/>
    <n v="0.4031645569620253"/>
  </r>
  <r>
    <s v="ORD-00139"/>
    <d v="2024-05-13T00:00:00"/>
    <s v="CUST-0192"/>
    <x v="14"/>
    <s v="R009"/>
    <n v="5"/>
    <n v="190"/>
    <n v="14.8"/>
    <n v="809.4"/>
    <s v="Completed"/>
    <s v="Bengaluru"/>
    <s v="Sports"/>
    <s v="Retail"/>
    <n v="55"/>
    <x v="1"/>
    <n v="147"/>
    <n v="0.22631578947368422"/>
  </r>
  <r>
    <s v="ORD-00140"/>
    <d v="2024-02-29T00:00:00"/>
    <s v="CUST-0078"/>
    <x v="28"/>
    <s v="R007"/>
    <n v="6"/>
    <n v="2760"/>
    <n v="19.8"/>
    <n v="13281.12"/>
    <s v="Completed"/>
    <s v="Delhi"/>
    <s v="Grocery"/>
    <s v="Retail"/>
    <n v="31"/>
    <x v="0"/>
    <n v="1435"/>
    <n v="0.48007246376811596"/>
  </r>
  <r>
    <s v="ORD-00141"/>
    <d v="2024-11-08T00:00:00"/>
    <s v="CUST-0070"/>
    <x v="34"/>
    <s v="R019"/>
    <n v="9"/>
    <n v="2270"/>
    <n v="20.8"/>
    <n v="16180.56"/>
    <s v="Cancelled"/>
    <s v="Mumbai"/>
    <s v="Grocery"/>
    <s v="Retail"/>
    <n v="42"/>
    <x v="3"/>
    <n v="1412"/>
    <n v="0.37797356828193834"/>
  </r>
  <r>
    <s v="ORD-00142"/>
    <d v="2024-02-06T00:00:00"/>
    <s v="CUST-0159"/>
    <x v="48"/>
    <s v="R001"/>
    <n v="8"/>
    <n v="5410"/>
    <n v="12.9"/>
    <n v="37696.879999999997"/>
    <s v="Completed"/>
    <s v="Hyderabad"/>
    <s v="Sports"/>
    <s v="Retail"/>
    <n v="32"/>
    <x v="0"/>
    <n v="2265"/>
    <n v="0.58133086876155271"/>
  </r>
  <r>
    <s v="ORD-00143"/>
    <d v="2024-08-04T00:00:00"/>
    <s v="CUST-0294"/>
    <x v="10"/>
    <s v="R009"/>
    <n v="9"/>
    <n v="2270"/>
    <n v="6.8"/>
    <n v="19040.759999999998"/>
    <s v="Completed"/>
    <s v="Delhi"/>
    <s v="Grocery"/>
    <s v="Corporate"/>
    <n v="31"/>
    <x v="1"/>
    <n v="1203"/>
    <n v="0.47004405286343615"/>
  </r>
  <r>
    <s v="ORD-00144"/>
    <d v="2024-01-18T00:00:00"/>
    <s v="CUST-0280"/>
    <x v="4"/>
    <s v="R001"/>
    <n v="3"/>
    <n v="3160"/>
    <n v="12.8"/>
    <n v="8266.56"/>
    <s v="Completed"/>
    <s v="Delhi"/>
    <s v="Apparel"/>
    <s v="SMB"/>
    <n v="27"/>
    <x v="0"/>
    <n v="1886"/>
    <n v="0.4031645569620253"/>
  </r>
  <r>
    <s v="ORD-00145"/>
    <d v="2024-06-05T00:00:00"/>
    <s v="CUST-0291"/>
    <x v="46"/>
    <s v="R028"/>
    <n v="8"/>
    <n v="4060"/>
    <n v="20.9"/>
    <n v="25691.68"/>
    <s v="Completed"/>
    <s v="Pune"/>
    <s v="Grocery"/>
    <s v="SMB"/>
    <n v="29"/>
    <x v="2"/>
    <n v="2911"/>
    <n v="0.28300492610837441"/>
  </r>
  <r>
    <s v="ORD-00146"/>
    <d v="2024-06-06T00:00:00"/>
    <s v="CUST-9657"/>
    <x v="1"/>
    <s v="R018"/>
    <n v="5"/>
    <n v="820"/>
    <n v="9.1"/>
    <n v="3726.9"/>
    <s v="Refunded"/>
    <s v="Pune"/>
    <s v="Apparel"/>
    <s v=""/>
    <s v=""/>
    <x v="3"/>
    <n v="391"/>
    <n v="0.52317073170731709"/>
  </r>
  <r>
    <s v="ORD-00147"/>
    <d v="2024-09-20T00:00:00"/>
    <s v="CUST-0080"/>
    <x v="5"/>
    <s v="R007"/>
    <n v="5"/>
    <n v="370"/>
    <n v="11.5"/>
    <n v="1637.25"/>
    <s v="Completed"/>
    <s v="Pune"/>
    <s v="Home"/>
    <s v="SMB"/>
    <n v="30"/>
    <x v="0"/>
    <n v="288"/>
    <n v="0.22162162162162163"/>
  </r>
  <r>
    <s v="ORD-00148"/>
    <d v="2024-02-19T00:00:00"/>
    <s v="CUST-0172"/>
    <x v="54"/>
    <s v="R002"/>
    <n v="9"/>
    <n v="5080"/>
    <n v="27.5"/>
    <n v="33147"/>
    <s v="Completed"/>
    <s v="Pune"/>
    <s v="Home"/>
    <s v="Retail"/>
    <n v="65"/>
    <x v="0"/>
    <n v="2459"/>
    <n v="0.51594488188976373"/>
  </r>
  <r>
    <s v="ORD-00149"/>
    <d v="2024-05-10T00:00:00"/>
    <s v="CUST-0051"/>
    <x v="37"/>
    <s v="R012"/>
    <n v="6"/>
    <n v="4070"/>
    <n v="12.5"/>
    <n v="21367.5"/>
    <s v="Completed"/>
    <s v="Pune"/>
    <s v="Grocery"/>
    <s v="SMB"/>
    <n v="54"/>
    <x v="1"/>
    <n v="2027"/>
    <n v="0.50196560196560192"/>
  </r>
  <r>
    <s v="ORD-00150"/>
    <d v="2024-02-24T00:00:00"/>
    <s v="CUST-0080"/>
    <x v="42"/>
    <s v="R024"/>
    <n v="5"/>
    <n v="300"/>
    <n v="25.8"/>
    <n v="1113"/>
    <s v="Completed"/>
    <s v="Pune"/>
    <s v="Electronics"/>
    <s v="SMB"/>
    <n v="30"/>
    <x v="2"/>
    <n v="128"/>
    <n v="0.57333333333333336"/>
  </r>
  <r>
    <s v="ORD-00151"/>
    <d v="2024-01-27T00:00:00"/>
    <s v="CUST-0137"/>
    <x v="26"/>
    <s v="R011"/>
    <n v="7"/>
    <n v="5100"/>
    <n v="28.8"/>
    <n v="25418.400000000001"/>
    <s v="Completed"/>
    <s v="Mumbai"/>
    <s v="Beauty"/>
    <s v="Retail"/>
    <n v="41"/>
    <x v="1"/>
    <n v="2237"/>
    <n v="0.56137254901960787"/>
  </r>
  <r>
    <s v="ORD-00152"/>
    <d v="2024-08-17T00:00:00"/>
    <s v="CUST-0222"/>
    <x v="8"/>
    <s v="R012"/>
    <n v="2"/>
    <n v="5490"/>
    <n v="5.5"/>
    <n v="10376.1"/>
    <s v="Completed"/>
    <s v="Chennai"/>
    <s v="Home"/>
    <s v="Retail"/>
    <n v="37"/>
    <x v="1"/>
    <n v="2549"/>
    <n v="0.53570127504553733"/>
  </r>
  <r>
    <s v="ORD-00153"/>
    <d v="2024-10-30T00:00:00"/>
    <s v="CUST-0117"/>
    <x v="55"/>
    <s v="R015"/>
    <n v="2"/>
    <n v="3450"/>
    <n v="1.2"/>
    <n v="6817.2"/>
    <s v="Completed"/>
    <s v="Delhi"/>
    <s v="Apparel"/>
    <s v="SMB"/>
    <n v="34"/>
    <x v="1"/>
    <n v="1748"/>
    <n v="0.49333333333333335"/>
  </r>
  <r>
    <s v="ORD-00154"/>
    <d v="2024-08-26T00:00:00"/>
    <s v="CUST-0104"/>
    <x v="45"/>
    <s v="R002"/>
    <n v="10"/>
    <n v="2210"/>
    <n v="18.8"/>
    <n v="17945.2"/>
    <s v="Completed"/>
    <s v="Hyderabad"/>
    <s v="Grocery"/>
    <s v="Corporate"/>
    <n v="43"/>
    <x v="0"/>
    <n v="1010"/>
    <n v="0.54298642533936647"/>
  </r>
  <r>
    <s v="ORD-00155"/>
    <d v="2024-12-18T00:00:00"/>
    <s v="CUST-0082"/>
    <x v="13"/>
    <s v="R013"/>
    <n v="2"/>
    <n v="3250"/>
    <n v="26.2"/>
    <n v="4797"/>
    <s v="Completed"/>
    <s v="Hyderabad"/>
    <s v="Home"/>
    <s v="SMB"/>
    <n v="36"/>
    <x v="1"/>
    <n v="1556"/>
    <n v="0.52123076923076928"/>
  </r>
  <r>
    <s v="ORD-00156"/>
    <d v="2024-01-07T00:00:00"/>
    <s v="CUST-0165"/>
    <x v="4"/>
    <s v="R001"/>
    <n v="5"/>
    <n v="3160"/>
    <n v="0.9"/>
    <n v="15657.8"/>
    <s v="Completed"/>
    <s v="Pune"/>
    <s v="Apparel"/>
    <s v="Retail"/>
    <n v="29"/>
    <x v="0"/>
    <n v="1886"/>
    <n v="0.4031645569620253"/>
  </r>
  <r>
    <s v="ORD-00157"/>
    <d v="2024-06-04T00:00:00"/>
    <s v="CUST-0150"/>
    <x v="35"/>
    <s v="R030"/>
    <n v="4"/>
    <n v="3870"/>
    <n v="29.6"/>
    <n v="10897.92"/>
    <s v="Cancelled"/>
    <s v="Pune"/>
    <s v="Electronics"/>
    <s v="SMB"/>
    <n v="53"/>
    <x v="2"/>
    <n v="1559"/>
    <n v="0.59715762273901807"/>
  </r>
  <r>
    <s v="ORD-00158"/>
    <d v="2024-11-05T00:00:00"/>
    <s v="CUST-0228"/>
    <x v="56"/>
    <s v="R022"/>
    <n v="4"/>
    <n v="3780"/>
    <n v="3.5"/>
    <n v="14590.8"/>
    <s v="Cancelled"/>
    <s v="Pune"/>
    <s v="Sports"/>
    <s v="Corporate"/>
    <n v="37"/>
    <x v="3"/>
    <n v="1860"/>
    <n v="0.50793650793650791"/>
  </r>
  <r>
    <s v="ORD-00159"/>
    <d v="2024-05-16T00:00:00"/>
    <s v="CUST-0197"/>
    <x v="40"/>
    <s v="R021"/>
    <n v="4"/>
    <n v="3020"/>
    <n v="18.899999999999999"/>
    <n v="9796.8799999999992"/>
    <s v="Completed"/>
    <s v="Bengaluru"/>
    <s v="Beauty"/>
    <s v="Retail"/>
    <n v="55"/>
    <x v="3"/>
    <n v="1626"/>
    <n v="0.46158940397350995"/>
  </r>
  <r>
    <s v="ORD-00160"/>
    <d v="2024-04-27T00:00:00"/>
    <s v="CUST-0009"/>
    <x v="30"/>
    <s v="R015"/>
    <n v="1"/>
    <n v="3730"/>
    <n v="10.8"/>
    <n v="3327.16"/>
    <s v="Refunded"/>
    <s v="Mumbai"/>
    <s v="Home"/>
    <s v="Retail"/>
    <n v="61"/>
    <x v="1"/>
    <n v="2135"/>
    <n v="0.42761394101876676"/>
  </r>
  <r>
    <s v="ORD-00161"/>
    <d v="2024-04-12T00:00:00"/>
    <s v="CUST-0139"/>
    <x v="24"/>
    <s v="R018"/>
    <n v="8"/>
    <n v="4880"/>
    <n v="20.3"/>
    <n v="31114.880000000001"/>
    <s v="Completed"/>
    <s v="Hyderabad"/>
    <s v="Beauty"/>
    <s v="SMB"/>
    <n v="65"/>
    <x v="3"/>
    <n v="2768"/>
    <n v="0.43278688524590164"/>
  </r>
  <r>
    <s v="ORD-00162"/>
    <d v="2024-10-14T00:00:00"/>
    <s v="CUST-0184"/>
    <x v="9"/>
    <s v="R026"/>
    <n v="9"/>
    <n v="970"/>
    <n v="18.2"/>
    <n v="7141.14"/>
    <s v="Completed"/>
    <s v="Pune"/>
    <s v="Grocery"/>
    <s v="Retail"/>
    <n v="63"/>
    <x v="2"/>
    <n v="434"/>
    <n v="0.5525773195876289"/>
  </r>
  <r>
    <s v="ORD-00163"/>
    <d v="2024-05-30T00:00:00"/>
    <s v="CUST-0119"/>
    <x v="41"/>
    <s v="R017"/>
    <n v="8"/>
    <n v="2660"/>
    <n v="17.600000000000001"/>
    <n v="17534.72"/>
    <s v="Completed"/>
    <s v="Bengaluru"/>
    <s v="Electronics"/>
    <s v="SMB"/>
    <n v="43"/>
    <x v="3"/>
    <n v="1259"/>
    <n v="0.52669172932330832"/>
  </r>
  <r>
    <s v="ORD-00164"/>
    <d v="2024-05-02T00:00:00"/>
    <s v="CUST-0280"/>
    <x v="1"/>
    <s v="R015"/>
    <n v="2"/>
    <n v="820"/>
    <n v="18.100000000000001"/>
    <n v="1343.16"/>
    <s v="Cancelled"/>
    <s v="Delhi"/>
    <s v="Apparel"/>
    <s v="SMB"/>
    <n v="27"/>
    <x v="1"/>
    <n v="391"/>
    <n v="0.52317073170731709"/>
  </r>
  <r>
    <s v="ORD-00165"/>
    <d v="2024-02-27T00:00:00"/>
    <s v="CUST-0240"/>
    <x v="44"/>
    <s v="R009"/>
    <n v="7"/>
    <n v="2030"/>
    <n v="23.7"/>
    <n v="10842.23"/>
    <s v="Pending"/>
    <s v="Chennai"/>
    <s v="Home"/>
    <s v="Corporate"/>
    <n v="35"/>
    <x v="1"/>
    <n v="1143"/>
    <n v="0.43694581280788175"/>
  </r>
  <r>
    <s v="ORD-00166"/>
    <d v="2024-08-29T00:00:00"/>
    <s v="CUST-0067"/>
    <x v="43"/>
    <s v="R009"/>
    <n v="5"/>
    <n v="620"/>
    <n v="13.8"/>
    <n v="2672.2"/>
    <s v="Completed"/>
    <s v="Delhi"/>
    <s v="Apparel"/>
    <s v="SMB"/>
    <n v="59"/>
    <x v="1"/>
    <n v="396"/>
    <n v="0.36129032258064514"/>
  </r>
  <r>
    <s v="ORD-00167"/>
    <d v="2024-07-16T00:00:00"/>
    <s v="CUST-0117"/>
    <x v="34"/>
    <s v="R022"/>
    <n v="7"/>
    <n v="2270"/>
    <n v="5.5"/>
    <n v="15016.05"/>
    <s v="Completed"/>
    <s v="Delhi"/>
    <s v="Grocery"/>
    <s v="SMB"/>
    <n v="34"/>
    <x v="3"/>
    <n v="1412"/>
    <n v="0.37797356828193834"/>
  </r>
  <r>
    <s v="ORD-00168"/>
    <d v="2024-06-14T00:00:00"/>
    <s v="CUST-0101"/>
    <x v="2"/>
    <s v="R016"/>
    <n v="1"/>
    <n v="470"/>
    <n v="13.7"/>
    <n v="405.61"/>
    <s v="Pending"/>
    <s v="Hyderabad"/>
    <s v="Sports"/>
    <s v="SMB"/>
    <n v="40"/>
    <x v="1"/>
    <n v="302"/>
    <n v="0.35744680851063831"/>
  </r>
  <r>
    <s v="ORD-00169"/>
    <d v="2024-11-05T00:00:00"/>
    <s v="CUST-0184"/>
    <x v="49"/>
    <s v="R007"/>
    <n v="6"/>
    <n v="5330"/>
    <n v="17.899999999999999"/>
    <n v="26255.58"/>
    <s v="Completed"/>
    <s v="Pune"/>
    <s v="Electronics"/>
    <s v="Retail"/>
    <n v="63"/>
    <x v="0"/>
    <n v="2405"/>
    <n v="0.54878048780487809"/>
  </r>
  <r>
    <s v="ORD-00170"/>
    <d v="2024-01-03T00:00:00"/>
    <s v="CUST-0087"/>
    <x v="33"/>
    <s v="R002"/>
    <n v="1"/>
    <n v="6080"/>
    <n v="25.5"/>
    <n v="4529.6000000000004"/>
    <s v="Completed"/>
    <s v="Pune"/>
    <s v="Beauty"/>
    <s v="SMB"/>
    <n v="49"/>
    <x v="0"/>
    <n v="2617"/>
    <n v="0.56957236842105263"/>
  </r>
  <r>
    <s v="ORD-00171"/>
    <d v="2024-02-23T00:00:00"/>
    <s v="CUST-0261"/>
    <x v="31"/>
    <s v="R022"/>
    <n v="5"/>
    <n v="3780"/>
    <n v="28.6"/>
    <n v="13494.6"/>
    <s v="Completed"/>
    <s v="Delhi"/>
    <s v="Grocery"/>
    <s v="Retail"/>
    <n v="54"/>
    <x v="3"/>
    <n v="2436"/>
    <n v="0.35555555555555557"/>
  </r>
  <r>
    <s v="ORD-00172"/>
    <d v="2024-04-09T00:00:00"/>
    <s v="CUST-0027"/>
    <x v="43"/>
    <s v="R010"/>
    <n v="5"/>
    <n v="620"/>
    <n v="6.9"/>
    <n v="2886.1"/>
    <s v="Cancelled"/>
    <s v="Hyderabad"/>
    <s v="Apparel"/>
    <s v="Corporate"/>
    <n v="52"/>
    <x v="1"/>
    <n v="396"/>
    <n v="0.36129032258064514"/>
  </r>
  <r>
    <s v="ORD-00173"/>
    <d v="2024-05-07T00:00:00"/>
    <s v="CUST-0210"/>
    <x v="47"/>
    <s v="R027"/>
    <n v="8"/>
    <n v="2510"/>
    <n v="0.7"/>
    <n v="19939.439999999999"/>
    <s v="Completed"/>
    <s v="Pune"/>
    <s v="Apparel"/>
    <s v="Corporate"/>
    <n v="48"/>
    <x v="2"/>
    <n v="1075"/>
    <n v="0.57171314741035861"/>
  </r>
  <r>
    <s v="ORD-00174"/>
    <d v="2024-01-15T00:00:00"/>
    <s v="CUST-0163"/>
    <x v="20"/>
    <s v="R020"/>
    <n v="1"/>
    <n v="2720"/>
    <n v="13.7"/>
    <n v="2347.36"/>
    <s v="Completed"/>
    <s v="Pune"/>
    <s v="Apparel"/>
    <s v="Retail"/>
    <n v="49"/>
    <x v="3"/>
    <n v="1962"/>
    <n v="0.2786764705882353"/>
  </r>
  <r>
    <s v="ORD-00175"/>
    <d v="2024-09-11T00:00:00"/>
    <s v="CUST-0059"/>
    <x v="2"/>
    <s v="R018"/>
    <n v="9"/>
    <n v="470"/>
    <n v="23.6"/>
    <n v="3231.72"/>
    <s v="Completed"/>
    <s v="Pune"/>
    <s v="Sports"/>
    <s v="Corporate"/>
    <n v="29"/>
    <x v="3"/>
    <n v="302"/>
    <n v="0.35744680851063831"/>
  </r>
  <r>
    <s v="ORD-00176"/>
    <d v="2024-12-07T00:00:00"/>
    <s v="CUST-0020"/>
    <x v="13"/>
    <s v="R018"/>
    <n v="10"/>
    <n v="3250"/>
    <n v="21"/>
    <n v="25675"/>
    <s v="Cancelled"/>
    <s v="Hyderabad"/>
    <s v="Home"/>
    <s v="Retail"/>
    <n v="46"/>
    <x v="3"/>
    <n v="1556"/>
    <n v="0.52123076923076928"/>
  </r>
  <r>
    <s v="ORD-00177"/>
    <d v="2024-12-23T00:00:00"/>
    <s v="CUST-0048"/>
    <x v="54"/>
    <s v="R028"/>
    <n v="6"/>
    <n v="5080"/>
    <n v="16.8"/>
    <n v="25359.360000000001"/>
    <s v="Pending"/>
    <s v="Delhi"/>
    <s v="Home"/>
    <s v="Retail"/>
    <n v="59"/>
    <x v="2"/>
    <n v="2459"/>
    <n v="0.51594488188976373"/>
  </r>
  <r>
    <s v="ORD-00178"/>
    <d v="2024-01-21T00:00:00"/>
    <s v="CUST-0172"/>
    <x v="25"/>
    <s v="R012"/>
    <n v="2"/>
    <n v="3570"/>
    <n v="6.7"/>
    <n v="6661.62"/>
    <s v="Cancelled"/>
    <s v="Pune"/>
    <s v="Electronics"/>
    <s v="Retail"/>
    <n v="65"/>
    <x v="1"/>
    <n v="1665"/>
    <n v="0.53361344537815125"/>
  </r>
  <r>
    <s v="ORD-00179"/>
    <d v="2024-03-31T00:00:00"/>
    <s v="CUST-0124"/>
    <x v="32"/>
    <s v="R012"/>
    <n v="4"/>
    <n v="3640"/>
    <n v="18.399999999999999"/>
    <n v="11880.96"/>
    <s v="Completed"/>
    <s v="Pune"/>
    <s v="Apparel"/>
    <s v="Retail"/>
    <n v="57"/>
    <x v="1"/>
    <n v="2611"/>
    <n v="0.28269230769230769"/>
  </r>
  <r>
    <s v="ORD-00180"/>
    <d v="2024-08-20T00:00:00"/>
    <s v="CUST-0184"/>
    <x v="37"/>
    <s v="R001"/>
    <n v="8"/>
    <n v="4070"/>
    <n v="6.6"/>
    <n v="30411.040000000001"/>
    <s v="Completed"/>
    <s v="Pune"/>
    <s v="Grocery"/>
    <s v="Retail"/>
    <n v="63"/>
    <x v="0"/>
    <n v="2027"/>
    <n v="0.50196560196560192"/>
  </r>
  <r>
    <s v="ORD-00181"/>
    <d v="2024-04-10T00:00:00"/>
    <s v="CUST-0259"/>
    <x v="55"/>
    <s v="R012"/>
    <n v="6"/>
    <n v="3450"/>
    <n v="14.4"/>
    <n v="17719.2"/>
    <s v="Pending"/>
    <s v="Mumbai"/>
    <s v="Apparel"/>
    <s v="Retail"/>
    <n v="34"/>
    <x v="1"/>
    <n v="1748"/>
    <n v="0.49333333333333335"/>
  </r>
  <r>
    <s v="ORD-00182"/>
    <d v="2024-05-31T00:00:00"/>
    <s v="CUST-0204"/>
    <x v="54"/>
    <s v="R029"/>
    <n v="7"/>
    <n v="5080"/>
    <n v="25.4"/>
    <n v="26527.759999999998"/>
    <s v="Pending"/>
    <s v="Hyderabad"/>
    <s v="Home"/>
    <s v="Retail"/>
    <n v="60"/>
    <x v="2"/>
    <n v="2459"/>
    <n v="0.51594488188976373"/>
  </r>
  <r>
    <s v="ORD-00183"/>
    <d v="2024-02-11T00:00:00"/>
    <s v="CUST-0032"/>
    <x v="28"/>
    <s v="R028"/>
    <n v="10"/>
    <n v="2760"/>
    <n v="20.100000000000001"/>
    <n v="22052.400000000001"/>
    <s v="Completed"/>
    <s v="Hyderabad"/>
    <s v="Grocery"/>
    <s v="Retail"/>
    <n v="28"/>
    <x v="2"/>
    <n v="1435"/>
    <n v="0.48007246376811596"/>
  </r>
  <r>
    <s v="ORD-00184"/>
    <d v="2024-06-13T00:00:00"/>
    <s v="CUST-0239"/>
    <x v="21"/>
    <s v="R016"/>
    <n v="6"/>
    <n v="1650"/>
    <n v="11.3"/>
    <n v="8781.2999999999993"/>
    <s v="Pending"/>
    <s v="Mumbai"/>
    <s v="Beauty"/>
    <s v="Retail"/>
    <n v="61"/>
    <x v="1"/>
    <n v="1222"/>
    <n v="0.2593939393939394"/>
  </r>
  <r>
    <s v="ORD-00185"/>
    <d v="2024-01-04T00:00:00"/>
    <s v="CUST-0191"/>
    <x v="35"/>
    <s v="R007"/>
    <n v="9"/>
    <n v="3870"/>
    <n v="27.5"/>
    <n v="25251.75"/>
    <s v="Completed"/>
    <s v="Hyderabad"/>
    <s v="Electronics"/>
    <s v="SMB"/>
    <n v="43"/>
    <x v="0"/>
    <n v="1559"/>
    <n v="0.59715762273901807"/>
  </r>
  <r>
    <s v="ORD-00186"/>
    <d v="2024-08-28T00:00:00"/>
    <s v="CUST-0284"/>
    <x v="57"/>
    <s v="R022"/>
    <n v="2"/>
    <n v="1090"/>
    <n v="18.7"/>
    <n v="1772.34"/>
    <s v="Refunded"/>
    <s v="Hyderabad"/>
    <s v="Home"/>
    <s v="SMB"/>
    <n v="65"/>
    <x v="3"/>
    <n v="464"/>
    <n v="0.57431192660550456"/>
  </r>
  <r>
    <s v="ORD-00187"/>
    <d v="2024-09-29T00:00:00"/>
    <s v="CUST-0274"/>
    <x v="51"/>
    <s v="R025"/>
    <n v="4"/>
    <n v="960"/>
    <n v="23.4"/>
    <n v="2941.44"/>
    <s v="Completed"/>
    <s v="Bengaluru"/>
    <s v="Beauty"/>
    <s v="Corporate"/>
    <n v="36"/>
    <x v="2"/>
    <n v="675"/>
    <n v="0.296875"/>
  </r>
  <r>
    <s v="ORD-00188"/>
    <d v="2024-09-04T00:00:00"/>
    <s v="CUST-0234"/>
    <x v="22"/>
    <s v="R021"/>
    <n v="3"/>
    <n v="3350"/>
    <n v="17.899999999999999"/>
    <n v="8251.0499999999993"/>
    <s v="Completed"/>
    <s v="Bengaluru"/>
    <s v="Beauty"/>
    <s v="Retail"/>
    <n v="34"/>
    <x v="3"/>
    <n v="1728"/>
    <n v="0.48417910447761192"/>
  </r>
  <r>
    <s v="ORD-00189"/>
    <d v="2024-11-09T00:00:00"/>
    <s v="CUST-0264"/>
    <x v="34"/>
    <s v="R005"/>
    <n v="4"/>
    <n v="2270"/>
    <n v="29"/>
    <n v="6446.8"/>
    <s v="Completed"/>
    <s v="Pune"/>
    <s v="Grocery"/>
    <s v="Retail"/>
    <n v="59"/>
    <x v="0"/>
    <n v="1412"/>
    <n v="0.37797356828193834"/>
  </r>
  <r>
    <s v="ORD-00190"/>
    <d v="2024-06-17T00:00:00"/>
    <s v="CUST-0192"/>
    <x v="39"/>
    <s v="R023"/>
    <n v="9"/>
    <n v="4610"/>
    <n v="28.3"/>
    <n v="29748.33"/>
    <s v="Pending"/>
    <s v="Bengaluru"/>
    <s v="Home"/>
    <s v="Retail"/>
    <n v="55"/>
    <x v="3"/>
    <n v="1850"/>
    <n v="0.59869848156182215"/>
  </r>
  <r>
    <s v="ORD-00191"/>
    <d v="2024-09-03T00:00:00"/>
    <s v="CUST-0041"/>
    <x v="4"/>
    <s v="R009"/>
    <n v="3"/>
    <n v="3160"/>
    <n v="7.3"/>
    <n v="8787.9599999999991"/>
    <s v="Completed"/>
    <s v="Bengaluru"/>
    <s v="Apparel"/>
    <s v="SMB"/>
    <n v="26"/>
    <x v="1"/>
    <n v="1886"/>
    <n v="0.4031645569620253"/>
  </r>
  <r>
    <s v="ORD-00192"/>
    <d v="2024-10-08T00:00:00"/>
    <s v="CUST-0043"/>
    <x v="34"/>
    <s v="R004"/>
    <n v="8"/>
    <n v="2270"/>
    <n v="15.6"/>
    <n v="15327.04"/>
    <s v="Completed"/>
    <s v="Hyderabad"/>
    <s v="Grocery"/>
    <s v="Retail"/>
    <n v="61"/>
    <x v="0"/>
    <n v="1412"/>
    <n v="0.37797356828193834"/>
  </r>
  <r>
    <s v="ORD-00193"/>
    <d v="2024-07-10T00:00:00"/>
    <s v="CUST-0147"/>
    <x v="40"/>
    <s v="R028"/>
    <n v="8"/>
    <n v="3020"/>
    <n v="16.3"/>
    <n v="20221.919999999998"/>
    <s v="Cancelled"/>
    <s v="Pune"/>
    <s v="Beauty"/>
    <s v="Retail"/>
    <n v="56"/>
    <x v="2"/>
    <n v="1626"/>
    <n v="0.46158940397350995"/>
  </r>
  <r>
    <s v="ORD-00194"/>
    <d v="2024-11-21T00:00:00"/>
    <s v="CUST-0056"/>
    <x v="58"/>
    <s v="R030"/>
    <n v="7"/>
    <n v="6940"/>
    <n v="8.5"/>
    <n v="44450.7"/>
    <s v="Completed"/>
    <s v="Bengaluru"/>
    <s v="Sports"/>
    <s v="SMB"/>
    <n v="46"/>
    <x v="2"/>
    <n v="2827"/>
    <n v="0.5926512968299712"/>
  </r>
  <r>
    <s v="ORD-00195"/>
    <d v="2024-09-11T00:00:00"/>
    <s v="CUST-0059"/>
    <x v="36"/>
    <s v="R012"/>
    <n v="8"/>
    <n v="1540"/>
    <n v="21"/>
    <n v="9732.7999999999993"/>
    <s v="Completed"/>
    <s v="Pune"/>
    <s v="Beauty"/>
    <s v="Corporate"/>
    <n v="29"/>
    <x v="1"/>
    <n v="647"/>
    <n v="0.57987012987012987"/>
  </r>
  <r>
    <s v="ORD-00196"/>
    <d v="2024-03-29T00:00:00"/>
    <s v="CUST-0047"/>
    <x v="19"/>
    <s v="R029"/>
    <n v="6"/>
    <n v="2480"/>
    <n v="27.9"/>
    <n v="10728.48"/>
    <s v="Completed"/>
    <s v="Pune"/>
    <s v="Apparel"/>
    <s v="Retail"/>
    <n v="49"/>
    <x v="2"/>
    <n v="1173"/>
    <n v="0.52701612903225803"/>
  </r>
  <r>
    <s v="ORD-00197"/>
    <d v="2024-01-29T00:00:00"/>
    <s v="CUST-0162"/>
    <x v="14"/>
    <s v="R022"/>
    <n v="4"/>
    <n v="190"/>
    <n v="21.5"/>
    <n v="596.6"/>
    <s v="Completed"/>
    <s v="Mumbai"/>
    <s v="Sports"/>
    <s v="Corporate"/>
    <n v="35"/>
    <x v="3"/>
    <n v="147"/>
    <n v="0.22631578947368422"/>
  </r>
  <r>
    <s v="ORD-00198"/>
    <d v="2024-03-04T00:00:00"/>
    <s v="CUST-0121"/>
    <x v="27"/>
    <s v="R014"/>
    <n v="1"/>
    <n v="2860"/>
    <n v="15.3"/>
    <n v="2422.42"/>
    <s v="Completed"/>
    <s v="Delhi"/>
    <s v="Sports"/>
    <s v="SMB"/>
    <n v="55"/>
    <x v="1"/>
    <n v="2028"/>
    <n v="0.29090909090909089"/>
  </r>
  <r>
    <s v="ORD-00199"/>
    <d v="2024-02-28T00:00:00"/>
    <s v="CUST-0075"/>
    <x v="47"/>
    <s v="R015"/>
    <n v="4"/>
    <n v="2510"/>
    <n v="10.1"/>
    <n v="9025.9599999999991"/>
    <s v="Refunded"/>
    <s v="Mumbai"/>
    <s v="Apparel"/>
    <s v="Corporate"/>
    <n v="55"/>
    <x v="1"/>
    <n v="1075"/>
    <n v="0.57171314741035861"/>
  </r>
  <r>
    <s v="ORD-00200"/>
    <d v="2024-10-22T00:00:00"/>
    <s v="CUST-0025"/>
    <x v="25"/>
    <s v="R003"/>
    <n v="2"/>
    <n v="3570"/>
    <n v="11.6"/>
    <n v="6311.76"/>
    <s v="Pending"/>
    <s v="Bengaluru"/>
    <s v="Electronics"/>
    <s v="Retail"/>
    <n v="23"/>
    <x v="0"/>
    <n v="1665"/>
    <n v="0.53361344537815125"/>
  </r>
  <r>
    <s v="ORD-00201"/>
    <d v="2024-02-22T00:00:00"/>
    <s v="CUST-0048"/>
    <x v="30"/>
    <s v="R016"/>
    <n v="7"/>
    <n v="3730"/>
    <n v="2.5"/>
    <n v="25457.25"/>
    <s v="Cancelled"/>
    <s v="Delhi"/>
    <s v="Home"/>
    <s v="Retail"/>
    <n v="59"/>
    <x v="1"/>
    <n v="2135"/>
    <n v="0.42761394101876676"/>
  </r>
  <r>
    <s v="ORD-00202"/>
    <d v="2024-07-19T00:00:00"/>
    <s v="CUST-0251"/>
    <x v="5"/>
    <s v="R030"/>
    <n v="6"/>
    <n v="370"/>
    <n v="9.9"/>
    <n v="2000.22"/>
    <s v="Completed"/>
    <s v="Mumbai"/>
    <s v="Home"/>
    <s v="Retail"/>
    <n v="44"/>
    <x v="2"/>
    <n v="288"/>
    <n v="0.22162162162162163"/>
  </r>
  <r>
    <s v="ORD-00203"/>
    <d v="2024-07-17T00:00:00"/>
    <s v="CUST-0125"/>
    <x v="41"/>
    <s v="R014"/>
    <n v="4"/>
    <n v="2660"/>
    <n v="29.7"/>
    <n v="7479.92"/>
    <s v="Completed"/>
    <s v="Delhi"/>
    <s v="Electronics"/>
    <s v="Retail"/>
    <n v="45"/>
    <x v="1"/>
    <n v="1259"/>
    <n v="0.52669172932330832"/>
  </r>
  <r>
    <s v="ORD-00204"/>
    <d v="2024-09-03T00:00:00"/>
    <s v="CUST-0025"/>
    <x v="28"/>
    <s v="R015"/>
    <n v="6"/>
    <n v="2760"/>
    <n v="0.9"/>
    <n v="16410.96"/>
    <s v="Completed"/>
    <s v="Bengaluru"/>
    <s v="Grocery"/>
    <s v="Retail"/>
    <n v="23"/>
    <x v="1"/>
    <n v="1435"/>
    <n v="0.48007246376811596"/>
  </r>
  <r>
    <s v="ORD-00205"/>
    <d v="2024-10-26T00:00:00"/>
    <s v="CUST-0068"/>
    <x v="22"/>
    <s v="R009"/>
    <n v="6"/>
    <n v="3350"/>
    <n v="17.899999999999999"/>
    <n v="16502.099999999999"/>
    <s v="Completed"/>
    <s v="Delhi"/>
    <s v="Beauty"/>
    <s v="SMB"/>
    <n v="48"/>
    <x v="1"/>
    <n v="1728"/>
    <n v="0.48417910447761192"/>
  </r>
  <r>
    <s v="ORD-00206"/>
    <d v="2024-01-28T00:00:00"/>
    <s v="CUST-0080"/>
    <x v="42"/>
    <s v="R017"/>
    <n v="8"/>
    <n v="300"/>
    <n v="20.6"/>
    <n v="1905.6"/>
    <s v="Refunded"/>
    <s v="Pune"/>
    <s v="Electronics"/>
    <s v="SMB"/>
    <n v="30"/>
    <x v="3"/>
    <n v="128"/>
    <n v="0.57333333333333336"/>
  </r>
  <r>
    <s v="ORD-00207"/>
    <d v="2024-08-23T00:00:00"/>
    <s v="CUST-0251"/>
    <x v="20"/>
    <s v="R002"/>
    <n v="5"/>
    <n v="2720"/>
    <n v="17.100000000000001"/>
    <n v="11274.4"/>
    <s v="Pending"/>
    <s v="Mumbai"/>
    <s v="Apparel"/>
    <s v="Retail"/>
    <n v="44"/>
    <x v="0"/>
    <n v="1962"/>
    <n v="0.2786764705882353"/>
  </r>
  <r>
    <s v="ORD-00208"/>
    <d v="2024-10-07T00:00:00"/>
    <s v="CUST-0077"/>
    <x v="35"/>
    <s v="R015"/>
    <n v="1"/>
    <n v="3870"/>
    <n v="23.5"/>
    <n v="2960.55"/>
    <s v="Pending"/>
    <s v="Hyderabad"/>
    <s v="Electronics"/>
    <s v="SMB"/>
    <n v="48"/>
    <x v="1"/>
    <n v="1559"/>
    <n v="0.59715762273901807"/>
  </r>
  <r>
    <s v="ORD-00209"/>
    <d v="2024-12-11T00:00:00"/>
    <s v="CUST-0232"/>
    <x v="30"/>
    <s v="R012"/>
    <n v="3"/>
    <n v="3730"/>
    <n v="0.7"/>
    <n v="11111.67"/>
    <s v="Pending"/>
    <s v="Hyderabad"/>
    <s v="Home"/>
    <s v="Retail"/>
    <n v="38"/>
    <x v="1"/>
    <n v="2135"/>
    <n v="0.42761394101876676"/>
  </r>
  <r>
    <s v="ORD-00210"/>
    <d v="2024-01-24T00:00:00"/>
    <s v="CUST-0277"/>
    <x v="19"/>
    <s v="R012"/>
    <n v="8"/>
    <n v="2480"/>
    <n v="18.2"/>
    <n v="16229.12"/>
    <s v="Cancelled"/>
    <s v="Chennai"/>
    <s v="Apparel"/>
    <s v="Corporate"/>
    <n v="34"/>
    <x v="1"/>
    <n v="1173"/>
    <n v="0.52701612903225803"/>
  </r>
  <r>
    <s v="ORD-00211"/>
    <d v="2024-03-23T00:00:00"/>
    <s v="CUST-0149"/>
    <x v="6"/>
    <s v="R019"/>
    <n v="2"/>
    <n v="960"/>
    <n v="2.2000000000000002"/>
    <n v="1877.76"/>
    <s v="Completed"/>
    <s v="Hyderabad"/>
    <s v="Sports"/>
    <s v="Retail"/>
    <n v="44"/>
    <x v="3"/>
    <n v="705"/>
    <n v="0.265625"/>
  </r>
  <r>
    <s v="ORD-00212"/>
    <d v="2024-02-13T00:00:00"/>
    <s v="CUST-0178"/>
    <x v="24"/>
    <s v="R018"/>
    <n v="8"/>
    <n v="4880"/>
    <n v="11.9"/>
    <n v="34394.239999999998"/>
    <s v="Completed"/>
    <s v="Hyderabad"/>
    <s v="Beauty"/>
    <s v="Retail"/>
    <n v="25"/>
    <x v="3"/>
    <n v="2768"/>
    <n v="0.43278688524590164"/>
  </r>
  <r>
    <s v="ORD-00213"/>
    <d v="2024-12-30T00:00:00"/>
    <s v="CUST-0246"/>
    <x v="0"/>
    <s v="R030"/>
    <n v="2"/>
    <n v="3620"/>
    <n v="1.1000000000000001"/>
    <n v="7160.36"/>
    <s v="Pending"/>
    <s v="Delhi"/>
    <s v="Apparel"/>
    <s v="SMB"/>
    <n v="29"/>
    <x v="2"/>
    <n v="2509"/>
    <n v="0.3069060773480663"/>
  </r>
  <r>
    <s v="ORD-00214"/>
    <d v="2024-10-08T00:00:00"/>
    <s v="CUST-0033"/>
    <x v="53"/>
    <s v="R008"/>
    <n v="8"/>
    <n v="3970"/>
    <n v="18.100000000000001"/>
    <n v="26011.439999999999"/>
    <s v="Completed"/>
    <s v="Delhi"/>
    <s v="Electronics"/>
    <s v="Retail"/>
    <n v="35"/>
    <x v="0"/>
    <n v="2865"/>
    <n v="0.27833753148614609"/>
  </r>
  <r>
    <s v="ORD-00215"/>
    <d v="2024-08-30T00:00:00"/>
    <s v="CUST-0159"/>
    <x v="34"/>
    <s v="R026"/>
    <n v="8"/>
    <n v="2270"/>
    <n v="19.600000000000001"/>
    <n v="14600.64"/>
    <s v="Completed"/>
    <s v="Hyderabad"/>
    <s v="Grocery"/>
    <s v="Retail"/>
    <n v="32"/>
    <x v="2"/>
    <n v="1412"/>
    <n v="0.37797356828193834"/>
  </r>
  <r>
    <s v="ORD-00216"/>
    <d v="2024-12-13T00:00:00"/>
    <s v="CUST-0175"/>
    <x v="31"/>
    <s v="R013"/>
    <n v="1"/>
    <n v="3780"/>
    <n v="22.6"/>
    <n v="2925.72"/>
    <s v="Completed"/>
    <s v="Delhi"/>
    <s v="Grocery"/>
    <s v="Corporate"/>
    <n v="55"/>
    <x v="1"/>
    <n v="2436"/>
    <n v="0.35555555555555557"/>
  </r>
  <r>
    <s v="ORD-00217"/>
    <d v="2024-12-27T00:00:00"/>
    <s v="CUST-0079"/>
    <x v="37"/>
    <s v="R022"/>
    <n v="9"/>
    <n v="4070"/>
    <n v="28.2"/>
    <n v="26300.34"/>
    <s v="Completed"/>
    <s v="Mumbai"/>
    <s v="Grocery"/>
    <s v="Corporate"/>
    <n v="60"/>
    <x v="3"/>
    <n v="2027"/>
    <n v="0.50196560196560192"/>
  </r>
  <r>
    <s v="ORD-00218"/>
    <d v="2024-05-12T00:00:00"/>
    <s v="CUST-0173"/>
    <x v="41"/>
    <s v="R006"/>
    <n v="9"/>
    <n v="2660"/>
    <n v="13.1"/>
    <n v="20803.86"/>
    <s v="Pending"/>
    <s v="Mumbai"/>
    <s v="Electronics"/>
    <s v="Retail"/>
    <n v="65"/>
    <x v="0"/>
    <n v="1259"/>
    <n v="0.52669172932330832"/>
  </r>
  <r>
    <s v="ORD-00219"/>
    <d v="2024-04-18T00:00:00"/>
    <s v="CUST-0050"/>
    <x v="25"/>
    <s v="R004"/>
    <n v="4"/>
    <n v="3570"/>
    <n v="1.5"/>
    <n v="14065.8"/>
    <s v="Cancelled"/>
    <s v="Mumbai"/>
    <s v="Electronics"/>
    <s v="Retail"/>
    <n v="37"/>
    <x v="0"/>
    <n v="1665"/>
    <n v="0.53361344537815125"/>
  </r>
  <r>
    <s v="ORD-00220"/>
    <d v="2024-08-27T00:00:00"/>
    <s v="CUST-0097"/>
    <x v="51"/>
    <s v="R001"/>
    <n v="2"/>
    <n v="960"/>
    <n v="18.600000000000001"/>
    <n v="1562.88"/>
    <s v="Completed"/>
    <s v="Mumbai"/>
    <s v="Beauty"/>
    <s v="Retail"/>
    <n v="65"/>
    <x v="0"/>
    <n v="675"/>
    <n v="0.296875"/>
  </r>
  <r>
    <s v="ORD-00221"/>
    <d v="2024-09-11T00:00:00"/>
    <s v="CUST-0026"/>
    <x v="16"/>
    <s v="R018"/>
    <n v="2"/>
    <n v="3450"/>
    <n v="3.7"/>
    <n v="6644.7"/>
    <s v="Completed"/>
    <s v="Pune"/>
    <s v="Beauty"/>
    <s v="Retail"/>
    <n v="62"/>
    <x v="3"/>
    <n v="2420"/>
    <n v="0.29855072463768118"/>
  </r>
  <r>
    <s v="ORD-00222"/>
    <d v="2024-11-12T00:00:00"/>
    <s v="CUST-0185"/>
    <x v="26"/>
    <s v="R007"/>
    <n v="6"/>
    <n v="5100"/>
    <n v="1.2"/>
    <n v="30232.799999999999"/>
    <s v="Completed"/>
    <s v="Hyderabad"/>
    <s v="Beauty"/>
    <s v="SMB"/>
    <n v="43"/>
    <x v="0"/>
    <n v="2237"/>
    <n v="0.56137254901960787"/>
  </r>
  <r>
    <s v="ORD-00223"/>
    <d v="2024-11-18T00:00:00"/>
    <s v="CUST-0135"/>
    <x v="42"/>
    <s v="R005"/>
    <n v="9"/>
    <n v="300"/>
    <n v="25.4"/>
    <n v="2014.2"/>
    <s v="Cancelled"/>
    <s v="Pune"/>
    <s v="Electronics"/>
    <s v="SMB"/>
    <n v="24"/>
    <x v="0"/>
    <n v="128"/>
    <n v="0.57333333333333336"/>
  </r>
  <r>
    <s v="ORD-00224"/>
    <d v="2024-04-23T00:00:00"/>
    <s v="CUST-0010"/>
    <x v="24"/>
    <s v="R020"/>
    <n v="7"/>
    <n v="4880"/>
    <n v="16.899999999999999"/>
    <n v="28386.959999999999"/>
    <s v="Pending"/>
    <s v="Mumbai"/>
    <s v="Beauty"/>
    <s v="SMB"/>
    <n v="61"/>
    <x v="3"/>
    <n v="2768"/>
    <n v="0.43278688524590164"/>
  </r>
  <r>
    <s v="ORD-00225"/>
    <d v="2024-07-31T00:00:00"/>
    <s v="CUST-0271"/>
    <x v="13"/>
    <s v="R023"/>
    <n v="9"/>
    <n v="3250"/>
    <n v="10.8"/>
    <n v="26091"/>
    <s v="Cancelled"/>
    <s v="Bengaluru"/>
    <s v="Home"/>
    <s v="Corporate"/>
    <n v="41"/>
    <x v="3"/>
    <n v="1556"/>
    <n v="0.52123076923076928"/>
  </r>
  <r>
    <s v="ORD-00226"/>
    <d v="2024-01-07T00:00:00"/>
    <s v="CUST-0172"/>
    <x v="16"/>
    <s v="R006"/>
    <n v="3"/>
    <n v="3450"/>
    <n v="5.4"/>
    <n v="9791.1"/>
    <s v="Pending"/>
    <s v="Pune"/>
    <s v="Beauty"/>
    <s v="Retail"/>
    <n v="65"/>
    <x v="0"/>
    <n v="2420"/>
    <n v="0.29855072463768118"/>
  </r>
  <r>
    <s v="ORD-00227"/>
    <d v="2024-02-24T00:00:00"/>
    <s v="CUST-0296"/>
    <x v="33"/>
    <s v="R021"/>
    <n v="5"/>
    <n v="6080"/>
    <n v="18"/>
    <n v="24928"/>
    <s v="Completed"/>
    <s v="Delhi"/>
    <s v="Beauty"/>
    <s v="Corporate"/>
    <n v="47"/>
    <x v="3"/>
    <n v="2617"/>
    <n v="0.56957236842105263"/>
  </r>
  <r>
    <s v="ORD-00228"/>
    <d v="2024-07-14T00:00:00"/>
    <s v="CUST-0080"/>
    <x v="33"/>
    <s v="R022"/>
    <n v="7"/>
    <n v="6080"/>
    <n v="9.1999999999999993"/>
    <n v="38644.480000000003"/>
    <s v="Completed"/>
    <s v="Pune"/>
    <s v="Beauty"/>
    <s v="SMB"/>
    <n v="30"/>
    <x v="3"/>
    <n v="2617"/>
    <n v="0.56957236842105263"/>
  </r>
  <r>
    <s v="ORD-00229"/>
    <d v="2024-10-20T00:00:00"/>
    <s v="CUST-0232"/>
    <x v="10"/>
    <s v="R014"/>
    <n v="5"/>
    <n v="2270"/>
    <n v="0.4"/>
    <n v="11304.6"/>
    <s v="Cancelled"/>
    <s v="Hyderabad"/>
    <s v="Grocery"/>
    <s v="Retail"/>
    <n v="38"/>
    <x v="1"/>
    <n v="1203"/>
    <n v="0.47004405286343615"/>
  </r>
  <r>
    <s v="ORD-00230"/>
    <d v="2024-03-22T00:00:00"/>
    <s v="CUST-0070"/>
    <x v="24"/>
    <s v="R016"/>
    <n v="10"/>
    <n v="4880"/>
    <n v="24.5"/>
    <n v="36844"/>
    <s v="Refunded"/>
    <s v="Mumbai"/>
    <s v="Beauty"/>
    <s v="Retail"/>
    <n v="42"/>
    <x v="1"/>
    <n v="2768"/>
    <n v="0.43278688524590164"/>
  </r>
  <r>
    <s v="ORD-00231"/>
    <d v="2024-01-02T00:00:00"/>
    <s v="CUST-0142"/>
    <x v="50"/>
    <s v="R002"/>
    <n v="2"/>
    <n v="2380"/>
    <n v="2.2999999999999998"/>
    <n v="4650.5200000000004"/>
    <s v="Completed"/>
    <s v="Chennai"/>
    <s v="Grocery"/>
    <s v="Corporate"/>
    <n v="55"/>
    <x v="0"/>
    <n v="1182"/>
    <n v="0.50336134453781511"/>
  </r>
  <r>
    <s v="ORD-00232"/>
    <d v="2024-07-25T00:00:00"/>
    <s v="CUST-0161"/>
    <x v="23"/>
    <s v="R025"/>
    <n v="1"/>
    <n v="1010"/>
    <n v="29.9"/>
    <n v="708.01"/>
    <s v="Completed"/>
    <s v="Chennai"/>
    <s v="Sports"/>
    <s v="Retail"/>
    <n v="38"/>
    <x v="2"/>
    <n v="516"/>
    <n v="0.4891089108910891"/>
  </r>
  <r>
    <s v="ORD-00233"/>
    <d v="2024-12-17T00:00:00"/>
    <s v="CUST-0020"/>
    <x v="58"/>
    <s v="R029"/>
    <n v="7"/>
    <n v="6940"/>
    <n v="25.8"/>
    <n v="36046.36"/>
    <s v="Completed"/>
    <s v="Hyderabad"/>
    <s v="Sports"/>
    <s v="Retail"/>
    <n v="46"/>
    <x v="2"/>
    <n v="2827"/>
    <n v="0.5926512968299712"/>
  </r>
  <r>
    <s v="ORD-00234"/>
    <d v="2024-09-07T00:00:00"/>
    <s v="CUST-0173"/>
    <x v="52"/>
    <s v="R024"/>
    <n v="6"/>
    <n v="2290"/>
    <n v="25.9"/>
    <n v="10181.34"/>
    <s v="Pending"/>
    <s v="Mumbai"/>
    <s v="Beauty"/>
    <s v="Retail"/>
    <n v="65"/>
    <x v="2"/>
    <n v="1219"/>
    <n v="0.46768558951965067"/>
  </r>
  <r>
    <s v="ORD-00235"/>
    <d v="2024-08-04T00:00:00"/>
    <s v="CUST-0280"/>
    <x v="5"/>
    <s v="R014"/>
    <n v="2"/>
    <n v="370"/>
    <n v="3.9"/>
    <n v="711.14"/>
    <s v="Completed"/>
    <s v="Delhi"/>
    <s v="Home"/>
    <s v="SMB"/>
    <n v="27"/>
    <x v="1"/>
    <n v="288"/>
    <n v="0.22162162162162163"/>
  </r>
  <r>
    <s v="ORD-00236"/>
    <d v="2024-03-02T00:00:00"/>
    <s v="CUST-0073"/>
    <x v="34"/>
    <s v="R020"/>
    <n v="1"/>
    <n v="2270"/>
    <n v="25.3"/>
    <n v="1695.69"/>
    <s v="Completed"/>
    <s v="Pune"/>
    <s v="Grocery"/>
    <s v="Corporate"/>
    <n v="40"/>
    <x v="3"/>
    <n v="1412"/>
    <n v="0.37797356828193834"/>
  </r>
  <r>
    <s v="ORD-00237"/>
    <d v="2024-02-22T00:00:00"/>
    <s v="CUST-0242"/>
    <x v="33"/>
    <s v="R002"/>
    <n v="4"/>
    <n v="6080"/>
    <n v="28.8"/>
    <n v="17315.84"/>
    <s v="Pending"/>
    <s v="Chennai"/>
    <s v="Beauty"/>
    <s v="SMB"/>
    <n v="59"/>
    <x v="0"/>
    <n v="2617"/>
    <n v="0.56957236842105263"/>
  </r>
  <r>
    <s v="ORD-00238"/>
    <d v="2024-04-07T00:00:00"/>
    <s v="CUST-0234"/>
    <x v="49"/>
    <s v="R018"/>
    <n v="2"/>
    <n v="5330"/>
    <n v="23.8"/>
    <n v="8122.92"/>
    <s v="Pending"/>
    <s v="Bengaluru"/>
    <s v="Electronics"/>
    <s v="Retail"/>
    <n v="34"/>
    <x v="3"/>
    <n v="2405"/>
    <n v="0.54878048780487809"/>
  </r>
  <r>
    <s v="ORD-00239"/>
    <d v="2024-02-22T00:00:00"/>
    <s v="CUST-0085"/>
    <x v="37"/>
    <s v="R024"/>
    <n v="2"/>
    <n v="4070"/>
    <n v="4.3"/>
    <n v="7789.98"/>
    <s v="Completed"/>
    <s v="Chennai"/>
    <s v="Grocery"/>
    <s v="Retail"/>
    <n v="26"/>
    <x v="2"/>
    <n v="2027"/>
    <n v="0.50196560196560192"/>
  </r>
  <r>
    <s v="ORD-00240"/>
    <d v="2024-07-07T00:00:00"/>
    <s v="CUST-0228"/>
    <x v="42"/>
    <s v="R004"/>
    <n v="6"/>
    <n v="300"/>
    <n v="17.399999999999999"/>
    <n v="1486.8"/>
    <s v="Cancelled"/>
    <s v="Pune"/>
    <s v="Electronics"/>
    <s v="Corporate"/>
    <n v="37"/>
    <x v="0"/>
    <n v="128"/>
    <n v="0.57333333333333336"/>
  </r>
  <r>
    <s v="ORD-00241"/>
    <d v="2024-07-15T00:00:00"/>
    <s v="CUST-0147"/>
    <x v="24"/>
    <s v="R014"/>
    <n v="1"/>
    <n v="4880"/>
    <n v="17.5"/>
    <n v="4026"/>
    <s v="Completed"/>
    <s v="Pune"/>
    <s v="Beauty"/>
    <s v="Retail"/>
    <n v="56"/>
    <x v="1"/>
    <n v="2768"/>
    <n v="0.43278688524590164"/>
  </r>
  <r>
    <s v="ORD-00242"/>
    <d v="2024-02-04T00:00:00"/>
    <s v="CUST-0171"/>
    <x v="27"/>
    <s v="R027"/>
    <n v="3"/>
    <n v="2860"/>
    <n v="20.100000000000001"/>
    <n v="6855.42"/>
    <s v="Completed"/>
    <s v="Chennai"/>
    <s v="Sports"/>
    <s v="Corporate"/>
    <n v="30"/>
    <x v="2"/>
    <n v="2028"/>
    <n v="0.29090909090909089"/>
  </r>
  <r>
    <s v="ORD-00243"/>
    <d v="2024-12-01T00:00:00"/>
    <s v="CUST-0051"/>
    <x v="36"/>
    <s v="R002"/>
    <n v="3"/>
    <n v="1540"/>
    <n v="20.9"/>
    <n v="3654.42"/>
    <s v="Completed"/>
    <s v="Pune"/>
    <s v="Beauty"/>
    <s v="SMB"/>
    <n v="54"/>
    <x v="0"/>
    <n v="647"/>
    <n v="0.57987012987012987"/>
  </r>
  <r>
    <s v="ORD-00244"/>
    <d v="2024-10-11T00:00:00"/>
    <s v="CUST-0285"/>
    <x v="11"/>
    <s v="R010"/>
    <n v="10"/>
    <n v="2640"/>
    <n v="11.2"/>
    <n v="23443.200000000001"/>
    <s v="Pending"/>
    <s v="Hyderabad"/>
    <s v="Electronics"/>
    <s v="Retail"/>
    <n v="22"/>
    <x v="1"/>
    <n v="1149"/>
    <n v="0.56477272727272732"/>
  </r>
  <r>
    <s v="ORD-00245"/>
    <d v="2024-01-26T00:00:00"/>
    <s v="CUST-0114"/>
    <x v="4"/>
    <s v="R013"/>
    <n v="1"/>
    <n v="3160"/>
    <n v="11.5"/>
    <n v="2796.6"/>
    <s v="Completed"/>
    <s v="Bengaluru"/>
    <s v="Apparel"/>
    <s v="Corporate"/>
    <n v="42"/>
    <x v="1"/>
    <n v="1886"/>
    <n v="0.4031645569620253"/>
  </r>
  <r>
    <s v="ORD-00246"/>
    <d v="2024-12-24T00:00:00"/>
    <s v="CUST-0295"/>
    <x v="18"/>
    <s v="R007"/>
    <n v="4"/>
    <n v="1080"/>
    <n v="20.7"/>
    <n v="3425.76"/>
    <s v="Pending"/>
    <s v="Delhi"/>
    <s v="Home"/>
    <s v="SMB"/>
    <n v="48"/>
    <x v="0"/>
    <n v="519"/>
    <n v="0.51944444444444449"/>
  </r>
  <r>
    <s v="ORD-00247"/>
    <d v="2024-10-20T00:00:00"/>
    <s v="CUST-0218"/>
    <x v="23"/>
    <s v="R013"/>
    <n v="4"/>
    <n v="1010"/>
    <n v="29.5"/>
    <n v="2848.2"/>
    <s v="Pending"/>
    <s v="Mumbai"/>
    <s v="Sports"/>
    <s v="Retail"/>
    <n v="39"/>
    <x v="1"/>
    <n v="516"/>
    <n v="0.4891089108910891"/>
  </r>
  <r>
    <s v="ORD-00248"/>
    <d v="2024-09-10T00:00:00"/>
    <s v="CUST-0090"/>
    <x v="12"/>
    <s v="R027"/>
    <n v="7"/>
    <n v="2600"/>
    <n v="6.6"/>
    <n v="16998.8"/>
    <s v="Completed"/>
    <s v="Bengaluru"/>
    <s v="Electronics"/>
    <s v="Corporate"/>
    <n v="26"/>
    <x v="2"/>
    <n v="1052"/>
    <n v="0.5953846153846154"/>
  </r>
  <r>
    <s v="ORD-00249"/>
    <d v="2024-04-13T00:00:00"/>
    <s v="CUST-0194"/>
    <x v="47"/>
    <s v="R009"/>
    <n v="4"/>
    <n v="2510"/>
    <n v="1"/>
    <n v="9939.6"/>
    <s v="Completed"/>
    <s v="Delhi"/>
    <s v="Apparel"/>
    <s v="SMB"/>
    <n v="55"/>
    <x v="1"/>
    <n v="1075"/>
    <n v="0.57171314741035861"/>
  </r>
  <r>
    <s v="ORD-00250"/>
    <d v="2024-12-10T00:00:00"/>
    <s v="CUST-0231"/>
    <x v="37"/>
    <s v="R022"/>
    <n v="9"/>
    <n v="4070"/>
    <n v="6.7"/>
    <n v="34175.79"/>
    <s v="Cancelled"/>
    <s v="Chennai"/>
    <s v="Grocery"/>
    <s v="Retail"/>
    <n v="61"/>
    <x v="3"/>
    <n v="2027"/>
    <n v="0.50196560196560192"/>
  </r>
  <r>
    <s v="ORD-00251"/>
    <d v="2024-11-16T00:00:00"/>
    <s v="CUST-0055"/>
    <x v="1"/>
    <s v="R010"/>
    <n v="6"/>
    <n v="820"/>
    <n v="14"/>
    <n v="4231.2"/>
    <s v="Completed"/>
    <s v="Bengaluru"/>
    <s v="Apparel"/>
    <s v="Retail"/>
    <n v="34"/>
    <x v="1"/>
    <n v="391"/>
    <n v="0.52317073170731709"/>
  </r>
  <r>
    <s v="ORD-00252"/>
    <d v="2024-07-22T00:00:00"/>
    <s v="CUST-0262"/>
    <x v="9"/>
    <s v="R005"/>
    <n v="2"/>
    <n v="970"/>
    <n v="23.8"/>
    <n v="1478.28"/>
    <s v="Completed"/>
    <s v="Mumbai"/>
    <s v="Grocery"/>
    <s v="Retail"/>
    <n v="52"/>
    <x v="0"/>
    <n v="434"/>
    <n v="0.5525773195876289"/>
  </r>
  <r>
    <s v="ORD-00253"/>
    <d v="2024-02-15T00:00:00"/>
    <s v="CUST-0155"/>
    <x v="37"/>
    <s v="R012"/>
    <n v="4"/>
    <n v="4070"/>
    <n v="19"/>
    <n v="13186.8"/>
    <s v="Pending"/>
    <s v="Pune"/>
    <s v="Grocery"/>
    <s v="Corporate"/>
    <n v="40"/>
    <x v="1"/>
    <n v="2027"/>
    <n v="0.50196560196560192"/>
  </r>
  <r>
    <s v="ORD-00254"/>
    <d v="2024-02-11T00:00:00"/>
    <s v="CUST-0169"/>
    <x v="16"/>
    <s v="R017"/>
    <n v="3"/>
    <n v="3450"/>
    <n v="4.4000000000000004"/>
    <n v="9894.6"/>
    <s v="Cancelled"/>
    <s v="Bengaluru"/>
    <s v="Beauty"/>
    <s v="SMB"/>
    <n v="42"/>
    <x v="3"/>
    <n v="2420"/>
    <n v="0.29855072463768118"/>
  </r>
  <r>
    <s v="ORD-00255"/>
    <d v="2024-08-07T00:00:00"/>
    <s v="CUST-0208"/>
    <x v="31"/>
    <s v="R010"/>
    <n v="5"/>
    <n v="3780"/>
    <n v="13.5"/>
    <n v="16348.5"/>
    <s v="Completed"/>
    <s v="Mumbai"/>
    <s v="Grocery"/>
    <s v="Retail"/>
    <n v="49"/>
    <x v="1"/>
    <n v="2436"/>
    <n v="0.35555555555555557"/>
  </r>
  <r>
    <s v="ORD-00256"/>
    <d v="2024-10-30T00:00:00"/>
    <s v="CUST-0249"/>
    <x v="6"/>
    <s v="R004"/>
    <n v="1"/>
    <n v="960"/>
    <n v="29.2"/>
    <n v="679.68"/>
    <s v="Completed"/>
    <s v="Mumbai"/>
    <s v="Sports"/>
    <s v="Retail"/>
    <n v="44"/>
    <x v="0"/>
    <n v="705"/>
    <n v="0.265625"/>
  </r>
  <r>
    <s v="ORD-00257"/>
    <d v="2024-01-30T00:00:00"/>
    <s v="CUST-0151"/>
    <x v="25"/>
    <s v="R022"/>
    <n v="10"/>
    <n v="3570"/>
    <n v="10.7"/>
    <n v="31880.1"/>
    <s v="Completed"/>
    <s v="Mumbai"/>
    <s v="Electronics"/>
    <s v="Retail"/>
    <n v="53"/>
    <x v="3"/>
    <n v="1665"/>
    <n v="0.53361344537815125"/>
  </r>
  <r>
    <s v="ORD-00258"/>
    <d v="2024-08-07T00:00:00"/>
    <s v="CUST-0115"/>
    <x v="25"/>
    <s v="R024"/>
    <n v="7"/>
    <n v="3570"/>
    <n v="12.2"/>
    <n v="21941.22"/>
    <s v="Completed"/>
    <s v="Mumbai"/>
    <s v="Electronics"/>
    <s v="SMB"/>
    <n v="65"/>
    <x v="2"/>
    <n v="1665"/>
    <n v="0.53361344537815125"/>
  </r>
  <r>
    <s v="ORD-00259"/>
    <d v="2024-10-10T00:00:00"/>
    <s v="CUST-0041"/>
    <x v="18"/>
    <s v="R014"/>
    <n v="6"/>
    <n v="1080"/>
    <n v="19.8"/>
    <n v="5196.96"/>
    <s v="Completed"/>
    <s v="Bengaluru"/>
    <s v="Home"/>
    <s v="SMB"/>
    <n v="26"/>
    <x v="1"/>
    <n v="519"/>
    <n v="0.51944444444444449"/>
  </r>
  <r>
    <s v="ORD-00260"/>
    <d v="2024-12-23T00:00:00"/>
    <s v="CUST-0101"/>
    <x v="55"/>
    <s v="R010"/>
    <n v="8"/>
    <n v="3450"/>
    <n v="19"/>
    <n v="22356"/>
    <s v="Completed"/>
    <s v="Hyderabad"/>
    <s v="Apparel"/>
    <s v="SMB"/>
    <n v="40"/>
    <x v="1"/>
    <n v="1748"/>
    <n v="0.49333333333333335"/>
  </r>
  <r>
    <s v="ORD-00261"/>
    <d v="2024-03-20T00:00:00"/>
    <s v="CUST-0198"/>
    <x v="41"/>
    <s v="R023"/>
    <n v="4"/>
    <n v="2660"/>
    <n v="18.8"/>
    <n v="8639.68"/>
    <s v="Pending"/>
    <s v="Chennai"/>
    <s v="Electronics"/>
    <s v="Corporate"/>
    <n v="22"/>
    <x v="3"/>
    <n v="1259"/>
    <n v="0.52669172932330832"/>
  </r>
  <r>
    <s v="ORD-00262"/>
    <d v="2024-08-18T00:00:00"/>
    <s v="CUST-0200"/>
    <x v="15"/>
    <s v="R009"/>
    <n v="4"/>
    <n v="2400"/>
    <n v="5.6"/>
    <n v="9062.4"/>
    <s v="Completed"/>
    <s v="Hyderabad"/>
    <s v="Sports"/>
    <s v="Corporate"/>
    <n v="46"/>
    <x v="1"/>
    <n v="974"/>
    <n v="0.59416666666666662"/>
  </r>
  <r>
    <s v="ORD-00263"/>
    <d v="2024-08-09T00:00:00"/>
    <s v="CUST-0110"/>
    <x v="12"/>
    <s v="R003"/>
    <n v="10"/>
    <n v="2600"/>
    <n v="24.7"/>
    <n v="19578"/>
    <s v="Completed"/>
    <s v="Pune"/>
    <s v="Electronics"/>
    <s v="Corporate"/>
    <n v="31"/>
    <x v="0"/>
    <n v="1052"/>
    <n v="0.5953846153846154"/>
  </r>
  <r>
    <s v="ORD-00264"/>
    <d v="2024-08-09T00:00:00"/>
    <s v="CUST-0134"/>
    <x v="46"/>
    <s v="R004"/>
    <n v="3"/>
    <n v="4060"/>
    <n v="6.9"/>
    <n v="11339.58"/>
    <s v="Completed"/>
    <s v="Delhi"/>
    <s v="Grocery"/>
    <s v="Retail"/>
    <n v="40"/>
    <x v="0"/>
    <n v="2911"/>
    <n v="0.28300492610837441"/>
  </r>
  <r>
    <s v="ORD-00265"/>
    <d v="2024-06-22T00:00:00"/>
    <s v="CUST-0141"/>
    <x v="8"/>
    <s v="R023"/>
    <n v="6"/>
    <n v="5490"/>
    <n v="8.4"/>
    <n v="30173.040000000001"/>
    <s v="Completed"/>
    <s v="Hyderabad"/>
    <s v="Home"/>
    <s v="Corporate"/>
    <n v="22"/>
    <x v="3"/>
    <n v="2549"/>
    <n v="0.53570127504553733"/>
  </r>
  <r>
    <s v="ORD-00266"/>
    <d v="2024-04-25T00:00:00"/>
    <s v="CUST-0163"/>
    <x v="5"/>
    <s v="R018"/>
    <n v="6"/>
    <n v="370"/>
    <n v="15.1"/>
    <n v="1884.78"/>
    <s v="Completed"/>
    <s v="Pune"/>
    <s v="Home"/>
    <s v="Retail"/>
    <n v="49"/>
    <x v="3"/>
    <n v="288"/>
    <n v="0.22162162162162163"/>
  </r>
  <r>
    <s v="ORD-00267"/>
    <d v="2024-04-23T00:00:00"/>
    <s v="CUST-0181"/>
    <x v="43"/>
    <s v="R023"/>
    <n v="5"/>
    <n v="620"/>
    <n v="13.1"/>
    <n v="2693.9"/>
    <s v="Cancelled"/>
    <s v="Delhi"/>
    <s v="Apparel"/>
    <s v="SMB"/>
    <n v="38"/>
    <x v="3"/>
    <n v="396"/>
    <n v="0.36129032258064514"/>
  </r>
  <r>
    <s v="ORD-00268"/>
    <d v="2024-02-10T00:00:00"/>
    <s v="CUST-0133"/>
    <x v="13"/>
    <s v="R029"/>
    <n v="9"/>
    <n v="3250"/>
    <n v="16.5"/>
    <n v="24423.75"/>
    <s v="Completed"/>
    <s v="Chennai"/>
    <s v="Home"/>
    <s v="Retail"/>
    <n v="26"/>
    <x v="2"/>
    <n v="1556"/>
    <n v="0.52123076923076928"/>
  </r>
  <r>
    <s v="ORD-00269"/>
    <d v="2024-01-08T00:00:00"/>
    <s v="CUST-0095"/>
    <x v="33"/>
    <s v="R011"/>
    <n v="1"/>
    <n v="6080"/>
    <n v="0.1"/>
    <n v="6073.92"/>
    <s v="Completed"/>
    <s v="Mumbai"/>
    <s v="Beauty"/>
    <s v="SMB"/>
    <n v="54"/>
    <x v="1"/>
    <n v="2617"/>
    <n v="0.56957236842105263"/>
  </r>
  <r>
    <s v="ORD-00270"/>
    <d v="2024-04-04T00:00:00"/>
    <s v="CUST-0171"/>
    <x v="32"/>
    <s v="R014"/>
    <n v="8"/>
    <n v="3640"/>
    <n v="13.5"/>
    <n v="25188.799999999999"/>
    <s v="Completed"/>
    <s v="Chennai"/>
    <s v="Apparel"/>
    <s v="Corporate"/>
    <n v="30"/>
    <x v="1"/>
    <n v="2611"/>
    <n v="0.28269230769230769"/>
  </r>
  <r>
    <s v="ORD-00271"/>
    <d v="2024-06-29T00:00:00"/>
    <s v="CUST-0238"/>
    <x v="4"/>
    <s v="R005"/>
    <n v="9"/>
    <n v="3160"/>
    <n v="29.7"/>
    <n v="19993.32"/>
    <s v="Completed"/>
    <s v="Delhi"/>
    <s v="Apparel"/>
    <s v="Retail"/>
    <n v="49"/>
    <x v="0"/>
    <n v="1886"/>
    <n v="0.4031645569620253"/>
  </r>
  <r>
    <s v="ORD-00272"/>
    <d v="2024-05-16T00:00:00"/>
    <s v="CUST-0185"/>
    <x v="35"/>
    <s v="R007"/>
    <n v="2"/>
    <n v="3870"/>
    <n v="18.100000000000001"/>
    <n v="6339.06"/>
    <s v="Cancelled"/>
    <s v="Hyderabad"/>
    <s v="Electronics"/>
    <s v="SMB"/>
    <n v="43"/>
    <x v="0"/>
    <n v="1559"/>
    <n v="0.59715762273901807"/>
  </r>
  <r>
    <s v="ORD-00273"/>
    <d v="2024-05-18T00:00:00"/>
    <s v="CUST-0167"/>
    <x v="29"/>
    <s v="R030"/>
    <n v="3"/>
    <n v="660"/>
    <n v="9.1999999999999993"/>
    <n v="1797.84"/>
    <s v="Completed"/>
    <s v="Delhi"/>
    <s v="Home"/>
    <s v="Retail"/>
    <n v="43"/>
    <x v="2"/>
    <n v="329"/>
    <n v="0.50151515151515147"/>
  </r>
  <r>
    <s v="ORD-00274"/>
    <d v="2024-05-06T00:00:00"/>
    <s v="CUST-0224"/>
    <x v="46"/>
    <s v="R013"/>
    <n v="4"/>
    <n v="4060"/>
    <n v="28"/>
    <n v="11692.8"/>
    <s v="Completed"/>
    <s v="Chennai"/>
    <s v="Grocery"/>
    <s v="Corporate"/>
    <n v="24"/>
    <x v="1"/>
    <n v="2911"/>
    <n v="0.28300492610837441"/>
  </r>
  <r>
    <s v="ORD-00275"/>
    <d v="2024-03-09T00:00:00"/>
    <s v="CUST-0181"/>
    <x v="54"/>
    <s v="R016"/>
    <n v="2"/>
    <n v="5080"/>
    <n v="7.7"/>
    <n v="9377.68"/>
    <s v="Refunded"/>
    <s v="Delhi"/>
    <s v="Home"/>
    <s v="SMB"/>
    <n v="38"/>
    <x v="1"/>
    <n v="2459"/>
    <n v="0.51594488188976373"/>
  </r>
  <r>
    <s v="ORD-00276"/>
    <d v="2024-01-05T00:00:00"/>
    <s v="CUST-0020"/>
    <x v="25"/>
    <s v="R005"/>
    <n v="3"/>
    <n v="3570"/>
    <n v="9.5"/>
    <n v="9692.5499999999993"/>
    <s v="Completed"/>
    <s v="Hyderabad"/>
    <s v="Electronics"/>
    <s v="Retail"/>
    <n v="46"/>
    <x v="0"/>
    <n v="1665"/>
    <n v="0.53361344537815125"/>
  </r>
  <r>
    <s v="ORD-00277"/>
    <d v="2024-06-17T00:00:00"/>
    <s v="CUST-0183"/>
    <x v="43"/>
    <s v="R020"/>
    <n v="2"/>
    <n v="620"/>
    <n v="29.5"/>
    <n v="874.2"/>
    <s v="Completed"/>
    <s v="Mumbai"/>
    <s v="Apparel"/>
    <s v="SMB"/>
    <n v="27"/>
    <x v="3"/>
    <n v="396"/>
    <n v="0.36129032258064514"/>
  </r>
  <r>
    <s v="ORD-00278"/>
    <d v="2024-12-12T00:00:00"/>
    <s v="CUST-0028"/>
    <x v="55"/>
    <s v="R013"/>
    <n v="3"/>
    <n v="3450"/>
    <n v="3"/>
    <n v="10039.5"/>
    <s v="Completed"/>
    <s v="Bengaluru"/>
    <s v="Apparel"/>
    <s v="Retail"/>
    <n v="59"/>
    <x v="1"/>
    <n v="1748"/>
    <n v="0.49333333333333335"/>
  </r>
  <r>
    <s v="ORD-00279"/>
    <d v="2024-04-26T00:00:00"/>
    <s v="CUST-0121"/>
    <x v="26"/>
    <s v="R006"/>
    <n v="7"/>
    <n v="5100"/>
    <n v="4.3"/>
    <n v="34164.9"/>
    <s v="Completed"/>
    <s v="Delhi"/>
    <s v="Beauty"/>
    <s v="SMB"/>
    <n v="55"/>
    <x v="0"/>
    <n v="2237"/>
    <n v="0.56137254901960787"/>
  </r>
  <r>
    <s v="ORD-00280"/>
    <d v="2024-09-06T00:00:00"/>
    <s v="CUST-0192"/>
    <x v="35"/>
    <s v="R003"/>
    <n v="9"/>
    <n v="3870"/>
    <n v="4.8"/>
    <n v="33158.160000000003"/>
    <s v="Completed"/>
    <s v="Bengaluru"/>
    <s v="Electronics"/>
    <s v="Retail"/>
    <n v="55"/>
    <x v="0"/>
    <n v="1559"/>
    <n v="0.59715762273901807"/>
  </r>
  <r>
    <s v="ORD-00281"/>
    <d v="2024-12-07T00:00:00"/>
    <s v="CUST-0155"/>
    <x v="38"/>
    <s v="R029"/>
    <n v="5"/>
    <n v="1220"/>
    <n v="4"/>
    <n v="5856"/>
    <s v="Cancelled"/>
    <s v="Pune"/>
    <s v="Electronics"/>
    <s v="Corporate"/>
    <n v="40"/>
    <x v="2"/>
    <n v="517"/>
    <n v="0.57622950819672136"/>
  </r>
  <r>
    <s v="ORD-00282"/>
    <d v="2024-02-16T00:00:00"/>
    <s v="CUST-0159"/>
    <x v="8"/>
    <s v="R023"/>
    <n v="5"/>
    <n v="5490"/>
    <n v="19.8"/>
    <n v="22014.9"/>
    <s v="Completed"/>
    <s v="Hyderabad"/>
    <s v="Home"/>
    <s v="Retail"/>
    <n v="32"/>
    <x v="3"/>
    <n v="2549"/>
    <n v="0.53570127504553733"/>
  </r>
  <r>
    <s v="ORD-00283"/>
    <d v="2024-08-25T00:00:00"/>
    <s v="CUST-0025"/>
    <x v="21"/>
    <s v="R001"/>
    <n v="1"/>
    <n v="1650"/>
    <n v="26.2"/>
    <n v="1217.7"/>
    <s v="Completed"/>
    <s v="Bengaluru"/>
    <s v="Beauty"/>
    <s v="Retail"/>
    <n v="23"/>
    <x v="0"/>
    <n v="1222"/>
    <n v="0.2593939393939394"/>
  </r>
  <r>
    <s v="ORD-00284"/>
    <d v="2024-06-17T00:00:00"/>
    <s v="CUST-0297"/>
    <x v="41"/>
    <s v="R003"/>
    <n v="1"/>
    <n v="2660"/>
    <n v="21"/>
    <n v="2101.4"/>
    <s v="Completed"/>
    <s v="Hyderabad"/>
    <s v="Electronics"/>
    <s v="Retail"/>
    <n v="50"/>
    <x v="0"/>
    <n v="1259"/>
    <n v="0.52669172932330832"/>
  </r>
  <r>
    <s v="ORD-00285"/>
    <d v="2024-03-24T00:00:00"/>
    <s v="CUST-0108"/>
    <x v="45"/>
    <s v="R003"/>
    <n v="6"/>
    <n v="2210"/>
    <n v="9.8000000000000007"/>
    <n v="11960.52"/>
    <s v="Pending"/>
    <s v="Bengaluru"/>
    <s v="Grocery"/>
    <s v="Corporate"/>
    <n v="59"/>
    <x v="0"/>
    <n v="1010"/>
    <n v="0.54298642533936647"/>
  </r>
  <r>
    <s v="ORD-00286"/>
    <d v="2024-01-19T00:00:00"/>
    <s v="CUST-0121"/>
    <x v="12"/>
    <s v="R001"/>
    <n v="9"/>
    <n v="2600"/>
    <n v="15.7"/>
    <n v="19726.2"/>
    <s v="Completed"/>
    <s v="Delhi"/>
    <s v="Electronics"/>
    <s v="SMB"/>
    <n v="55"/>
    <x v="0"/>
    <n v="1052"/>
    <n v="0.5953846153846154"/>
  </r>
  <r>
    <s v="ORD-00287"/>
    <d v="2024-01-23T00:00:00"/>
    <s v="CUST-0160"/>
    <x v="40"/>
    <s v="R025"/>
    <n v="3"/>
    <n v="3020"/>
    <n v="22.6"/>
    <n v="7012.44"/>
    <s v="Completed"/>
    <s v="Hyderabad"/>
    <s v="Beauty"/>
    <s v="Retail"/>
    <n v="27"/>
    <x v="2"/>
    <n v="1626"/>
    <n v="0.46158940397350995"/>
  </r>
  <r>
    <s v="ORD-00288"/>
    <d v="2024-06-16T00:00:00"/>
    <s v="CUST-0230"/>
    <x v="5"/>
    <s v="R005"/>
    <n v="6"/>
    <n v="370"/>
    <n v="12.4"/>
    <n v="1944.72"/>
    <s v="Completed"/>
    <s v="Pune"/>
    <s v="Home"/>
    <s v="Corporate"/>
    <n v="33"/>
    <x v="0"/>
    <n v="288"/>
    <n v="0.22162162162162163"/>
  </r>
  <r>
    <s v="ORD-00289"/>
    <d v="2024-01-21T00:00:00"/>
    <s v="CUST-0151"/>
    <x v="49"/>
    <s v="R006"/>
    <n v="8"/>
    <n v="5330"/>
    <n v="16.2"/>
    <n v="35732.32"/>
    <s v="Completed"/>
    <s v="Mumbai"/>
    <s v="Electronics"/>
    <s v="Retail"/>
    <n v="53"/>
    <x v="0"/>
    <n v="2405"/>
    <n v="0.54878048780487809"/>
  </r>
  <r>
    <s v="ORD-00290"/>
    <d v="2024-07-27T00:00:00"/>
    <s v="CUST-0222"/>
    <x v="59"/>
    <s v="R030"/>
    <n v="4"/>
    <n v="3560"/>
    <n v="10.5"/>
    <n v="12744.8"/>
    <s v="Completed"/>
    <s v="Chennai"/>
    <s v="Apparel"/>
    <s v="Retail"/>
    <n v="37"/>
    <x v="2"/>
    <n v="2629"/>
    <n v="0.26151685393258428"/>
  </r>
  <r>
    <s v="ORD-00291"/>
    <d v="2024-04-07T00:00:00"/>
    <s v="CUST-0055"/>
    <x v="23"/>
    <s v="R030"/>
    <n v="10"/>
    <n v="1010"/>
    <n v="10.8"/>
    <n v="9009.2000000000007"/>
    <s v="Completed"/>
    <s v="Bengaluru"/>
    <s v="Sports"/>
    <s v="Retail"/>
    <n v="34"/>
    <x v="2"/>
    <n v="516"/>
    <n v="0.4891089108910891"/>
  </r>
  <r>
    <s v="ORD-00292"/>
    <d v="2024-11-23T00:00:00"/>
    <s v="CUST-0011"/>
    <x v="58"/>
    <s v="R006"/>
    <n v="8"/>
    <n v="6940"/>
    <n v="3.2"/>
    <n v="53743.360000000001"/>
    <s v="Cancelled"/>
    <s v="Chennai"/>
    <s v="Sports"/>
    <s v="Corporate"/>
    <n v="41"/>
    <x v="0"/>
    <n v="2827"/>
    <n v="0.5926512968299712"/>
  </r>
  <r>
    <s v="ORD-00335"/>
    <d v="2024-11-21T00:00:00"/>
    <s v="CUST-0020"/>
    <x v="4"/>
    <s v="R015"/>
    <n v="7"/>
    <n v="3160"/>
    <n v="3.6"/>
    <n v="21323.68"/>
    <s v="Completed"/>
    <s v="Hyderabad"/>
    <s v="Apparel"/>
    <s v="Retail"/>
    <n v="46"/>
    <x v="1"/>
    <n v="1886"/>
    <n v="0.4031645569620253"/>
  </r>
  <r>
    <s v="ORD-00294"/>
    <d v="2024-12-14T00:00:00"/>
    <s v="CUST-0163"/>
    <x v="3"/>
    <s v="R008"/>
    <n v="2"/>
    <n v="3660"/>
    <n v="30"/>
    <n v="5124"/>
    <s v="Pending"/>
    <s v="Pune"/>
    <s v="Grocery"/>
    <s v="Retail"/>
    <n v="49"/>
    <x v="0"/>
    <n v="2214"/>
    <n v="0.39508196721311473"/>
  </r>
  <r>
    <s v="ORD-00295"/>
    <d v="2024-04-19T00:00:00"/>
    <s v="CUST-0081"/>
    <x v="10"/>
    <s v="R005"/>
    <n v="1"/>
    <n v="2270"/>
    <n v="4.8"/>
    <n v="2161.04"/>
    <s v="Cancelled"/>
    <s v="Mumbai"/>
    <s v="Grocery"/>
    <s v="Retail"/>
    <n v="25"/>
    <x v="0"/>
    <n v="1203"/>
    <n v="0.47004405286343615"/>
  </r>
  <r>
    <s v="ORD-00296"/>
    <d v="2024-04-23T00:00:00"/>
    <s v="CUST-0053"/>
    <x v="56"/>
    <s v="R025"/>
    <n v="8"/>
    <n v="3780"/>
    <n v="13"/>
    <n v="26308.799999999999"/>
    <s v="Completed"/>
    <s v="Delhi"/>
    <s v="Sports"/>
    <s v="Retail"/>
    <n v="53"/>
    <x v="2"/>
    <n v="1860"/>
    <n v="0.50793650793650791"/>
  </r>
  <r>
    <s v="ORD-01770"/>
    <d v="2024-09-02T00:00:00"/>
    <s v="CUST-0115"/>
    <x v="32"/>
    <s v="R012"/>
    <n v="1"/>
    <n v="3640"/>
    <n v="15.3"/>
    <n v="3083.08"/>
    <s v="Pending"/>
    <s v="Mumbai"/>
    <s v="Apparel"/>
    <s v="SMB"/>
    <n v="65"/>
    <x v="1"/>
    <n v="2611"/>
    <n v="0.28269230769230769"/>
  </r>
  <r>
    <s v="ORD-00298"/>
    <d v="2024-07-02T00:00:00"/>
    <s v="CUST-0166"/>
    <x v="38"/>
    <s v="R009"/>
    <n v="8"/>
    <n v="1220"/>
    <n v="28.2"/>
    <n v="7007.68"/>
    <s v="Completed"/>
    <s v="Hyderabad"/>
    <s v="Electronics"/>
    <s v="Retail"/>
    <n v="31"/>
    <x v="1"/>
    <n v="517"/>
    <n v="0.57622950819672136"/>
  </r>
  <r>
    <s v="ORD-00299"/>
    <d v="2024-11-28T00:00:00"/>
    <s v="CUST-0263"/>
    <x v="47"/>
    <s v="R030"/>
    <n v="3"/>
    <n v="2510"/>
    <n v="17.399999999999999"/>
    <n v="6219.78"/>
    <s v="Completed"/>
    <s v="Mumbai"/>
    <s v="Apparel"/>
    <s v="Retail"/>
    <n v="40"/>
    <x v="2"/>
    <n v="1075"/>
    <n v="0.57171314741035861"/>
  </r>
  <r>
    <s v="ORD-00300"/>
    <d v="2024-12-09T00:00:00"/>
    <s v="CUST-0010"/>
    <x v="18"/>
    <s v="R004"/>
    <n v="1"/>
    <n v="1080"/>
    <n v="13.9"/>
    <n v="929.88"/>
    <s v="Completed"/>
    <s v="Mumbai"/>
    <s v="Home"/>
    <s v="SMB"/>
    <n v="61"/>
    <x v="0"/>
    <n v="519"/>
    <n v="0.51944444444444449"/>
  </r>
  <r>
    <s v="ORD-00301"/>
    <d v="2024-04-13T00:00:00"/>
    <s v="CUST-0036"/>
    <x v="44"/>
    <s v="R016"/>
    <n v="7"/>
    <n v="2030"/>
    <n v="29.2"/>
    <n v="10060.68"/>
    <s v="Completed"/>
    <s v="Mumbai"/>
    <s v="Home"/>
    <s v="Retail"/>
    <n v="35"/>
    <x v="1"/>
    <n v="1143"/>
    <n v="0.43694581280788175"/>
  </r>
  <r>
    <s v="ORD-00302"/>
    <d v="2024-05-03T00:00:00"/>
    <s v="CUST-0259"/>
    <x v="56"/>
    <s v="R020"/>
    <n v="6"/>
    <n v="3780"/>
    <n v="20.9"/>
    <n v="17939.88"/>
    <s v="Refunded"/>
    <s v="Mumbai"/>
    <s v="Sports"/>
    <s v="Retail"/>
    <n v="34"/>
    <x v="3"/>
    <n v="1860"/>
    <n v="0.50793650793650791"/>
  </r>
  <r>
    <s v="ORD-00303"/>
    <d v="2024-12-27T00:00:00"/>
    <s v="CUST-0247"/>
    <x v="4"/>
    <s v="R016"/>
    <n v="1"/>
    <n v="3160"/>
    <n v="10.7"/>
    <n v="2821.88"/>
    <s v="Completed"/>
    <s v="Pune"/>
    <s v="Apparel"/>
    <s v="SMB"/>
    <n v="35"/>
    <x v="1"/>
    <n v="1886"/>
    <n v="0.4031645569620253"/>
  </r>
  <r>
    <s v="ORD-00881"/>
    <d v="2024-09-29T00:00:00"/>
    <s v="CUST-0191"/>
    <x v="24"/>
    <s v="R010"/>
    <n v="5"/>
    <n v="4880"/>
    <n v="11.4"/>
    <n v="21618.400000000001"/>
    <s v="Completed"/>
    <s v="Hyderabad"/>
    <s v="Beauty"/>
    <s v="SMB"/>
    <n v="43"/>
    <x v="1"/>
    <n v="2768"/>
    <n v="0.43278688524590164"/>
  </r>
  <r>
    <s v="ORD-00305"/>
    <d v="2024-12-07T00:00:00"/>
    <s v="CUST-0167"/>
    <x v="30"/>
    <s v="R009"/>
    <n v="9"/>
    <n v="3730"/>
    <n v="10"/>
    <n v="30213"/>
    <s v="Completed"/>
    <s v="Delhi"/>
    <s v="Home"/>
    <s v="Retail"/>
    <n v="43"/>
    <x v="1"/>
    <n v="2135"/>
    <n v="0.42761394101876676"/>
  </r>
  <r>
    <s v="ORD-00306"/>
    <d v="2024-01-18T00:00:00"/>
    <s v="CUST-0196"/>
    <x v="54"/>
    <s v="R004"/>
    <n v="5"/>
    <n v="5080"/>
    <n v="15.3"/>
    <n v="21513.8"/>
    <s v="Completed"/>
    <s v="Chennai"/>
    <s v="Home"/>
    <s v="Retail"/>
    <n v="26"/>
    <x v="0"/>
    <n v="2459"/>
    <n v="0.51594488188976373"/>
  </r>
  <r>
    <s v="ORD-00307"/>
    <d v="2024-04-21T00:00:00"/>
    <s v="CUST-0182"/>
    <x v="52"/>
    <s v="R013"/>
    <n v="9"/>
    <n v="2290"/>
    <n v="3.3"/>
    <n v="19929.87"/>
    <s v="Pending"/>
    <s v="Mumbai"/>
    <s v="Beauty"/>
    <s v="Retail"/>
    <n v="54"/>
    <x v="1"/>
    <n v="1219"/>
    <n v="0.46768558951965067"/>
  </r>
  <r>
    <s v="ORD-00308"/>
    <d v="2024-09-19T00:00:00"/>
    <s v="CUST-0246"/>
    <x v="41"/>
    <s v="R010"/>
    <n v="5"/>
    <n v="2660"/>
    <n v="8.3000000000000007"/>
    <n v="12196.1"/>
    <s v="Completed"/>
    <s v="Delhi"/>
    <s v="Electronics"/>
    <s v="SMB"/>
    <n v="29"/>
    <x v="1"/>
    <n v="1259"/>
    <n v="0.52669172932330832"/>
  </r>
  <r>
    <s v="ORD-00309"/>
    <d v="2024-08-25T00:00:00"/>
    <s v="CUST-0132"/>
    <x v="31"/>
    <s v="R025"/>
    <n v="6"/>
    <n v="3780"/>
    <n v="28.3"/>
    <n v="16261.56"/>
    <s v="Completed"/>
    <s v="Delhi"/>
    <s v="Grocery"/>
    <s v="Retail"/>
    <n v="41"/>
    <x v="2"/>
    <n v="2436"/>
    <n v="0.35555555555555557"/>
  </r>
  <r>
    <s v="ORD-00310"/>
    <d v="2024-01-09T00:00:00"/>
    <s v="CUST-0153"/>
    <x v="28"/>
    <s v="R028"/>
    <n v="5"/>
    <n v="2760"/>
    <n v="4.9000000000000004"/>
    <n v="13123.8"/>
    <s v="Completed"/>
    <s v="Mumbai"/>
    <s v="Grocery"/>
    <s v="Retail"/>
    <n v="35"/>
    <x v="2"/>
    <n v="1435"/>
    <n v="0.48007246376811596"/>
  </r>
  <r>
    <s v="ORD-00311"/>
    <d v="2024-03-17T00:00:00"/>
    <s v="CUST-0139"/>
    <x v="36"/>
    <s v="R006"/>
    <n v="8"/>
    <n v="1540"/>
    <n v="29.4"/>
    <n v="8697.92"/>
    <s v="Cancelled"/>
    <s v="Hyderabad"/>
    <s v="Beauty"/>
    <s v="SMB"/>
    <n v="65"/>
    <x v="0"/>
    <n v="647"/>
    <n v="0.57987012987012987"/>
  </r>
  <r>
    <s v="ORD-00312"/>
    <d v="2024-03-23T00:00:00"/>
    <s v="CUST-0256"/>
    <x v="24"/>
    <s v="R022"/>
    <n v="1"/>
    <n v="4880"/>
    <n v="18.100000000000001"/>
    <n v="3996.72"/>
    <s v="Completed"/>
    <s v="Hyderabad"/>
    <s v="Beauty"/>
    <s v="Retail"/>
    <n v="28"/>
    <x v="3"/>
    <n v="2768"/>
    <n v="0.43278688524590164"/>
  </r>
  <r>
    <s v="ORD-00313"/>
    <d v="2024-10-27T00:00:00"/>
    <s v="CUST-0027"/>
    <x v="10"/>
    <s v="R015"/>
    <n v="8"/>
    <n v="2270"/>
    <n v="19.8"/>
    <n v="14564.32"/>
    <s v="Pending"/>
    <s v="Hyderabad"/>
    <s v="Grocery"/>
    <s v="Corporate"/>
    <n v="52"/>
    <x v="1"/>
    <n v="1203"/>
    <n v="0.47004405286343615"/>
  </r>
  <r>
    <s v="ORD-00314"/>
    <d v="2024-08-04T00:00:00"/>
    <s v="CUST-0151"/>
    <x v="19"/>
    <s v="R010"/>
    <n v="10"/>
    <n v="2480"/>
    <n v="24.4"/>
    <n v="18748.8"/>
    <s v="Pending"/>
    <s v="Mumbai"/>
    <s v="Apparel"/>
    <s v="Retail"/>
    <n v="53"/>
    <x v="1"/>
    <n v="1173"/>
    <n v="0.52701612903225803"/>
  </r>
  <r>
    <s v="ORD-00315"/>
    <d v="2024-07-08T00:00:00"/>
    <s v="CUST-0204"/>
    <x v="40"/>
    <s v="R014"/>
    <n v="8"/>
    <n v="3020"/>
    <n v="15.2"/>
    <n v="20487.68"/>
    <s v="Pending"/>
    <s v="Hyderabad"/>
    <s v="Beauty"/>
    <s v="Retail"/>
    <n v="60"/>
    <x v="1"/>
    <n v="1626"/>
    <n v="0.46158940397350995"/>
  </r>
  <r>
    <s v="ORD-00316"/>
    <d v="2024-08-13T00:00:00"/>
    <s v="CUST-0084"/>
    <x v="36"/>
    <s v="R019"/>
    <n v="10"/>
    <n v="1540"/>
    <n v="0.6"/>
    <n v="15307.6"/>
    <s v="Completed"/>
    <s v="Chennai"/>
    <s v="Beauty"/>
    <s v="Retail"/>
    <n v="28"/>
    <x v="3"/>
    <n v="647"/>
    <n v="0.57987012987012987"/>
  </r>
  <r>
    <s v="ORD-00317"/>
    <d v="2024-12-06T00:00:00"/>
    <s v="CUST-0048"/>
    <x v="4"/>
    <s v="R001"/>
    <n v="7"/>
    <n v="3160"/>
    <n v="8.9"/>
    <n v="20151.32"/>
    <s v="Completed"/>
    <s v="Delhi"/>
    <s v="Apparel"/>
    <s v="Retail"/>
    <n v="59"/>
    <x v="0"/>
    <n v="1886"/>
    <n v="0.4031645569620253"/>
  </r>
  <r>
    <s v="ORD-00318"/>
    <d v="2024-10-27T00:00:00"/>
    <s v="CUST-0013"/>
    <x v="23"/>
    <s v="R013"/>
    <n v="6"/>
    <n v="1010"/>
    <n v="12.9"/>
    <n v="5278.26"/>
    <s v="Completed"/>
    <s v="Delhi"/>
    <s v="Sports"/>
    <s v="Retail"/>
    <n v="41"/>
    <x v="1"/>
    <n v="516"/>
    <n v="0.4891089108910891"/>
  </r>
  <r>
    <s v="ORD-00319"/>
    <d v="2024-06-07T00:00:00"/>
    <s v="CUST-0245"/>
    <x v="39"/>
    <s v="R020"/>
    <n v="4"/>
    <n v="4610"/>
    <n v="18.2"/>
    <n v="15083.92"/>
    <s v="Completed"/>
    <s v="Hyderabad"/>
    <s v="Home"/>
    <s v="Retail"/>
    <n v="65"/>
    <x v="3"/>
    <n v="1850"/>
    <n v="0.59869848156182215"/>
  </r>
  <r>
    <s v="ORD-00320"/>
    <d v="2024-02-21T00:00:00"/>
    <s v="CUST-0031"/>
    <x v="46"/>
    <s v="R029"/>
    <n v="6"/>
    <n v="4060"/>
    <n v="24.3"/>
    <n v="18440.52"/>
    <s v="Completed"/>
    <s v="Hyderabad"/>
    <s v="Grocery"/>
    <s v="Retail"/>
    <n v="53"/>
    <x v="2"/>
    <n v="2911"/>
    <n v="0.28300492610837441"/>
  </r>
  <r>
    <s v="ORD-00321"/>
    <d v="2024-08-05T00:00:00"/>
    <s v="CUST-0212"/>
    <x v="43"/>
    <s v="R001"/>
    <n v="5"/>
    <n v="620"/>
    <n v="10.7"/>
    <n v="2768.3"/>
    <s v="Refunded"/>
    <s v="Chennai"/>
    <s v="Apparel"/>
    <s v="SMB"/>
    <n v="46"/>
    <x v="0"/>
    <n v="396"/>
    <n v="0.36129032258064514"/>
  </r>
  <r>
    <s v="ORD-00322"/>
    <d v="2024-08-09T00:00:00"/>
    <s v="CUST-0104"/>
    <x v="59"/>
    <s v="R003"/>
    <n v="3"/>
    <n v="3560"/>
    <n v="4.0999999999999996"/>
    <n v="10242.120000000001"/>
    <s v="Completed"/>
    <s v="Hyderabad"/>
    <s v="Apparel"/>
    <s v="Corporate"/>
    <n v="43"/>
    <x v="0"/>
    <n v="2629"/>
    <n v="0.26151685393258428"/>
  </r>
  <r>
    <s v="ORD-00323"/>
    <d v="2024-07-27T00:00:00"/>
    <s v="CUST-0157"/>
    <x v="15"/>
    <s v="R012"/>
    <n v="2"/>
    <n v="2400"/>
    <n v="13"/>
    <n v="4176"/>
    <s v="Completed"/>
    <s v="Pune"/>
    <s v="Sports"/>
    <s v="Corporate"/>
    <n v="52"/>
    <x v="1"/>
    <n v="974"/>
    <n v="0.59416666666666662"/>
  </r>
  <r>
    <s v="ORD-00324"/>
    <d v="2024-04-25T00:00:00"/>
    <s v="CUST-0004"/>
    <x v="58"/>
    <s v="R006"/>
    <n v="9"/>
    <n v="6940"/>
    <n v="26.2"/>
    <n v="46095.48"/>
    <s v="Completed"/>
    <s v="Delhi"/>
    <s v="Sports"/>
    <s v="Retail"/>
    <n v="53"/>
    <x v="0"/>
    <n v="2827"/>
    <n v="0.5926512968299712"/>
  </r>
  <r>
    <s v="ORD-00325"/>
    <d v="2024-04-03T00:00:00"/>
    <s v="CUST-0003"/>
    <x v="50"/>
    <s v="R025"/>
    <n v="9"/>
    <n v="2380"/>
    <n v="22.7"/>
    <n v="16557.66"/>
    <s v="Completed"/>
    <s v="Mumbai"/>
    <s v="Grocery"/>
    <s v="Retail"/>
    <n v="33"/>
    <x v="2"/>
    <n v="1182"/>
    <n v="0.50336134453781511"/>
  </r>
  <r>
    <s v="ORD-00326"/>
    <d v="2024-09-07T00:00:00"/>
    <s v="CUST-0175"/>
    <x v="0"/>
    <s v="R028"/>
    <n v="6"/>
    <n v="3620"/>
    <n v="9.1999999999999993"/>
    <n v="19721.759999999998"/>
    <s v="Completed"/>
    <s v="Delhi"/>
    <s v="Apparel"/>
    <s v="Corporate"/>
    <n v="55"/>
    <x v="2"/>
    <n v="2509"/>
    <n v="0.3069060773480663"/>
  </r>
  <r>
    <s v="ORD-00327"/>
    <d v="2024-05-10T00:00:00"/>
    <s v="CUST-0104"/>
    <x v="33"/>
    <s v="R004"/>
    <n v="1"/>
    <n v="6080"/>
    <n v="29.4"/>
    <n v="4292.4799999999996"/>
    <s v="Cancelled"/>
    <s v="Hyderabad"/>
    <s v="Beauty"/>
    <s v="Corporate"/>
    <n v="43"/>
    <x v="0"/>
    <n v="2617"/>
    <n v="0.56957236842105263"/>
  </r>
  <r>
    <s v="ORD-00328"/>
    <d v="2024-02-21T00:00:00"/>
    <s v="CUST-0196"/>
    <x v="1"/>
    <s v="R018"/>
    <n v="6"/>
    <n v="820"/>
    <n v="29.1"/>
    <n v="3488.28"/>
    <s v="Completed"/>
    <s v="Chennai"/>
    <s v="Apparel"/>
    <s v="Retail"/>
    <n v="26"/>
    <x v="3"/>
    <n v="391"/>
    <n v="0.52317073170731709"/>
  </r>
  <r>
    <s v="ORD-00329"/>
    <d v="2024-12-20T00:00:00"/>
    <s v="CUST-0299"/>
    <x v="40"/>
    <s v="R024"/>
    <n v="9"/>
    <n v="3020"/>
    <n v="7.9"/>
    <n v="25032.78"/>
    <s v="Completed"/>
    <s v="Mumbai"/>
    <s v="Beauty"/>
    <s v="Corporate"/>
    <n v="51"/>
    <x v="2"/>
    <n v="1626"/>
    <n v="0.46158940397350995"/>
  </r>
  <r>
    <s v="ORD-00330"/>
    <d v="2024-12-19T00:00:00"/>
    <s v="CUST-0066"/>
    <x v="35"/>
    <s v="R029"/>
    <n v="8"/>
    <n v="3870"/>
    <n v="11.9"/>
    <n v="27275.759999999998"/>
    <s v="Completed"/>
    <s v="Delhi"/>
    <s v="Electronics"/>
    <s v="Retail"/>
    <n v="24"/>
    <x v="2"/>
    <n v="1559"/>
    <n v="0.59715762273901807"/>
  </r>
  <r>
    <s v="ORD-00331"/>
    <d v="2024-08-24T00:00:00"/>
    <s v="CUST-0080"/>
    <x v="16"/>
    <s v="R030"/>
    <n v="6"/>
    <n v="3450"/>
    <n v="13.9"/>
    <n v="17822.7"/>
    <s v="Completed"/>
    <s v="Pune"/>
    <s v="Beauty"/>
    <s v="SMB"/>
    <n v="30"/>
    <x v="2"/>
    <n v="2420"/>
    <n v="0.29855072463768118"/>
  </r>
  <r>
    <s v="ORD-00332"/>
    <d v="2024-12-29T00:00:00"/>
    <s v="CUST-0138"/>
    <x v="26"/>
    <s v="R008"/>
    <n v="9"/>
    <n v="5100"/>
    <n v="2.1"/>
    <n v="44936.1"/>
    <s v="Completed"/>
    <s v="Chennai"/>
    <s v="Beauty"/>
    <s v="Retail"/>
    <n v="24"/>
    <x v="0"/>
    <n v="2237"/>
    <n v="0.56137254901960787"/>
  </r>
  <r>
    <s v="ORD-00333"/>
    <d v="2024-08-14T00:00:00"/>
    <s v="CUST-0253"/>
    <x v="37"/>
    <s v="R008"/>
    <n v="2"/>
    <n v="4070"/>
    <n v="28.6"/>
    <n v="5811.96"/>
    <s v="Completed"/>
    <s v="Delhi"/>
    <s v="Grocery"/>
    <s v="SMB"/>
    <n v="53"/>
    <x v="0"/>
    <n v="2027"/>
    <n v="0.50196560196560192"/>
  </r>
  <r>
    <s v="ORD-00334"/>
    <d v="2024-02-17T00:00:00"/>
    <s v="CUST-0247"/>
    <x v="49"/>
    <s v="R007"/>
    <n v="9"/>
    <n v="5330"/>
    <n v="6.2"/>
    <n v="44995.86"/>
    <s v="Completed"/>
    <s v="Pune"/>
    <s v="Electronics"/>
    <s v="SMB"/>
    <n v="35"/>
    <x v="0"/>
    <n v="2405"/>
    <n v="0.54878048780487809"/>
  </r>
  <r>
    <s v="ORD-00335"/>
    <d v="2024-01-28T00:00:00"/>
    <s v="CUST-0269"/>
    <x v="10"/>
    <s v="R020"/>
    <n v="6"/>
    <n v="2270"/>
    <n v="23.7"/>
    <n v="10392.06"/>
    <s v="Completed"/>
    <s v="Pune"/>
    <s v="Grocery"/>
    <s v="Retail"/>
    <n v="48"/>
    <x v="3"/>
    <n v="1203"/>
    <n v="0.47004405286343615"/>
  </r>
  <r>
    <s v="ORD-00336"/>
    <d v="2024-11-22T00:00:00"/>
    <s v="CUST-0008"/>
    <x v="47"/>
    <s v="R024"/>
    <n v="5"/>
    <n v="2510"/>
    <n v="25"/>
    <n v="9412.5"/>
    <s v="Completed"/>
    <s v="Pune"/>
    <s v="Apparel"/>
    <s v="SMB"/>
    <n v="39"/>
    <x v="2"/>
    <n v="1075"/>
    <n v="0.57171314741035861"/>
  </r>
  <r>
    <s v="ORD-00337"/>
    <d v="2024-02-13T00:00:00"/>
    <s v="CUST-0134"/>
    <x v="50"/>
    <s v="R019"/>
    <n v="9"/>
    <n v="2380"/>
    <n v="16.8"/>
    <n v="17821.439999999999"/>
    <s v="Completed"/>
    <s v="Delhi"/>
    <s v="Grocery"/>
    <s v="Retail"/>
    <n v="40"/>
    <x v="3"/>
    <n v="1182"/>
    <n v="0.50336134453781511"/>
  </r>
  <r>
    <s v="ORD-00338"/>
    <d v="2024-05-08T00:00:00"/>
    <s v="CUST-0016"/>
    <x v="55"/>
    <s v="R008"/>
    <n v="1"/>
    <n v="3450"/>
    <n v="1.5"/>
    <n v="3398.25"/>
    <s v="Refunded"/>
    <s v="Delhi"/>
    <s v="Apparel"/>
    <s v="SMB"/>
    <n v="26"/>
    <x v="0"/>
    <n v="1748"/>
    <n v="0.49333333333333335"/>
  </r>
  <r>
    <s v="ORD-00339"/>
    <d v="2024-01-04T00:00:00"/>
    <s v="CUST-0281"/>
    <x v="25"/>
    <s v="R002"/>
    <n v="5"/>
    <n v="3570"/>
    <n v="12.8"/>
    <n v="15565.2"/>
    <s v="Completed"/>
    <s v="Bengaluru"/>
    <s v="Electronics"/>
    <s v="Corporate"/>
    <n v="57"/>
    <x v="0"/>
    <n v="1665"/>
    <n v="0.53361344537815125"/>
  </r>
  <r>
    <s v="ORD-00340"/>
    <d v="2024-10-25T00:00:00"/>
    <s v="CUST-0267"/>
    <x v="49"/>
    <s v="R029"/>
    <n v="3"/>
    <n v="5330"/>
    <n v="16.2"/>
    <n v="13399.62"/>
    <s v="Completed"/>
    <s v="Hyderabad"/>
    <s v="Electronics"/>
    <s v="Retail"/>
    <n v="27"/>
    <x v="2"/>
    <n v="2405"/>
    <n v="0.54878048780487809"/>
  </r>
  <r>
    <s v="ORD-00341"/>
    <d v="2024-02-19T00:00:00"/>
    <s v="CUST-0279"/>
    <x v="3"/>
    <s v="R027"/>
    <n v="3"/>
    <n v="3660"/>
    <n v="25.3"/>
    <n v="8202.06"/>
    <s v="Completed"/>
    <s v="Mumbai"/>
    <s v="Grocery"/>
    <s v="Retail"/>
    <n v="56"/>
    <x v="2"/>
    <n v="2214"/>
    <n v="0.39508196721311473"/>
  </r>
  <r>
    <s v="ORD-00342"/>
    <d v="2024-11-04T00:00:00"/>
    <s v="CUST-0036"/>
    <x v="23"/>
    <s v="R015"/>
    <n v="2"/>
    <n v="1010"/>
    <n v="29.2"/>
    <n v="1430.16"/>
    <s v="Completed"/>
    <s v="Mumbai"/>
    <s v="Sports"/>
    <s v="Retail"/>
    <n v="35"/>
    <x v="1"/>
    <n v="516"/>
    <n v="0.4891089108910891"/>
  </r>
  <r>
    <s v="ORD-00343"/>
    <d v="2024-08-02T00:00:00"/>
    <s v="CUST-0295"/>
    <x v="18"/>
    <s v="R015"/>
    <n v="1"/>
    <n v="1080"/>
    <n v="1.8"/>
    <n v="1060.56"/>
    <s v="Completed"/>
    <s v="Delhi"/>
    <s v="Home"/>
    <s v="SMB"/>
    <n v="48"/>
    <x v="1"/>
    <n v="519"/>
    <n v="0.51944444444444449"/>
  </r>
  <r>
    <s v="ORD-00344"/>
    <d v="2024-05-02T00:00:00"/>
    <s v="CUST-0106"/>
    <x v="17"/>
    <s v="R010"/>
    <n v="8"/>
    <n v="3450"/>
    <n v="20.399999999999999"/>
    <n v="21969.599999999999"/>
    <s v="Completed"/>
    <s v="Pune"/>
    <s v="Sports"/>
    <s v="Retail"/>
    <n v="22"/>
    <x v="1"/>
    <n v="2467"/>
    <n v="0.28492753623188405"/>
  </r>
  <r>
    <s v="ORD-00593"/>
    <d v="2024-09-18T00:00:00"/>
    <s v="CUST-0070"/>
    <x v="58"/>
    <s v="R015"/>
    <n v="8"/>
    <n v="6940"/>
    <n v="19.399999999999999"/>
    <n v="44749.120000000003"/>
    <s v="Completed"/>
    <s v="Mumbai"/>
    <s v="Sports"/>
    <s v="Retail"/>
    <n v="42"/>
    <x v="1"/>
    <n v="2827"/>
    <n v="0.5926512968299712"/>
  </r>
  <r>
    <s v="ORD-00346"/>
    <d v="2024-05-22T00:00:00"/>
    <s v="CUST-0062"/>
    <x v="36"/>
    <s v="R003"/>
    <n v="2"/>
    <n v="1540"/>
    <n v="9.3000000000000007"/>
    <n v="2793.56"/>
    <s v="Completed"/>
    <s v="Pune"/>
    <s v="Beauty"/>
    <s v="Retail"/>
    <n v="54"/>
    <x v="0"/>
    <n v="647"/>
    <n v="0.57987012987012987"/>
  </r>
  <r>
    <s v="ORD-00347"/>
    <d v="2024-06-03T00:00:00"/>
    <s v="CUST-0241"/>
    <x v="11"/>
    <s v="R015"/>
    <n v="4"/>
    <n v="2640"/>
    <n v="23.2"/>
    <n v="8110.08"/>
    <s v="Refunded"/>
    <s v="Pune"/>
    <s v="Electronics"/>
    <s v="Corporate"/>
    <n v="47"/>
    <x v="1"/>
    <n v="1149"/>
    <n v="0.56477272727272732"/>
  </r>
  <r>
    <s v="ORD-00348"/>
    <d v="2024-11-30T00:00:00"/>
    <s v="CUST-0001"/>
    <x v="48"/>
    <s v="R024"/>
    <n v="6"/>
    <n v="5410"/>
    <n v="29.4"/>
    <n v="22916.76"/>
    <s v="Completed"/>
    <s v="Pune"/>
    <s v="Sports"/>
    <s v="Retail"/>
    <n v="36"/>
    <x v="2"/>
    <n v="2265"/>
    <n v="0.58133086876155271"/>
  </r>
  <r>
    <s v="ORD-00349"/>
    <d v="2024-06-16T00:00:00"/>
    <s v="CUST-0181"/>
    <x v="25"/>
    <s v="R027"/>
    <n v="1"/>
    <n v="3570"/>
    <n v="4.3"/>
    <n v="3416.49"/>
    <s v="Completed"/>
    <s v="Delhi"/>
    <s v="Electronics"/>
    <s v="SMB"/>
    <n v="38"/>
    <x v="2"/>
    <n v="1665"/>
    <n v="0.53361344537815125"/>
  </r>
  <r>
    <s v="ORD-00350"/>
    <d v="2024-08-16T00:00:00"/>
    <s v="CUST-0044"/>
    <x v="5"/>
    <s v="R028"/>
    <n v="2"/>
    <n v="370"/>
    <n v="7.2"/>
    <n v="686.72"/>
    <s v="Completed"/>
    <s v="Hyderabad"/>
    <s v="Home"/>
    <s v="SMB"/>
    <n v="29"/>
    <x v="2"/>
    <n v="288"/>
    <n v="0.22162162162162163"/>
  </r>
  <r>
    <s v="ORD-00351"/>
    <d v="2024-01-23T00:00:00"/>
    <s v="CUST-0218"/>
    <x v="47"/>
    <s v="R017"/>
    <n v="1"/>
    <n v="2510"/>
    <n v="2.4"/>
    <n v="2449.7600000000002"/>
    <s v="Completed"/>
    <s v="Mumbai"/>
    <s v="Apparel"/>
    <s v="Retail"/>
    <n v="39"/>
    <x v="3"/>
    <n v="1075"/>
    <n v="0.57171314741035861"/>
  </r>
  <r>
    <s v="ORD-00352"/>
    <d v="2024-07-07T00:00:00"/>
    <s v="CUST-0061"/>
    <x v="32"/>
    <s v="R022"/>
    <n v="8"/>
    <n v="3640"/>
    <n v="28.7"/>
    <n v="20762.560000000001"/>
    <s v="Pending"/>
    <s v="Hyderabad"/>
    <s v="Apparel"/>
    <s v="Retail"/>
    <n v="64"/>
    <x v="3"/>
    <n v="2611"/>
    <n v="0.28269230769230769"/>
  </r>
  <r>
    <s v="ORD-00353"/>
    <d v="2024-08-16T00:00:00"/>
    <s v="CUST-0143"/>
    <x v="21"/>
    <s v="R029"/>
    <n v="5"/>
    <n v="1650"/>
    <n v="13.4"/>
    <n v="7144.5"/>
    <s v="Pending"/>
    <s v="Chennai"/>
    <s v="Beauty"/>
    <s v="SMB"/>
    <n v="52"/>
    <x v="2"/>
    <n v="1222"/>
    <n v="0.2593939393939394"/>
  </r>
  <r>
    <s v="ORD-00354"/>
    <d v="2024-03-09T00:00:00"/>
    <s v="CUST-0164"/>
    <x v="51"/>
    <s v="R024"/>
    <n v="9"/>
    <n v="960"/>
    <n v="28.6"/>
    <n v="6168.96"/>
    <s v="Pending"/>
    <s v="Chennai"/>
    <s v="Beauty"/>
    <s v="Retail"/>
    <n v="60"/>
    <x v="2"/>
    <n v="675"/>
    <n v="0.296875"/>
  </r>
  <r>
    <s v="ORD-00355"/>
    <d v="2024-07-13T00:00:00"/>
    <s v="CUST-0152"/>
    <x v="31"/>
    <s v="R021"/>
    <n v="4"/>
    <n v="3780"/>
    <n v="25.3"/>
    <n v="11294.64"/>
    <s v="Completed"/>
    <s v="Bengaluru"/>
    <s v="Grocery"/>
    <s v="SMB"/>
    <n v="64"/>
    <x v="3"/>
    <n v="2436"/>
    <n v="0.35555555555555557"/>
  </r>
  <r>
    <s v="ORD-00356"/>
    <d v="2024-09-09T00:00:00"/>
    <s v="CUST-0143"/>
    <x v="21"/>
    <s v="R014"/>
    <n v="4"/>
    <n v="1650"/>
    <n v="13.7"/>
    <n v="5695.8"/>
    <s v="Cancelled"/>
    <s v="Chennai"/>
    <s v="Beauty"/>
    <s v="SMB"/>
    <n v="52"/>
    <x v="1"/>
    <n v="1222"/>
    <n v="0.2593939393939394"/>
  </r>
  <r>
    <s v="ORD-00357"/>
    <d v="2024-10-15T00:00:00"/>
    <s v="CUST-0232"/>
    <x v="0"/>
    <s v="R012"/>
    <n v="6"/>
    <n v="3620"/>
    <n v="21.3"/>
    <n v="17093.64"/>
    <s v="Pending"/>
    <s v="Hyderabad"/>
    <s v="Apparel"/>
    <s v="Retail"/>
    <n v="38"/>
    <x v="1"/>
    <n v="2509"/>
    <n v="0.3069060773480663"/>
  </r>
  <r>
    <s v="ORD-00358"/>
    <d v="2024-01-21T00:00:00"/>
    <s v="CUST-0067"/>
    <x v="34"/>
    <s v="R030"/>
    <n v="10"/>
    <n v="2270"/>
    <n v="17.7"/>
    <n v="18682.099999999999"/>
    <s v="Completed"/>
    <s v="Delhi"/>
    <s v="Grocery"/>
    <s v="SMB"/>
    <n v="59"/>
    <x v="2"/>
    <n v="1412"/>
    <n v="0.37797356828193834"/>
  </r>
  <r>
    <s v="ORD-00359"/>
    <d v="2024-06-04T00:00:00"/>
    <s v="CUST-0292"/>
    <x v="36"/>
    <s v="R013"/>
    <n v="9"/>
    <n v="1540"/>
    <n v="10.7"/>
    <n v="12376.98"/>
    <s v="Completed"/>
    <s v="Bengaluru"/>
    <s v="Beauty"/>
    <s v="Retail"/>
    <n v="32"/>
    <x v="1"/>
    <n v="647"/>
    <n v="0.57987012987012987"/>
  </r>
  <r>
    <s v="ORD-00360"/>
    <d v="2024-11-11T00:00:00"/>
    <s v="CUST-0118"/>
    <x v="27"/>
    <s v="R021"/>
    <n v="9"/>
    <n v="2860"/>
    <n v="12.9"/>
    <n v="22419.54"/>
    <s v="Completed"/>
    <s v="Hyderabad"/>
    <s v="Sports"/>
    <s v="Retail"/>
    <n v="26"/>
    <x v="3"/>
    <n v="2028"/>
    <n v="0.29090909090909089"/>
  </r>
  <r>
    <s v="ORD-00361"/>
    <d v="2024-03-28T00:00:00"/>
    <s v="CUST-0212"/>
    <x v="45"/>
    <s v="R016"/>
    <n v="5"/>
    <n v="2210"/>
    <n v="5.0999999999999996"/>
    <n v="10486.45"/>
    <s v="Completed"/>
    <s v="Chennai"/>
    <s v="Grocery"/>
    <s v="SMB"/>
    <n v="46"/>
    <x v="1"/>
    <n v="1010"/>
    <n v="0.54298642533936647"/>
  </r>
  <r>
    <s v="ORD-00362"/>
    <d v="2024-10-26T00:00:00"/>
    <s v="CUST-0287"/>
    <x v="38"/>
    <s v="R029"/>
    <n v="1"/>
    <n v="1220"/>
    <n v="16.100000000000001"/>
    <n v="1023.58"/>
    <s v="Completed"/>
    <s v="Chennai"/>
    <s v="Electronics"/>
    <s v="SMB"/>
    <n v="53"/>
    <x v="2"/>
    <n v="517"/>
    <n v="0.57622950819672136"/>
  </r>
  <r>
    <s v="ORD-00363"/>
    <d v="2024-09-26T00:00:00"/>
    <s v="CUST-0030"/>
    <x v="25"/>
    <s v="R006"/>
    <n v="2"/>
    <n v="3570"/>
    <n v="1.1000000000000001"/>
    <n v="7061.46"/>
    <s v="Completed"/>
    <s v="Bengaluru"/>
    <s v="Electronics"/>
    <s v="Corporate"/>
    <n v="43"/>
    <x v="0"/>
    <n v="1665"/>
    <n v="0.53361344537815125"/>
  </r>
  <r>
    <s v="ORD-00364"/>
    <d v="2024-01-17T00:00:00"/>
    <s v="CUST-0270"/>
    <x v="55"/>
    <s v="R016"/>
    <n v="10"/>
    <n v="3450"/>
    <n v="12.6"/>
    <n v="30153"/>
    <s v="Completed"/>
    <s v="Bengaluru"/>
    <s v="Apparel"/>
    <s v="Retail"/>
    <n v="29"/>
    <x v="1"/>
    <n v="1748"/>
    <n v="0.49333333333333335"/>
  </r>
  <r>
    <s v="ORD-00365"/>
    <d v="2024-09-28T00:00:00"/>
    <s v="CUST-0001"/>
    <x v="45"/>
    <s v="R021"/>
    <n v="4"/>
    <n v="2210"/>
    <n v="5.4"/>
    <n v="8362.64"/>
    <s v="Completed"/>
    <s v="Pune"/>
    <s v="Grocery"/>
    <s v="Retail"/>
    <n v="36"/>
    <x v="3"/>
    <n v="1010"/>
    <n v="0.54298642533936647"/>
  </r>
  <r>
    <s v="ORD-00366"/>
    <d v="2024-07-03T00:00:00"/>
    <s v="CUST-0215"/>
    <x v="57"/>
    <s v="R014"/>
    <n v="6"/>
    <n v="1090"/>
    <n v="2.9"/>
    <n v="6350.34"/>
    <s v="Cancelled"/>
    <s v="Hyderabad"/>
    <s v="Home"/>
    <s v="Retail"/>
    <n v="52"/>
    <x v="1"/>
    <n v="464"/>
    <n v="0.57431192660550456"/>
  </r>
  <r>
    <s v="ORD-00367"/>
    <d v="2024-03-13T00:00:00"/>
    <s v="CUST-0225"/>
    <x v="36"/>
    <s v="R017"/>
    <n v="8"/>
    <n v="1540"/>
    <n v="17.899999999999999"/>
    <n v="10114.719999999999"/>
    <s v="Pending"/>
    <s v="Chennai"/>
    <s v="Beauty"/>
    <s v="SMB"/>
    <n v="26"/>
    <x v="3"/>
    <n v="647"/>
    <n v="0.57987012987012987"/>
  </r>
  <r>
    <s v="ORD-00368"/>
    <d v="2024-03-20T00:00:00"/>
    <s v="CUST-0163"/>
    <x v="12"/>
    <s v="R028"/>
    <n v="9"/>
    <n v="2600"/>
    <n v="4.0999999999999996"/>
    <n v="22440.6"/>
    <s v="Completed"/>
    <s v="Pune"/>
    <s v="Electronics"/>
    <s v="Retail"/>
    <n v="49"/>
    <x v="2"/>
    <n v="1052"/>
    <n v="0.5953846153846154"/>
  </r>
  <r>
    <s v="ORD-00369"/>
    <d v="2024-11-27T00:00:00"/>
    <s v="CUST-0196"/>
    <x v="14"/>
    <s v="R007"/>
    <n v="2"/>
    <n v="190"/>
    <n v="4.8"/>
    <n v="361.76"/>
    <s v="Completed"/>
    <s v="Chennai"/>
    <s v="Sports"/>
    <s v="Retail"/>
    <n v="26"/>
    <x v="0"/>
    <n v="147"/>
    <n v="0.22631578947368422"/>
  </r>
  <r>
    <s v="ORD-00370"/>
    <d v="2024-05-29T00:00:00"/>
    <s v="CUST-0002"/>
    <x v="19"/>
    <s v="R014"/>
    <n v="9"/>
    <n v="2480"/>
    <n v="28.3"/>
    <n v="16003.44"/>
    <s v="Completed"/>
    <s v="Pune"/>
    <s v="Apparel"/>
    <s v="Corporate"/>
    <n v="42"/>
    <x v="1"/>
    <n v="1173"/>
    <n v="0.52701612903225803"/>
  </r>
  <r>
    <s v="ORD-00371"/>
    <d v="2024-05-30T00:00:00"/>
    <s v="CUST-0057"/>
    <x v="52"/>
    <s v="R006"/>
    <n v="7"/>
    <n v="2290"/>
    <n v="25"/>
    <n v="12022.5"/>
    <s v="Cancelled"/>
    <s v="Pune"/>
    <s v="Beauty"/>
    <s v="Retail"/>
    <n v="35"/>
    <x v="0"/>
    <n v="1219"/>
    <n v="0.46768558951965067"/>
  </r>
  <r>
    <s v="ORD-00372"/>
    <d v="2024-10-02T00:00:00"/>
    <s v="CUST-0112"/>
    <x v="36"/>
    <s v="R015"/>
    <n v="9"/>
    <n v="1540"/>
    <n v="23.3"/>
    <n v="10630.62"/>
    <s v="Completed"/>
    <s v="Hyderabad"/>
    <s v="Beauty"/>
    <s v="Retail"/>
    <n v="64"/>
    <x v="1"/>
    <n v="647"/>
    <n v="0.57987012987012987"/>
  </r>
  <r>
    <s v="ORD-00373"/>
    <d v="2024-12-27T00:00:00"/>
    <s v="CUST-0131"/>
    <x v="54"/>
    <s v="R025"/>
    <n v="2"/>
    <n v="5080"/>
    <n v="2.5"/>
    <n v="9906"/>
    <s v="Cancelled"/>
    <s v="Delhi"/>
    <s v="Home"/>
    <s v="SMB"/>
    <n v="28"/>
    <x v="2"/>
    <n v="2459"/>
    <n v="0.51594488188976373"/>
  </r>
  <r>
    <s v="ORD-00374"/>
    <d v="2024-02-09T00:00:00"/>
    <s v="CUST-0124"/>
    <x v="47"/>
    <s v="R016"/>
    <n v="4"/>
    <n v="2510"/>
    <n v="23.6"/>
    <n v="7670.56"/>
    <s v="Completed"/>
    <s v="Pune"/>
    <s v="Apparel"/>
    <s v="Retail"/>
    <n v="57"/>
    <x v="1"/>
    <n v="1075"/>
    <n v="0.57171314741035861"/>
  </r>
  <r>
    <s v="ORD-00375"/>
    <d v="2024-02-10T00:00:00"/>
    <s v="CUST-0131"/>
    <x v="52"/>
    <s v="R011"/>
    <n v="5"/>
    <n v="2290"/>
    <n v="17"/>
    <n v="9503.5"/>
    <s v="Completed"/>
    <s v="Delhi"/>
    <s v="Beauty"/>
    <s v="SMB"/>
    <n v="28"/>
    <x v="1"/>
    <n v="1219"/>
    <n v="0.46768558951965067"/>
  </r>
  <r>
    <s v="ORD-00376"/>
    <d v="2024-02-18T00:00:00"/>
    <s v="CUST-0084"/>
    <x v="2"/>
    <s v="R006"/>
    <n v="8"/>
    <n v="470"/>
    <n v="9.3000000000000007"/>
    <n v="3410.32"/>
    <s v="Completed"/>
    <s v="Chennai"/>
    <s v="Sports"/>
    <s v="Retail"/>
    <n v="28"/>
    <x v="0"/>
    <n v="302"/>
    <n v="0.35744680851063831"/>
  </r>
  <r>
    <s v="ORD-00377"/>
    <d v="2024-09-29T00:00:00"/>
    <s v="CUST-0082"/>
    <x v="26"/>
    <s v="R009"/>
    <n v="8"/>
    <n v="5100"/>
    <n v="4.5999999999999996"/>
    <n v="38923.199999999997"/>
    <s v="Completed"/>
    <s v="Hyderabad"/>
    <s v="Beauty"/>
    <s v="SMB"/>
    <n v="36"/>
    <x v="1"/>
    <n v="2237"/>
    <n v="0.56137254901960787"/>
  </r>
  <r>
    <s v="ORD-00378"/>
    <d v="2024-01-05T00:00:00"/>
    <s v="CUST-0242"/>
    <x v="49"/>
    <s v="R010"/>
    <n v="7"/>
    <n v="5330"/>
    <n v="2.5"/>
    <n v="36377.25"/>
    <s v="Completed"/>
    <s v="Chennai"/>
    <s v="Electronics"/>
    <s v="SMB"/>
    <n v="59"/>
    <x v="1"/>
    <n v="2405"/>
    <n v="0.54878048780487809"/>
  </r>
  <r>
    <s v="ORD-00379"/>
    <d v="2024-03-13T00:00:00"/>
    <s v="CUST-0074"/>
    <x v="44"/>
    <s v="R028"/>
    <n v="10"/>
    <n v="2030"/>
    <n v="8.5"/>
    <n v="18574.5"/>
    <s v="Completed"/>
    <s v="Bengaluru"/>
    <s v="Home"/>
    <s v="Retail"/>
    <n v="27"/>
    <x v="2"/>
    <n v="1143"/>
    <n v="0.43694581280788175"/>
  </r>
  <r>
    <s v="ORD-00380"/>
    <d v="2024-09-25T00:00:00"/>
    <s v="CUST-0221"/>
    <x v="54"/>
    <s v="R003"/>
    <n v="8"/>
    <n v="5080"/>
    <n v="9.6"/>
    <n v="36738.559999999998"/>
    <s v="Cancelled"/>
    <s v="Delhi"/>
    <s v="Home"/>
    <s v="SMB"/>
    <n v="29"/>
    <x v="0"/>
    <n v="2459"/>
    <n v="0.51594488188976373"/>
  </r>
  <r>
    <s v="ORD-00381"/>
    <d v="2024-03-27T00:00:00"/>
    <s v="CUST-0101"/>
    <x v="50"/>
    <s v="R014"/>
    <n v="1"/>
    <n v="2380"/>
    <n v="11.6"/>
    <n v="2103.92"/>
    <s v="Pending"/>
    <s v="Hyderabad"/>
    <s v="Grocery"/>
    <s v="SMB"/>
    <n v="40"/>
    <x v="1"/>
    <n v="1182"/>
    <n v="0.50336134453781511"/>
  </r>
  <r>
    <s v="ORD-00382"/>
    <d v="2024-10-25T00:00:00"/>
    <s v="CUST-0203"/>
    <x v="36"/>
    <s v="R027"/>
    <n v="8"/>
    <n v="1540"/>
    <n v="27.8"/>
    <n v="8895.0400000000009"/>
    <s v="Completed"/>
    <s v="Chennai"/>
    <s v="Beauty"/>
    <s v="SMB"/>
    <n v="55"/>
    <x v="2"/>
    <n v="647"/>
    <n v="0.57987012987012987"/>
  </r>
  <r>
    <s v="ORD-00383"/>
    <d v="2024-10-26T00:00:00"/>
    <s v="CUST-0209"/>
    <x v="10"/>
    <s v="R024"/>
    <n v="1"/>
    <n v="2270"/>
    <n v="6.5"/>
    <n v="2122.4499999999998"/>
    <s v="Pending"/>
    <s v="Pune"/>
    <s v="Grocery"/>
    <s v="Retail"/>
    <n v="31"/>
    <x v="2"/>
    <n v="1203"/>
    <n v="0.47004405286343615"/>
  </r>
  <r>
    <s v="ORD-00384"/>
    <d v="2024-07-30T00:00:00"/>
    <s v="CUST-0094"/>
    <x v="19"/>
    <s v="R028"/>
    <n v="6"/>
    <n v="2480"/>
    <n v="25.9"/>
    <n v="11026.08"/>
    <s v="Completed"/>
    <s v="Pune"/>
    <s v="Apparel"/>
    <s v="SMB"/>
    <n v="60"/>
    <x v="2"/>
    <n v="1173"/>
    <n v="0.52701612903225803"/>
  </r>
  <r>
    <s v="ORD-00385"/>
    <d v="2024-11-12T00:00:00"/>
    <s v="CUST-0248"/>
    <x v="59"/>
    <s v="R019"/>
    <n v="3"/>
    <n v="3560"/>
    <n v="0.4"/>
    <n v="10637.28"/>
    <s v="Refunded"/>
    <s v="Chennai"/>
    <s v="Apparel"/>
    <s v="SMB"/>
    <n v="57"/>
    <x v="3"/>
    <n v="2629"/>
    <n v="0.26151685393258428"/>
  </r>
  <r>
    <s v="ORD-00386"/>
    <d v="2024-05-10T00:00:00"/>
    <s v="CUST-0297"/>
    <x v="41"/>
    <s v="R006"/>
    <n v="4"/>
    <n v="2660"/>
    <n v="19.7"/>
    <n v="8543.92"/>
    <s v="Cancelled"/>
    <s v="Hyderabad"/>
    <s v="Electronics"/>
    <s v="Retail"/>
    <n v="50"/>
    <x v="0"/>
    <n v="1259"/>
    <n v="0.52669172932330832"/>
  </r>
  <r>
    <s v="ORD-00387"/>
    <d v="2024-04-04T00:00:00"/>
    <s v="CUST-0107"/>
    <x v="38"/>
    <s v="R013"/>
    <n v="10"/>
    <n v="1220"/>
    <n v="10.1"/>
    <n v="10967.8"/>
    <s v="Cancelled"/>
    <s v="Pune"/>
    <s v="Electronics"/>
    <s v="Retail"/>
    <n v="50"/>
    <x v="1"/>
    <n v="517"/>
    <n v="0.57622950819672136"/>
  </r>
  <r>
    <s v="ORD-00388"/>
    <d v="2024-10-19T00:00:00"/>
    <s v="CUST-0247"/>
    <x v="12"/>
    <s v="R014"/>
    <n v="8"/>
    <n v="2600"/>
    <n v="26.7"/>
    <n v="15246.4"/>
    <s v="Completed"/>
    <s v="Pune"/>
    <s v="Electronics"/>
    <s v="SMB"/>
    <n v="35"/>
    <x v="1"/>
    <n v="1052"/>
    <n v="0.5953846153846154"/>
  </r>
  <r>
    <s v="ORD-00389"/>
    <d v="2024-05-28T00:00:00"/>
    <s v="CUST-0047"/>
    <x v="55"/>
    <s v="R020"/>
    <n v="10"/>
    <n v="3450"/>
    <n v="20.399999999999999"/>
    <n v="27462"/>
    <s v="Completed"/>
    <s v="Pune"/>
    <s v="Apparel"/>
    <s v="Retail"/>
    <n v="49"/>
    <x v="3"/>
    <n v="1748"/>
    <n v="0.49333333333333335"/>
  </r>
  <r>
    <s v="ORD-00390"/>
    <d v="2024-05-28T00:00:00"/>
    <s v="CUST-0118"/>
    <x v="58"/>
    <s v="R019"/>
    <n v="1"/>
    <n v="6940"/>
    <n v="9.6999999999999993"/>
    <n v="6266.82"/>
    <s v="Completed"/>
    <s v="Hyderabad"/>
    <s v="Sports"/>
    <s v="Retail"/>
    <n v="26"/>
    <x v="3"/>
    <n v="2827"/>
    <n v="0.5926512968299712"/>
  </r>
  <r>
    <s v="ORD-00391"/>
    <d v="2024-03-07T00:00:00"/>
    <s v="CUST-0019"/>
    <x v="22"/>
    <s v="R006"/>
    <n v="10"/>
    <n v="3350"/>
    <n v="3.2"/>
    <n v="32428"/>
    <s v="Completed"/>
    <s v="Chennai"/>
    <s v="Beauty"/>
    <s v="Retail"/>
    <n v="22"/>
    <x v="0"/>
    <n v="1728"/>
    <n v="0.48417910447761192"/>
  </r>
  <r>
    <s v="ORD-00392"/>
    <d v="2024-04-05T00:00:00"/>
    <s v="CUST-0290"/>
    <x v="36"/>
    <s v="R026"/>
    <n v="7"/>
    <n v="1540"/>
    <n v="0.5"/>
    <n v="10726.1"/>
    <s v="Completed"/>
    <s v="Delhi"/>
    <s v="Beauty"/>
    <s v="Retail"/>
    <n v="63"/>
    <x v="2"/>
    <n v="647"/>
    <n v="0.57987012987012987"/>
  </r>
  <r>
    <s v="ORD-00393"/>
    <d v="2024-12-29T00:00:00"/>
    <s v="CUST-9557"/>
    <x v="0"/>
    <s v="R026"/>
    <n v="10"/>
    <n v="3620"/>
    <n v="22"/>
    <n v="28236"/>
    <s v="Completed"/>
    <s v="Pune"/>
    <s v="Apparel"/>
    <s v=""/>
    <s v=""/>
    <x v="2"/>
    <n v="2509"/>
    <n v="0.3069060773480663"/>
  </r>
  <r>
    <s v="ORD-00394"/>
    <d v="2024-12-03T00:00:00"/>
    <s v="CUST-0291"/>
    <x v="2"/>
    <s v="R026"/>
    <n v="2"/>
    <n v="470"/>
    <n v="26.5"/>
    <n v="690.9"/>
    <s v="Pending"/>
    <s v="Pune"/>
    <s v="Sports"/>
    <s v="SMB"/>
    <n v="29"/>
    <x v="2"/>
    <n v="302"/>
    <n v="0.35744680851063831"/>
  </r>
  <r>
    <s v="ORD-00395"/>
    <d v="2024-02-01T00:00:00"/>
    <s v="CUST-0045"/>
    <x v="3"/>
    <s v="R010"/>
    <n v="6"/>
    <n v="3660"/>
    <n v="1.5"/>
    <n v="21630.6"/>
    <s v="Completed"/>
    <s v="Chennai"/>
    <s v="Grocery"/>
    <s v="SMB"/>
    <n v="39"/>
    <x v="1"/>
    <n v="2214"/>
    <n v="0.39508196721311473"/>
  </r>
  <r>
    <s v="ORD-00396"/>
    <d v="2024-05-20T00:00:00"/>
    <s v="CUST-0281"/>
    <x v="58"/>
    <s v="R017"/>
    <n v="10"/>
    <n v="6940"/>
    <n v="1.9"/>
    <n v="68081.399999999994"/>
    <s v="Completed"/>
    <s v="Bengaluru"/>
    <s v="Sports"/>
    <s v="Corporate"/>
    <n v="57"/>
    <x v="3"/>
    <n v="2827"/>
    <n v="0.5926512968299712"/>
  </r>
  <r>
    <s v="ORD-00397"/>
    <d v="2024-04-15T00:00:00"/>
    <s v="CUST-0073"/>
    <x v="52"/>
    <s v="R005"/>
    <n v="8"/>
    <n v="2290"/>
    <n v="27.9"/>
    <n v="13208.72"/>
    <s v="Completed"/>
    <s v="Pune"/>
    <s v="Beauty"/>
    <s v="Corporate"/>
    <n v="40"/>
    <x v="0"/>
    <n v="1219"/>
    <n v="0.46768558951965067"/>
  </r>
  <r>
    <s v="ORD-00398"/>
    <d v="2024-10-08T00:00:00"/>
    <s v="CUST-0043"/>
    <x v="4"/>
    <s v="R024"/>
    <n v="9"/>
    <n v="3160"/>
    <n v="10.199999999999999"/>
    <n v="25539.119999999999"/>
    <s v="Completed"/>
    <s v="Hyderabad"/>
    <s v="Apparel"/>
    <s v="Retail"/>
    <n v="61"/>
    <x v="2"/>
    <n v="1886"/>
    <n v="0.4031645569620253"/>
  </r>
  <r>
    <s v="ORD-00399"/>
    <d v="2024-01-16T00:00:00"/>
    <s v="CUST-0154"/>
    <x v="54"/>
    <s v="R028"/>
    <n v="6"/>
    <n v="5080"/>
    <n v="25.4"/>
    <n v="22738.080000000002"/>
    <s v="Completed"/>
    <s v="Pune"/>
    <s v="Home"/>
    <s v="Retail"/>
    <n v="36"/>
    <x v="2"/>
    <n v="2459"/>
    <n v="0.51594488188976373"/>
  </r>
  <r>
    <s v="ORD-00400"/>
    <d v="2024-11-24T00:00:00"/>
    <s v="CUST-0061"/>
    <x v="28"/>
    <s v="R012"/>
    <n v="6"/>
    <n v="2760"/>
    <n v="21.3"/>
    <n v="13032.72"/>
    <s v="Completed"/>
    <s v="Hyderabad"/>
    <s v="Grocery"/>
    <s v="Retail"/>
    <n v="64"/>
    <x v="1"/>
    <n v="1435"/>
    <n v="0.48007246376811596"/>
  </r>
  <r>
    <s v="ORD-00401"/>
    <d v="2024-06-19T00:00:00"/>
    <s v="CUST-9654"/>
    <x v="38"/>
    <s v="R012"/>
    <n v="5"/>
    <n v="1220"/>
    <n v="7.6"/>
    <n v="5636.4"/>
    <s v="Completed"/>
    <s v="Mumbai"/>
    <s v="Electronics"/>
    <s v=""/>
    <s v=""/>
    <x v="1"/>
    <n v="517"/>
    <n v="0.57622950819672136"/>
  </r>
  <r>
    <s v="ORD-00402"/>
    <d v="2024-11-26T00:00:00"/>
    <s v="CUST-0189"/>
    <x v="24"/>
    <s v="R028"/>
    <n v="5"/>
    <n v="4880"/>
    <n v="8.5"/>
    <n v="22326"/>
    <s v="Completed"/>
    <s v="Chennai"/>
    <s v="Beauty"/>
    <s v="Retail"/>
    <n v="41"/>
    <x v="2"/>
    <n v="2768"/>
    <n v="0.43278688524590164"/>
  </r>
  <r>
    <s v="ORD-00403"/>
    <d v="2024-10-31T00:00:00"/>
    <s v="CUST-0152"/>
    <x v="37"/>
    <s v="R022"/>
    <n v="7"/>
    <n v="4070"/>
    <n v="28"/>
    <n v="20512.8"/>
    <s v="Completed"/>
    <s v="Bengaluru"/>
    <s v="Grocery"/>
    <s v="SMB"/>
    <n v="64"/>
    <x v="3"/>
    <n v="2027"/>
    <n v="0.50196560196560192"/>
  </r>
  <r>
    <s v="ORD-00404"/>
    <d v="2024-08-02T00:00:00"/>
    <s v="CUST-0284"/>
    <x v="53"/>
    <s v="R028"/>
    <n v="2"/>
    <n v="3970"/>
    <n v="14"/>
    <n v="6828.4"/>
    <s v="Completed"/>
    <s v="Hyderabad"/>
    <s v="Electronics"/>
    <s v="SMB"/>
    <n v="65"/>
    <x v="2"/>
    <n v="2865"/>
    <n v="0.27833753148614609"/>
  </r>
  <r>
    <s v="ORD-00405"/>
    <d v="2024-02-27T00:00:00"/>
    <s v="CUST-0175"/>
    <x v="41"/>
    <s v="R018"/>
    <n v="9"/>
    <n v="2660"/>
    <n v="10.1"/>
    <n v="21522.06"/>
    <s v="Completed"/>
    <s v="Delhi"/>
    <s v="Electronics"/>
    <s v="Corporate"/>
    <n v="55"/>
    <x v="3"/>
    <n v="1259"/>
    <n v="0.52669172932330832"/>
  </r>
  <r>
    <s v="ORD-00406"/>
    <d v="2024-04-25T00:00:00"/>
    <s v="CUST-0093"/>
    <x v="27"/>
    <s v="R022"/>
    <n v="9"/>
    <n v="2860"/>
    <n v="10.1"/>
    <n v="23140.26"/>
    <s v="Refunded"/>
    <s v="Pune"/>
    <s v="Sports"/>
    <s v="Retail"/>
    <n v="36"/>
    <x v="3"/>
    <n v="2028"/>
    <n v="0.29090909090909089"/>
  </r>
  <r>
    <s v="ORD-00407"/>
    <d v="2024-10-26T00:00:00"/>
    <s v="CUST-0033"/>
    <x v="38"/>
    <s v="R007"/>
    <n v="7"/>
    <n v="1220"/>
    <n v="23.5"/>
    <n v="6533.1"/>
    <s v="Refunded"/>
    <s v="Delhi"/>
    <s v="Electronics"/>
    <s v="Retail"/>
    <n v="35"/>
    <x v="0"/>
    <n v="517"/>
    <n v="0.57622950819672136"/>
  </r>
  <r>
    <s v="ORD-00408"/>
    <d v="2024-10-19T00:00:00"/>
    <s v="CUST-0294"/>
    <x v="34"/>
    <s v="R026"/>
    <n v="1"/>
    <n v="2270"/>
    <n v="5.8"/>
    <n v="2138.34"/>
    <s v="Cancelled"/>
    <s v="Delhi"/>
    <s v="Grocery"/>
    <s v="Corporate"/>
    <n v="31"/>
    <x v="2"/>
    <n v="1412"/>
    <n v="0.37797356828193834"/>
  </r>
  <r>
    <s v="ORD-00409"/>
    <d v="2024-10-16T00:00:00"/>
    <s v="CUST-0115"/>
    <x v="29"/>
    <s v="R002"/>
    <n v="2"/>
    <n v="660"/>
    <n v="2.2999999999999998"/>
    <n v="1289.6400000000001"/>
    <s v="Completed"/>
    <s v="Mumbai"/>
    <s v="Home"/>
    <s v="SMB"/>
    <n v="65"/>
    <x v="0"/>
    <n v="329"/>
    <n v="0.50151515151515147"/>
  </r>
  <r>
    <s v="ORD-00410"/>
    <d v="2024-05-29T00:00:00"/>
    <s v="CUST-0219"/>
    <x v="4"/>
    <s v="R014"/>
    <n v="1"/>
    <n v="3160"/>
    <n v="5.6"/>
    <n v="2983.04"/>
    <s v="Completed"/>
    <s v="Chennai"/>
    <s v="Apparel"/>
    <s v="Corporate"/>
    <n v="38"/>
    <x v="1"/>
    <n v="1886"/>
    <n v="0.4031645569620253"/>
  </r>
  <r>
    <s v="ORD-00411"/>
    <d v="2024-04-26T00:00:00"/>
    <s v="CUST-0180"/>
    <x v="12"/>
    <s v="R013"/>
    <n v="1"/>
    <n v="2600"/>
    <n v="1"/>
    <n v="2574"/>
    <s v="Completed"/>
    <s v="Chennai"/>
    <s v="Electronics"/>
    <s v="Retail"/>
    <n v="36"/>
    <x v="1"/>
    <n v="1052"/>
    <n v="0.5953846153846154"/>
  </r>
  <r>
    <s v="ORD-00412"/>
    <d v="2024-08-11T00:00:00"/>
    <s v="CUST-0148"/>
    <x v="39"/>
    <s v="R014"/>
    <n v="4"/>
    <n v="4610"/>
    <n v="18.7"/>
    <n v="14991.72"/>
    <s v="Completed"/>
    <s v="Chennai"/>
    <s v="Home"/>
    <s v="Retail"/>
    <n v="32"/>
    <x v="1"/>
    <n v="1850"/>
    <n v="0.59869848156182215"/>
  </r>
  <r>
    <s v="ORD-00413"/>
    <d v="2024-04-30T00:00:00"/>
    <s v="CUST-0026"/>
    <x v="32"/>
    <s v="R018"/>
    <n v="3"/>
    <n v="3640"/>
    <n v="9.6999999999999993"/>
    <n v="9860.76"/>
    <s v="Cancelled"/>
    <s v="Pune"/>
    <s v="Apparel"/>
    <s v="Retail"/>
    <n v="62"/>
    <x v="3"/>
    <n v="2611"/>
    <n v="0.28269230769230769"/>
  </r>
  <r>
    <s v="ORD-00414"/>
    <d v="2024-06-05T00:00:00"/>
    <s v="CUST-0246"/>
    <x v="20"/>
    <s v="R004"/>
    <n v="6"/>
    <n v="2720"/>
    <n v="13"/>
    <n v="14198.4"/>
    <s v="Pending"/>
    <s v="Delhi"/>
    <s v="Apparel"/>
    <s v="SMB"/>
    <n v="29"/>
    <x v="0"/>
    <n v="1962"/>
    <n v="0.2786764705882353"/>
  </r>
  <r>
    <s v="ORD-00415"/>
    <d v="2024-12-18T00:00:00"/>
    <s v="CUST-0125"/>
    <x v="56"/>
    <s v="R008"/>
    <n v="5"/>
    <n v="3780"/>
    <n v="15.2"/>
    <n v="16027.2"/>
    <s v="Completed"/>
    <s v="Delhi"/>
    <s v="Sports"/>
    <s v="Retail"/>
    <n v="45"/>
    <x v="0"/>
    <n v="1860"/>
    <n v="0.50793650793650791"/>
  </r>
  <r>
    <s v="ORD-00416"/>
    <d v="2024-04-25T00:00:00"/>
    <s v="CUST-0190"/>
    <x v="57"/>
    <s v="R030"/>
    <n v="9"/>
    <n v="1090"/>
    <n v="28.5"/>
    <n v="7014.15"/>
    <s v="Completed"/>
    <s v="Hyderabad"/>
    <s v="Home"/>
    <s v="Retail"/>
    <n v="52"/>
    <x v="2"/>
    <n v="464"/>
    <n v="0.57431192660550456"/>
  </r>
  <r>
    <s v="ORD-00417"/>
    <d v="2024-10-16T00:00:00"/>
    <s v="CUST-0085"/>
    <x v="57"/>
    <s v="R028"/>
    <n v="6"/>
    <n v="1090"/>
    <n v="28.7"/>
    <n v="4663.0200000000004"/>
    <s v="Completed"/>
    <s v="Chennai"/>
    <s v="Home"/>
    <s v="Retail"/>
    <n v="26"/>
    <x v="2"/>
    <n v="464"/>
    <n v="0.57431192660550456"/>
  </r>
  <r>
    <s v="ORD-00418"/>
    <d v="2024-03-15T00:00:00"/>
    <s v="CUST-0249"/>
    <x v="47"/>
    <s v="R030"/>
    <n v="5"/>
    <n v="2510"/>
    <n v="25"/>
    <n v="9412.5"/>
    <s v="Completed"/>
    <s v="Mumbai"/>
    <s v="Apparel"/>
    <s v="Retail"/>
    <n v="44"/>
    <x v="2"/>
    <n v="1075"/>
    <n v="0.57171314741035861"/>
  </r>
  <r>
    <s v="ORD-00419"/>
    <d v="2024-10-12T00:00:00"/>
    <s v="CUST-0012"/>
    <x v="53"/>
    <s v="R010"/>
    <n v="5"/>
    <n v="3970"/>
    <n v="26"/>
    <n v="14689"/>
    <s v="Completed"/>
    <s v="Pune"/>
    <s v="Electronics"/>
    <s v="Retail"/>
    <n v="43"/>
    <x v="1"/>
    <n v="2865"/>
    <n v="0.27833753148614609"/>
  </r>
  <r>
    <s v="ORD-00420"/>
    <d v="2024-02-11T00:00:00"/>
    <s v="CUST-0251"/>
    <x v="37"/>
    <s v="R001"/>
    <n v="9"/>
    <n v="4070"/>
    <n v="15.7"/>
    <n v="30879.09"/>
    <s v="Completed"/>
    <s v="Mumbai"/>
    <s v="Grocery"/>
    <s v="Retail"/>
    <n v="44"/>
    <x v="0"/>
    <n v="2027"/>
    <n v="0.50196560196560192"/>
  </r>
  <r>
    <s v="ORD-00421"/>
    <d v="2024-05-06T00:00:00"/>
    <s v="CUST-0088"/>
    <x v="8"/>
    <s v="R004"/>
    <n v="6"/>
    <n v="5490"/>
    <n v="8.5"/>
    <n v="30140.1"/>
    <s v="Refunded"/>
    <s v="Chennai"/>
    <s v="Home"/>
    <s v="Retail"/>
    <n v="24"/>
    <x v="0"/>
    <n v="2549"/>
    <n v="0.53570127504553733"/>
  </r>
  <r>
    <s v="ORD-00422"/>
    <d v="2024-11-19T00:00:00"/>
    <s v="CUST-0037"/>
    <x v="23"/>
    <s v="R022"/>
    <n v="9"/>
    <n v="1010"/>
    <n v="3.6"/>
    <n v="8762.76"/>
    <s v="Completed"/>
    <s v="Bengaluru"/>
    <s v="Sports"/>
    <s v="Retail"/>
    <n v="52"/>
    <x v="3"/>
    <n v="516"/>
    <n v="0.4891089108910891"/>
  </r>
  <r>
    <s v="ORD-00423"/>
    <d v="2024-12-05T00:00:00"/>
    <s v="CUST-0039"/>
    <x v="3"/>
    <s v="R008"/>
    <n v="6"/>
    <n v="3660"/>
    <n v="10.8"/>
    <n v="19588.32"/>
    <s v="Completed"/>
    <s v="Bengaluru"/>
    <s v="Grocery"/>
    <s v="Retail"/>
    <n v="37"/>
    <x v="0"/>
    <n v="2214"/>
    <n v="0.39508196721311473"/>
  </r>
  <r>
    <s v="ORD-00424"/>
    <d v="2024-08-20T00:00:00"/>
    <s v="CUST-0106"/>
    <x v="16"/>
    <s v="R016"/>
    <n v="6"/>
    <n v="3450"/>
    <n v="10.7"/>
    <n v="18485.099999999999"/>
    <s v="Completed"/>
    <s v="Pune"/>
    <s v="Beauty"/>
    <s v="Retail"/>
    <n v="22"/>
    <x v="1"/>
    <n v="2420"/>
    <n v="0.29855072463768118"/>
  </r>
  <r>
    <s v="ORD-00425"/>
    <d v="2024-03-28T00:00:00"/>
    <s v="CUST-0222"/>
    <x v="37"/>
    <s v="R011"/>
    <n v="10"/>
    <n v="4070"/>
    <n v="23.4"/>
    <n v="31176.2"/>
    <s v="Refunded"/>
    <s v="Chennai"/>
    <s v="Grocery"/>
    <s v="Retail"/>
    <n v="37"/>
    <x v="1"/>
    <n v="2027"/>
    <n v="0.50196560196560192"/>
  </r>
  <r>
    <s v="ORD-00426"/>
    <d v="2024-06-11T00:00:00"/>
    <s v="CUST-0130"/>
    <x v="25"/>
    <s v="R025"/>
    <n v="9"/>
    <n v="3570"/>
    <n v="15.2"/>
    <n v="27246.240000000002"/>
    <s v="Completed"/>
    <s v="Bengaluru"/>
    <s v="Electronics"/>
    <s v="Corporate"/>
    <n v="41"/>
    <x v="2"/>
    <n v="1665"/>
    <n v="0.53361344537815125"/>
  </r>
  <r>
    <s v="ORD-00427"/>
    <d v="2024-09-27T00:00:00"/>
    <s v="CUST-0281"/>
    <x v="58"/>
    <s v="R005"/>
    <n v="10"/>
    <n v="6940"/>
    <n v="21.8"/>
    <n v="54270.8"/>
    <s v="Pending"/>
    <s v="Bengaluru"/>
    <s v="Sports"/>
    <s v="Corporate"/>
    <n v="57"/>
    <x v="0"/>
    <n v="2827"/>
    <n v="0.5926512968299712"/>
  </r>
  <r>
    <s v="ORD-00428"/>
    <d v="2024-07-16T00:00:00"/>
    <s v="CUST-0094"/>
    <x v="21"/>
    <s v="R014"/>
    <n v="9"/>
    <n v="1650"/>
    <n v="24.3"/>
    <n v="11241.45"/>
    <s v="Completed"/>
    <s v="Pune"/>
    <s v="Beauty"/>
    <s v="SMB"/>
    <n v="60"/>
    <x v="1"/>
    <n v="1222"/>
    <n v="0.2593939393939394"/>
  </r>
  <r>
    <s v="ORD-00429"/>
    <d v="2024-11-28T00:00:00"/>
    <s v="CUST-0271"/>
    <x v="7"/>
    <s v="R014"/>
    <n v="10"/>
    <n v="1430"/>
    <n v="25.2"/>
    <n v="10696.4"/>
    <s v="Completed"/>
    <s v="Bengaluru"/>
    <s v="Electronics"/>
    <s v="Corporate"/>
    <n v="41"/>
    <x v="1"/>
    <n v="861"/>
    <n v="0.39790209790209791"/>
  </r>
  <r>
    <s v="ORD-00430"/>
    <d v="2024-07-07T00:00:00"/>
    <s v="CUST-0110"/>
    <x v="46"/>
    <s v="R010"/>
    <n v="4"/>
    <n v="4060"/>
    <n v="1.6"/>
    <n v="15980.16"/>
    <s v="Completed"/>
    <s v="Pune"/>
    <s v="Grocery"/>
    <s v="Corporate"/>
    <n v="31"/>
    <x v="1"/>
    <n v="2911"/>
    <n v="0.28300492610837441"/>
  </r>
  <r>
    <s v="ORD-00431"/>
    <d v="2024-05-08T00:00:00"/>
    <s v="CUST-0262"/>
    <x v="5"/>
    <s v="R005"/>
    <n v="9"/>
    <n v="370"/>
    <n v="17"/>
    <n v="2763.9"/>
    <s v="Completed"/>
    <s v="Mumbai"/>
    <s v="Home"/>
    <s v="Retail"/>
    <n v="52"/>
    <x v="0"/>
    <n v="288"/>
    <n v="0.22162162162162163"/>
  </r>
  <r>
    <s v="ORD-00432"/>
    <d v="2024-01-31T00:00:00"/>
    <s v="CUST-0157"/>
    <x v="36"/>
    <s v="R010"/>
    <n v="1"/>
    <n v="1540"/>
    <n v="24"/>
    <n v="1170.4000000000001"/>
    <s v="Cancelled"/>
    <s v="Pune"/>
    <s v="Beauty"/>
    <s v="Corporate"/>
    <n v="52"/>
    <x v="1"/>
    <n v="647"/>
    <n v="0.57987012987012987"/>
  </r>
  <r>
    <s v="ORD-00433"/>
    <d v="2024-03-31T00:00:00"/>
    <s v="CUST-0135"/>
    <x v="12"/>
    <s v="R025"/>
    <n v="9"/>
    <n v="2600"/>
    <n v="7.7"/>
    <n v="21598.2"/>
    <s v="Completed"/>
    <s v="Pune"/>
    <s v="Electronics"/>
    <s v="SMB"/>
    <n v="24"/>
    <x v="2"/>
    <n v="1052"/>
    <n v="0.5953846153846154"/>
  </r>
  <r>
    <s v="ORD-00434"/>
    <d v="2024-07-24T00:00:00"/>
    <s v="CUST-0136"/>
    <x v="47"/>
    <s v="R015"/>
    <n v="8"/>
    <n v="2510"/>
    <n v="3.7"/>
    <n v="19337.04"/>
    <s v="Completed"/>
    <s v="Chennai"/>
    <s v="Apparel"/>
    <s v="SMB"/>
    <n v="26"/>
    <x v="1"/>
    <n v="1075"/>
    <n v="0.57171314741035861"/>
  </r>
  <r>
    <s v="ORD-00435"/>
    <d v="2024-08-06T00:00:00"/>
    <s v="CUST-0110"/>
    <x v="49"/>
    <s v="R003"/>
    <n v="6"/>
    <n v="5330"/>
    <n v="8.4"/>
    <n v="29293.68"/>
    <s v="Completed"/>
    <s v="Pune"/>
    <s v="Electronics"/>
    <s v="Corporate"/>
    <n v="31"/>
    <x v="0"/>
    <n v="2405"/>
    <n v="0.54878048780487809"/>
  </r>
  <r>
    <s v="ORD-00436"/>
    <d v="2024-08-18T00:00:00"/>
    <s v="CUST-0192"/>
    <x v="54"/>
    <s v="R014"/>
    <n v="5"/>
    <n v="5080"/>
    <n v="10.3"/>
    <n v="22783.8"/>
    <s v="Completed"/>
    <s v="Bengaluru"/>
    <s v="Home"/>
    <s v="Retail"/>
    <n v="55"/>
    <x v="1"/>
    <n v="2459"/>
    <n v="0.51594488188976373"/>
  </r>
  <r>
    <s v="ORD-00437"/>
    <d v="2024-03-30T00:00:00"/>
    <s v="CUST-0169"/>
    <x v="37"/>
    <s v="R025"/>
    <n v="3"/>
    <n v="4070"/>
    <n v="23.7"/>
    <n v="9316.23"/>
    <s v="Completed"/>
    <s v="Bengaluru"/>
    <s v="Grocery"/>
    <s v="SMB"/>
    <n v="42"/>
    <x v="2"/>
    <n v="2027"/>
    <n v="0.50196560196560192"/>
  </r>
  <r>
    <s v="ORD-00438"/>
    <d v="2024-08-07T00:00:00"/>
    <s v="CUST-0086"/>
    <x v="43"/>
    <s v="R013"/>
    <n v="4"/>
    <n v="620"/>
    <n v="18.8"/>
    <n v="2013.76"/>
    <s v="Completed"/>
    <s v="Hyderabad"/>
    <s v="Apparel"/>
    <s v="Corporate"/>
    <n v="56"/>
    <x v="1"/>
    <n v="396"/>
    <n v="0.36129032258064514"/>
  </r>
  <r>
    <s v="ORD-00439"/>
    <d v="2024-12-02T00:00:00"/>
    <s v="CUST-0217"/>
    <x v="11"/>
    <s v="R017"/>
    <n v="10"/>
    <n v="2640"/>
    <n v="12.7"/>
    <n v="23047.200000000001"/>
    <s v="Completed"/>
    <s v="Pune"/>
    <s v="Electronics"/>
    <s v="SMB"/>
    <n v="59"/>
    <x v="3"/>
    <n v="1149"/>
    <n v="0.56477272727272732"/>
  </r>
  <r>
    <s v="ORD-00440"/>
    <d v="2024-02-04T00:00:00"/>
    <s v="CUST-0119"/>
    <x v="37"/>
    <s v="R030"/>
    <n v="2"/>
    <n v="4070"/>
    <n v="29"/>
    <n v="5779.4"/>
    <s v="Completed"/>
    <s v="Bengaluru"/>
    <s v="Grocery"/>
    <s v="SMB"/>
    <n v="43"/>
    <x v="2"/>
    <n v="2027"/>
    <n v="0.50196560196560192"/>
  </r>
  <r>
    <s v="ORD-00441"/>
    <d v="2024-09-26T00:00:00"/>
    <s v="CUST-0011"/>
    <x v="23"/>
    <s v="R007"/>
    <n v="8"/>
    <n v="1010"/>
    <n v="25.4"/>
    <n v="6027.68"/>
    <s v="Completed"/>
    <s v="Chennai"/>
    <s v="Sports"/>
    <s v="Corporate"/>
    <n v="41"/>
    <x v="0"/>
    <n v="516"/>
    <n v="0.4891089108910891"/>
  </r>
  <r>
    <s v="ORD-00442"/>
    <d v="2024-12-03T00:00:00"/>
    <s v="CUST-0059"/>
    <x v="13"/>
    <s v="R005"/>
    <n v="8"/>
    <n v="3250"/>
    <n v="5.4"/>
    <n v="24596"/>
    <s v="Completed"/>
    <s v="Pune"/>
    <s v="Home"/>
    <s v="Corporate"/>
    <n v="29"/>
    <x v="0"/>
    <n v="1556"/>
    <n v="0.52123076923076928"/>
  </r>
  <r>
    <s v="ORD-00443"/>
    <d v="2024-06-17T00:00:00"/>
    <s v="CUST-0210"/>
    <x v="7"/>
    <s v="R009"/>
    <n v="7"/>
    <n v="1430"/>
    <n v="19.3"/>
    <n v="8078.07"/>
    <s v="Completed"/>
    <s v="Pune"/>
    <s v="Electronics"/>
    <s v="Corporate"/>
    <n v="48"/>
    <x v="1"/>
    <n v="861"/>
    <n v="0.39790209790209791"/>
  </r>
  <r>
    <s v="ORD-00444"/>
    <d v="2024-11-01T00:00:00"/>
    <s v="CUST-0145"/>
    <x v="40"/>
    <s v="R018"/>
    <n v="9"/>
    <n v="3020"/>
    <n v="15"/>
    <n v="23103"/>
    <s v="Completed"/>
    <s v="Bengaluru"/>
    <s v="Beauty"/>
    <s v="SMB"/>
    <n v="44"/>
    <x v="3"/>
    <n v="1626"/>
    <n v="0.46158940397350995"/>
  </r>
  <r>
    <s v="ORD-00445"/>
    <d v="2024-02-02T00:00:00"/>
    <s v="CUST-9626"/>
    <x v="41"/>
    <s v="R002"/>
    <n v="2"/>
    <n v="2660"/>
    <n v="21.4"/>
    <n v="4181.5200000000004"/>
    <s v="Completed"/>
    <s v="Chennai"/>
    <s v="Electronics"/>
    <s v=""/>
    <s v=""/>
    <x v="0"/>
    <n v="1259"/>
    <n v="0.52669172932330832"/>
  </r>
  <r>
    <s v="ORD-00446"/>
    <d v="2024-07-17T00:00:00"/>
    <s v="CUST-0250"/>
    <x v="25"/>
    <s v="R019"/>
    <n v="10"/>
    <n v="3570"/>
    <n v="20.3"/>
    <n v="28452.9"/>
    <s v="Completed"/>
    <s v="Delhi"/>
    <s v="Electronics"/>
    <s v="Retail"/>
    <n v="31"/>
    <x v="3"/>
    <n v="1665"/>
    <n v="0.53361344537815125"/>
  </r>
  <r>
    <s v="ORD-00447"/>
    <d v="2024-02-08T00:00:00"/>
    <s v="CUST-0241"/>
    <x v="22"/>
    <s v="R010"/>
    <n v="4"/>
    <n v="3350"/>
    <n v="28.1"/>
    <n v="9634.6"/>
    <s v="Completed"/>
    <s v="Pune"/>
    <s v="Beauty"/>
    <s v="Corporate"/>
    <n v="47"/>
    <x v="1"/>
    <n v="1728"/>
    <n v="0.48417910447761192"/>
  </r>
  <r>
    <s v="ORD-00448"/>
    <d v="2024-02-14T00:00:00"/>
    <s v="CUST-0071"/>
    <x v="19"/>
    <s v="R021"/>
    <n v="1"/>
    <n v="2480"/>
    <n v="13.5"/>
    <n v="2145.1999999999998"/>
    <s v="Completed"/>
    <s v="Delhi"/>
    <s v="Apparel"/>
    <s v="Corporate"/>
    <n v="46"/>
    <x v="3"/>
    <n v="1173"/>
    <n v="0.52701612903225803"/>
  </r>
  <r>
    <s v="ORD-00449"/>
    <d v="2024-12-23T00:00:00"/>
    <s v="CUST-0017"/>
    <x v="48"/>
    <s v="R015"/>
    <n v="10"/>
    <n v="5410"/>
    <n v="26.1"/>
    <n v="39979.9"/>
    <s v="Completed"/>
    <s v="Delhi"/>
    <s v="Sports"/>
    <s v="SMB"/>
    <n v="38"/>
    <x v="1"/>
    <n v="2265"/>
    <n v="0.58133086876155271"/>
  </r>
  <r>
    <s v="ORD-00450"/>
    <d v="2024-10-21T00:00:00"/>
    <s v="CUST-0007"/>
    <x v="29"/>
    <s v="R023"/>
    <n v="2"/>
    <n v="660"/>
    <n v="5"/>
    <n v="1254"/>
    <s v="Completed"/>
    <s v="Bengaluru"/>
    <s v="Home"/>
    <s v="Retail"/>
    <n v="47"/>
    <x v="3"/>
    <n v="329"/>
    <n v="0.50151515151515147"/>
  </r>
  <r>
    <s v="ORD-00451"/>
    <d v="2024-12-21T00:00:00"/>
    <s v="CUST-0054"/>
    <x v="23"/>
    <s v="R007"/>
    <n v="10"/>
    <n v="1010"/>
    <n v="10"/>
    <n v="9090"/>
    <s v="Completed"/>
    <s v="Mumbai"/>
    <s v="Sports"/>
    <s v="Corporate"/>
    <n v="62"/>
    <x v="0"/>
    <n v="516"/>
    <n v="0.4891089108910891"/>
  </r>
  <r>
    <s v="ORD-00452"/>
    <d v="2024-07-23T00:00:00"/>
    <s v="CUST-0038"/>
    <x v="52"/>
    <s v="R001"/>
    <n v="3"/>
    <n v="2290"/>
    <n v="8.9"/>
    <n v="6258.57"/>
    <s v="Completed"/>
    <s v="Mumbai"/>
    <s v="Beauty"/>
    <s v="Retail"/>
    <n v="57"/>
    <x v="0"/>
    <n v="1219"/>
    <n v="0.46768558951965067"/>
  </r>
  <r>
    <s v="ORD-00453"/>
    <d v="2024-03-18T00:00:00"/>
    <s v="CUST-0066"/>
    <x v="16"/>
    <s v="R001"/>
    <n v="9"/>
    <n v="3450"/>
    <n v="24.3"/>
    <n v="23504.85"/>
    <s v="Completed"/>
    <s v="Delhi"/>
    <s v="Beauty"/>
    <s v="Retail"/>
    <n v="24"/>
    <x v="0"/>
    <n v="2420"/>
    <n v="0.29855072463768118"/>
  </r>
  <r>
    <s v="ORD-00454"/>
    <d v="2024-04-07T00:00:00"/>
    <s v="CUST-0161"/>
    <x v="32"/>
    <s v="R003"/>
    <n v="10"/>
    <n v="3640"/>
    <n v="21.4"/>
    <n v="28610.400000000001"/>
    <s v="Cancelled"/>
    <s v="Chennai"/>
    <s v="Apparel"/>
    <s v="Retail"/>
    <n v="38"/>
    <x v="0"/>
    <n v="2611"/>
    <n v="0.28269230769230769"/>
  </r>
  <r>
    <s v="ORD-00455"/>
    <d v="2024-02-14T00:00:00"/>
    <s v="CUST-0072"/>
    <x v="50"/>
    <s v="R015"/>
    <n v="5"/>
    <n v="2380"/>
    <n v="12.2"/>
    <n v="10448.200000000001"/>
    <s v="Completed"/>
    <s v="Mumbai"/>
    <s v="Grocery"/>
    <s v="Corporate"/>
    <n v="62"/>
    <x v="1"/>
    <n v="1182"/>
    <n v="0.50336134453781511"/>
  </r>
  <r>
    <s v="ORD-00456"/>
    <d v="2024-08-01T00:00:00"/>
    <s v="CUST-0232"/>
    <x v="48"/>
    <s v="R017"/>
    <n v="10"/>
    <n v="5410"/>
    <n v="29.8"/>
    <n v="37978.199999999997"/>
    <s v="Completed"/>
    <s v="Hyderabad"/>
    <s v="Sports"/>
    <s v="Retail"/>
    <n v="38"/>
    <x v="3"/>
    <n v="2265"/>
    <n v="0.58133086876155271"/>
  </r>
  <r>
    <s v="ORD-00457"/>
    <d v="2024-03-24T00:00:00"/>
    <s v="CUST-0054"/>
    <x v="21"/>
    <s v="R021"/>
    <n v="3"/>
    <n v="1650"/>
    <n v="9.4"/>
    <n v="4484.7"/>
    <s v="Cancelled"/>
    <s v="Mumbai"/>
    <s v="Beauty"/>
    <s v="Corporate"/>
    <n v="62"/>
    <x v="3"/>
    <n v="1222"/>
    <n v="0.2593939393939394"/>
  </r>
  <r>
    <s v="ORD-00458"/>
    <d v="2024-04-01T00:00:00"/>
    <s v="CUST-0214"/>
    <x v="12"/>
    <s v="R022"/>
    <n v="7"/>
    <n v="2600"/>
    <n v="19.899999999999999"/>
    <n v="14578.2"/>
    <s v="Pending"/>
    <s v="Mumbai"/>
    <s v="Electronics"/>
    <s v="Retail"/>
    <n v="22"/>
    <x v="3"/>
    <n v="1052"/>
    <n v="0.5953846153846154"/>
  </r>
  <r>
    <s v="ORD-00135"/>
    <d v="2024-07-01T00:00:00"/>
    <s v="CUST-0236"/>
    <x v="39"/>
    <s v="R002"/>
    <n v="4"/>
    <n v="4610"/>
    <n v="13.2"/>
    <n v="16005.92"/>
    <s v="Completed"/>
    <s v="Hyderabad"/>
    <s v="Home"/>
    <s v="SMB"/>
    <n v="28"/>
    <x v="0"/>
    <n v="1850"/>
    <n v="0.59869848156182215"/>
  </r>
  <r>
    <s v="ORD-00460"/>
    <d v="2024-03-10T00:00:00"/>
    <s v="CUST-0031"/>
    <x v="39"/>
    <s v="R021"/>
    <n v="9"/>
    <n v="4610"/>
    <n v="25.8"/>
    <n v="30785.58"/>
    <s v="Completed"/>
    <s v="Hyderabad"/>
    <s v="Home"/>
    <s v="Retail"/>
    <n v="53"/>
    <x v="3"/>
    <n v="1850"/>
    <n v="0.59869848156182215"/>
  </r>
  <r>
    <s v="ORD-00461"/>
    <d v="2024-09-15T00:00:00"/>
    <s v="CUST-0123"/>
    <x v="42"/>
    <s v="R014"/>
    <n v="5"/>
    <n v="300"/>
    <n v="11.8"/>
    <n v="1323"/>
    <s v="Completed"/>
    <s v="Chennai"/>
    <s v="Electronics"/>
    <s v="Corporate"/>
    <n v="44"/>
    <x v="1"/>
    <n v="128"/>
    <n v="0.57333333333333336"/>
  </r>
  <r>
    <s v="ORD-00462"/>
    <d v="2024-07-12T00:00:00"/>
    <s v="CUST-0019"/>
    <x v="55"/>
    <s v="R020"/>
    <n v="3"/>
    <n v="3450"/>
    <n v="14.2"/>
    <n v="8880.2999999999993"/>
    <s v="Completed"/>
    <s v="Chennai"/>
    <s v="Apparel"/>
    <s v="Retail"/>
    <n v="22"/>
    <x v="3"/>
    <n v="1748"/>
    <n v="0.49333333333333335"/>
  </r>
  <r>
    <s v="ORD-00463"/>
    <d v="2024-08-19T00:00:00"/>
    <s v="CUST-0171"/>
    <x v="20"/>
    <s v="R028"/>
    <n v="2"/>
    <n v="2720"/>
    <n v="14.6"/>
    <n v="4645.76"/>
    <s v="Cancelled"/>
    <s v="Chennai"/>
    <s v="Apparel"/>
    <s v="Corporate"/>
    <n v="30"/>
    <x v="2"/>
    <n v="1962"/>
    <n v="0.2786764705882353"/>
  </r>
  <r>
    <s v="ORD-00464"/>
    <d v="2024-11-30T00:00:00"/>
    <s v="CUST-0166"/>
    <x v="41"/>
    <s v="R017"/>
    <n v="7"/>
    <n v="2660"/>
    <n v="27.4"/>
    <n v="13518.12"/>
    <s v="Cancelled"/>
    <s v="Hyderabad"/>
    <s v="Electronics"/>
    <s v="Retail"/>
    <n v="31"/>
    <x v="3"/>
    <n v="1259"/>
    <n v="0.52669172932330832"/>
  </r>
  <r>
    <s v="ORD-00465"/>
    <d v="2024-01-11T00:00:00"/>
    <s v="CUST-0151"/>
    <x v="17"/>
    <s v="R005"/>
    <n v="8"/>
    <n v="3450"/>
    <n v="20.399999999999999"/>
    <n v="21969.599999999999"/>
    <s v="Completed"/>
    <s v="Mumbai"/>
    <s v="Sports"/>
    <s v="Retail"/>
    <n v="53"/>
    <x v="0"/>
    <n v="2467"/>
    <n v="0.28492753623188405"/>
  </r>
  <r>
    <s v="ORD-00466"/>
    <d v="2024-05-15T00:00:00"/>
    <s v="CUST-0027"/>
    <x v="48"/>
    <s v="R016"/>
    <n v="2"/>
    <n v="5410"/>
    <n v="7.2"/>
    <n v="10040.959999999999"/>
    <s v="Completed"/>
    <s v="Hyderabad"/>
    <s v="Sports"/>
    <s v="Corporate"/>
    <n v="52"/>
    <x v="1"/>
    <n v="2265"/>
    <n v="0.58133086876155271"/>
  </r>
  <r>
    <s v="ORD-00467"/>
    <d v="2024-01-24T00:00:00"/>
    <s v="CUST-0171"/>
    <x v="35"/>
    <s v="R013"/>
    <n v="3"/>
    <n v="3870"/>
    <n v="4.2"/>
    <n v="11122.38"/>
    <s v="Completed"/>
    <s v="Chennai"/>
    <s v="Electronics"/>
    <s v="Corporate"/>
    <n v="30"/>
    <x v="1"/>
    <n v="1559"/>
    <n v="0.59715762273901807"/>
  </r>
  <r>
    <s v="ORD-00468"/>
    <d v="2024-02-06T00:00:00"/>
    <s v="CUST-0094"/>
    <x v="10"/>
    <s v="R005"/>
    <n v="10"/>
    <n v="2270"/>
    <n v="17.3"/>
    <n v="18772.900000000001"/>
    <s v="Completed"/>
    <s v="Pune"/>
    <s v="Grocery"/>
    <s v="SMB"/>
    <n v="60"/>
    <x v="0"/>
    <n v="1203"/>
    <n v="0.47004405286343615"/>
  </r>
  <r>
    <s v="ORD-00469"/>
    <d v="2024-04-12T00:00:00"/>
    <s v="CUST-0223"/>
    <x v="49"/>
    <s v="R025"/>
    <n v="1"/>
    <n v="5330"/>
    <n v="24.2"/>
    <n v="4040.14"/>
    <s v="Completed"/>
    <s v="Bengaluru"/>
    <s v="Electronics"/>
    <s v="Retail"/>
    <n v="46"/>
    <x v="2"/>
    <n v="2405"/>
    <n v="0.54878048780487809"/>
  </r>
  <r>
    <s v="ORD-00470"/>
    <d v="2024-05-02T00:00:00"/>
    <s v="CUST-0281"/>
    <x v="22"/>
    <s v="R015"/>
    <n v="2"/>
    <n v="3350"/>
    <n v="23.4"/>
    <n v="5132.2"/>
    <s v="Completed"/>
    <s v="Bengaluru"/>
    <s v="Beauty"/>
    <s v="Corporate"/>
    <n v="57"/>
    <x v="1"/>
    <n v="1728"/>
    <n v="0.48417910447761192"/>
  </r>
  <r>
    <s v="ORD-00471"/>
    <d v="2024-04-11T00:00:00"/>
    <s v="CUST-0148"/>
    <x v="40"/>
    <s v="R006"/>
    <n v="7"/>
    <n v="3020"/>
    <n v="23.7"/>
    <n v="16129.82"/>
    <s v="Completed"/>
    <s v="Chennai"/>
    <s v="Beauty"/>
    <s v="Retail"/>
    <n v="32"/>
    <x v="0"/>
    <n v="1626"/>
    <n v="0.46158940397350995"/>
  </r>
  <r>
    <s v="ORD-00472"/>
    <d v="2024-08-31T00:00:00"/>
    <s v="CUST-0010"/>
    <x v="4"/>
    <s v="R020"/>
    <n v="7"/>
    <n v="3160"/>
    <n v="22.8"/>
    <n v="17076.64"/>
    <s v="Completed"/>
    <s v="Mumbai"/>
    <s v="Apparel"/>
    <s v="SMB"/>
    <n v="61"/>
    <x v="3"/>
    <n v="1886"/>
    <n v="0.4031645569620253"/>
  </r>
  <r>
    <s v="ORD-00473"/>
    <d v="2024-09-06T00:00:00"/>
    <s v="CUST-0254"/>
    <x v="2"/>
    <s v="R020"/>
    <n v="2"/>
    <n v="470"/>
    <n v="28.8"/>
    <n v="669.28"/>
    <s v="Cancelled"/>
    <s v="Bengaluru"/>
    <s v="Sports"/>
    <s v="Retail"/>
    <n v="35"/>
    <x v="3"/>
    <n v="302"/>
    <n v="0.35744680851063831"/>
  </r>
  <r>
    <s v="ORD-00474"/>
    <d v="2024-06-11T00:00:00"/>
    <s v="CUST-0126"/>
    <x v="13"/>
    <s v="R021"/>
    <n v="2"/>
    <n v="3250"/>
    <n v="24.7"/>
    <n v="4894.5"/>
    <s v="Completed"/>
    <s v="Mumbai"/>
    <s v="Home"/>
    <s v="Retail"/>
    <n v="37"/>
    <x v="3"/>
    <n v="1556"/>
    <n v="0.52123076923076928"/>
  </r>
  <r>
    <s v="ORD-00475"/>
    <d v="2024-12-05T00:00:00"/>
    <s v="CUST-0018"/>
    <x v="23"/>
    <s v="R023"/>
    <n v="2"/>
    <n v="1010"/>
    <n v="5.2"/>
    <n v="1914.96"/>
    <s v="Cancelled"/>
    <s v="Pune"/>
    <s v="Sports"/>
    <s v="SMB"/>
    <n v="54"/>
    <x v="3"/>
    <n v="516"/>
    <n v="0.4891089108910891"/>
  </r>
  <r>
    <s v="ORD-00476"/>
    <d v="2024-10-23T00:00:00"/>
    <s v="CUST-0089"/>
    <x v="42"/>
    <s v="R001"/>
    <n v="9"/>
    <n v="300"/>
    <n v="7.9"/>
    <n v="2486.6999999999998"/>
    <s v="Completed"/>
    <s v="Mumbai"/>
    <s v="Electronics"/>
    <s v="SMB"/>
    <n v="43"/>
    <x v="0"/>
    <n v="128"/>
    <n v="0.57333333333333336"/>
  </r>
  <r>
    <s v="ORD-00477"/>
    <d v="2024-06-26T00:00:00"/>
    <s v="CUST-0157"/>
    <x v="26"/>
    <s v="R006"/>
    <n v="10"/>
    <n v="5100"/>
    <n v="26.3"/>
    <n v="37587"/>
    <s v="Pending"/>
    <s v="Pune"/>
    <s v="Beauty"/>
    <s v="Corporate"/>
    <n v="52"/>
    <x v="0"/>
    <n v="2237"/>
    <n v="0.56137254901960787"/>
  </r>
  <r>
    <s v="ORD-00478"/>
    <d v="2024-09-17T00:00:00"/>
    <s v="CUST-0201"/>
    <x v="22"/>
    <s v="R028"/>
    <n v="1"/>
    <n v="3350"/>
    <n v="8.5"/>
    <n v="3065.25"/>
    <s v="Cancelled"/>
    <s v="Hyderabad"/>
    <s v="Beauty"/>
    <s v="Retail"/>
    <n v="31"/>
    <x v="2"/>
    <n v="1728"/>
    <n v="0.48417910447761192"/>
  </r>
  <r>
    <s v="ORD-01195"/>
    <d v="2024-09-19T00:00:00"/>
    <s v="CUST-0091"/>
    <x v="13"/>
    <s v="R022"/>
    <n v="2"/>
    <n v="3250"/>
    <n v="25.7"/>
    <n v="4829.5"/>
    <s v="Refunded"/>
    <s v="Delhi"/>
    <s v="Home"/>
    <s v="Retail"/>
    <n v="55"/>
    <x v="3"/>
    <n v="1556"/>
    <n v="0.52123076923076928"/>
  </r>
  <r>
    <s v="ORD-00480"/>
    <d v="2024-03-01T00:00:00"/>
    <s v="CUST-0052"/>
    <x v="3"/>
    <s v="R008"/>
    <n v="10"/>
    <n v="3660"/>
    <n v="12"/>
    <n v="32208"/>
    <s v="Completed"/>
    <s v="Pune"/>
    <s v="Grocery"/>
    <s v="Retail"/>
    <n v="38"/>
    <x v="0"/>
    <n v="2214"/>
    <n v="0.39508196721311473"/>
  </r>
  <r>
    <s v="ORD-00481"/>
    <d v="2024-08-17T00:00:00"/>
    <s v="CUST-0069"/>
    <x v="15"/>
    <s v="R009"/>
    <n v="1"/>
    <n v="2400"/>
    <n v="24.5"/>
    <n v="1812"/>
    <s v="Completed"/>
    <s v="Chennai"/>
    <s v="Sports"/>
    <s v="Retail"/>
    <n v="51"/>
    <x v="1"/>
    <n v="974"/>
    <n v="0.59416666666666662"/>
  </r>
  <r>
    <s v="ORD-00482"/>
    <d v="2024-07-23T00:00:00"/>
    <s v="CUST-0294"/>
    <x v="57"/>
    <s v="R010"/>
    <n v="1"/>
    <n v="1090"/>
    <n v="18.399999999999999"/>
    <n v="889.44"/>
    <s v="Completed"/>
    <s v="Delhi"/>
    <s v="Home"/>
    <s v="Corporate"/>
    <n v="31"/>
    <x v="1"/>
    <n v="464"/>
    <n v="0.57431192660550456"/>
  </r>
  <r>
    <s v="ORD-00483"/>
    <d v="2024-04-22T00:00:00"/>
    <s v="CUST-0019"/>
    <x v="56"/>
    <s v="R015"/>
    <n v="6"/>
    <n v="3780"/>
    <n v="15.9"/>
    <n v="19073.88"/>
    <s v="Completed"/>
    <s v="Chennai"/>
    <s v="Sports"/>
    <s v="Retail"/>
    <n v="22"/>
    <x v="1"/>
    <n v="1860"/>
    <n v="0.50793650793650791"/>
  </r>
  <r>
    <s v="ORD-00484"/>
    <d v="2024-02-08T00:00:00"/>
    <s v="CUST-0087"/>
    <x v="22"/>
    <s v="R019"/>
    <n v="3"/>
    <n v="3350"/>
    <n v="18.8"/>
    <n v="8160.6"/>
    <s v="Refunded"/>
    <s v="Pune"/>
    <s v="Beauty"/>
    <s v="SMB"/>
    <n v="49"/>
    <x v="3"/>
    <n v="1728"/>
    <n v="0.48417910447761192"/>
  </r>
  <r>
    <s v="ORD-00485"/>
    <d v="2024-02-01T00:00:00"/>
    <s v="CUST-0281"/>
    <x v="18"/>
    <s v="R030"/>
    <n v="3"/>
    <n v="1080"/>
    <n v="3.4"/>
    <n v="3129.84"/>
    <s v="Completed"/>
    <s v="Bengaluru"/>
    <s v="Home"/>
    <s v="Corporate"/>
    <n v="57"/>
    <x v="2"/>
    <n v="519"/>
    <n v="0.51944444444444449"/>
  </r>
  <r>
    <s v="ORD-00486"/>
    <d v="2024-08-15T00:00:00"/>
    <s v="CUST-0248"/>
    <x v="37"/>
    <s v="R022"/>
    <n v="6"/>
    <n v="4070"/>
    <n v="27.7"/>
    <n v="17655.66"/>
    <s v="Pending"/>
    <s v="Chennai"/>
    <s v="Grocery"/>
    <s v="SMB"/>
    <n v="57"/>
    <x v="3"/>
    <n v="2027"/>
    <n v="0.50196560196560192"/>
  </r>
  <r>
    <s v="ORD-00487"/>
    <d v="2024-08-10T00:00:00"/>
    <s v="CUST-0019"/>
    <x v="36"/>
    <s v="R026"/>
    <n v="5"/>
    <n v="1540"/>
    <n v="24.9"/>
    <n v="5782.7"/>
    <s v="Completed"/>
    <s v="Chennai"/>
    <s v="Beauty"/>
    <s v="Retail"/>
    <n v="22"/>
    <x v="2"/>
    <n v="647"/>
    <n v="0.57987012987012987"/>
  </r>
  <r>
    <s v="ORD-00488"/>
    <d v="2024-07-24T00:00:00"/>
    <s v="CUST-0092"/>
    <x v="28"/>
    <s v="R028"/>
    <n v="6"/>
    <n v="2760"/>
    <n v="29.9"/>
    <n v="11608.56"/>
    <s v="Completed"/>
    <s v="Bengaluru"/>
    <s v="Grocery"/>
    <s v="SMB"/>
    <n v="28"/>
    <x v="2"/>
    <n v="1435"/>
    <n v="0.48007246376811596"/>
  </r>
  <r>
    <s v="ORD-00489"/>
    <d v="2024-12-13T00:00:00"/>
    <s v="CUST-0195"/>
    <x v="53"/>
    <s v="R022"/>
    <n v="8"/>
    <n v="3970"/>
    <n v="23.7"/>
    <n v="24232.880000000001"/>
    <s v="Completed"/>
    <s v="Bengaluru"/>
    <s v="Electronics"/>
    <s v="Retail"/>
    <n v="28"/>
    <x v="3"/>
    <n v="2865"/>
    <n v="0.27833753148614609"/>
  </r>
  <r>
    <s v="ORD-00490"/>
    <d v="2024-09-27T00:00:00"/>
    <s v="CUST-0126"/>
    <x v="55"/>
    <s v="R021"/>
    <n v="1"/>
    <n v="3450"/>
    <n v="7.4"/>
    <n v="3194.7"/>
    <s v="Completed"/>
    <s v="Mumbai"/>
    <s v="Apparel"/>
    <s v="Retail"/>
    <n v="37"/>
    <x v="3"/>
    <n v="1748"/>
    <n v="0.49333333333333335"/>
  </r>
  <r>
    <s v="ORD-00491"/>
    <d v="2024-01-17T00:00:00"/>
    <s v="CUST-0274"/>
    <x v="59"/>
    <s v="R005"/>
    <n v="3"/>
    <n v="3560"/>
    <n v="15.2"/>
    <n v="9056.64"/>
    <s v="Completed"/>
    <s v="Bengaluru"/>
    <s v="Apparel"/>
    <s v="Corporate"/>
    <n v="36"/>
    <x v="0"/>
    <n v="2629"/>
    <n v="0.26151685393258428"/>
  </r>
  <r>
    <s v="ORD-00492"/>
    <d v="2024-05-16T00:00:00"/>
    <s v="CUST-0059"/>
    <x v="25"/>
    <s v="R030"/>
    <n v="4"/>
    <n v="3570"/>
    <n v="18.899999999999999"/>
    <n v="11581.08"/>
    <s v="Completed"/>
    <s v="Pune"/>
    <s v="Electronics"/>
    <s v="Corporate"/>
    <n v="29"/>
    <x v="2"/>
    <n v="1665"/>
    <n v="0.53361344537815125"/>
  </r>
  <r>
    <s v="ORD-00493"/>
    <d v="2024-06-29T00:00:00"/>
    <s v="CUST-0264"/>
    <x v="6"/>
    <s v="R025"/>
    <n v="9"/>
    <n v="960"/>
    <n v="14"/>
    <n v="7430.4"/>
    <s v="Refunded"/>
    <s v="Pune"/>
    <s v="Sports"/>
    <s v="Retail"/>
    <n v="59"/>
    <x v="2"/>
    <n v="705"/>
    <n v="0.265625"/>
  </r>
  <r>
    <s v="ORD-00494"/>
    <d v="2024-04-24T00:00:00"/>
    <s v="CUST-0157"/>
    <x v="16"/>
    <s v="R016"/>
    <n v="9"/>
    <n v="3450"/>
    <n v="6"/>
    <n v="29187"/>
    <s v="Cancelled"/>
    <s v="Pune"/>
    <s v="Beauty"/>
    <s v="Corporate"/>
    <n v="52"/>
    <x v="1"/>
    <n v="2420"/>
    <n v="0.29855072463768118"/>
  </r>
  <r>
    <s v="ORD-00495"/>
    <d v="2024-06-14T00:00:00"/>
    <s v="CUST-0028"/>
    <x v="22"/>
    <s v="R012"/>
    <n v="7"/>
    <n v="3350"/>
    <n v="14"/>
    <n v="20167"/>
    <s v="Cancelled"/>
    <s v="Bengaluru"/>
    <s v="Beauty"/>
    <s v="Retail"/>
    <n v="59"/>
    <x v="1"/>
    <n v="1728"/>
    <n v="0.48417910447761192"/>
  </r>
  <r>
    <s v="ORD-00496"/>
    <d v="2024-01-07T00:00:00"/>
    <s v="CUST-0033"/>
    <x v="51"/>
    <s v="R004"/>
    <n v="6"/>
    <n v="960"/>
    <n v="10.1"/>
    <n v="5178.24"/>
    <s v="Completed"/>
    <s v="Delhi"/>
    <s v="Beauty"/>
    <s v="Retail"/>
    <n v="35"/>
    <x v="0"/>
    <n v="675"/>
    <n v="0.296875"/>
  </r>
  <r>
    <s v="ORD-00497"/>
    <d v="2024-02-15T00:00:00"/>
    <s v="CUST-0280"/>
    <x v="42"/>
    <s v="R016"/>
    <n v="7"/>
    <n v="300"/>
    <n v="21.9"/>
    <n v="1640.1"/>
    <s v="Completed"/>
    <s v="Delhi"/>
    <s v="Electronics"/>
    <s v="SMB"/>
    <n v="27"/>
    <x v="1"/>
    <n v="128"/>
    <n v="0.57333333333333336"/>
  </r>
  <r>
    <s v="ORD-00498"/>
    <d v="2024-04-07T00:00:00"/>
    <s v="CUST-0232"/>
    <x v="50"/>
    <s v="R019"/>
    <n v="2"/>
    <n v="2380"/>
    <n v="6.8"/>
    <n v="4436.32"/>
    <s v="Completed"/>
    <s v="Hyderabad"/>
    <s v="Grocery"/>
    <s v="Retail"/>
    <n v="38"/>
    <x v="3"/>
    <n v="1182"/>
    <n v="0.50336134453781511"/>
  </r>
  <r>
    <s v="ORD-00499"/>
    <d v="2024-01-07T00:00:00"/>
    <s v="CUST-0270"/>
    <x v="6"/>
    <s v="R024"/>
    <n v="5"/>
    <n v="960"/>
    <n v="15"/>
    <n v="4080"/>
    <s v="Cancelled"/>
    <s v="Bengaluru"/>
    <s v="Sports"/>
    <s v="Retail"/>
    <n v="29"/>
    <x v="2"/>
    <n v="705"/>
    <n v="0.265625"/>
  </r>
  <r>
    <s v="ORD-00500"/>
    <d v="2024-10-12T00:00:00"/>
    <s v="CUST-0203"/>
    <x v="56"/>
    <s v="R012"/>
    <n v="10"/>
    <n v="3780"/>
    <n v="24.1"/>
    <n v="28690.2"/>
    <s v="Refunded"/>
    <s v="Chennai"/>
    <s v="Sports"/>
    <s v="SMB"/>
    <n v="55"/>
    <x v="1"/>
    <n v="1860"/>
    <n v="0.50793650793650791"/>
  </r>
  <r>
    <s v="ORD-00501"/>
    <d v="2024-03-04T00:00:00"/>
    <s v="CUST-0069"/>
    <x v="36"/>
    <s v="R020"/>
    <n v="4"/>
    <n v="1540"/>
    <n v="14.2"/>
    <n v="5285.28"/>
    <s v="Cancelled"/>
    <s v="Chennai"/>
    <s v="Beauty"/>
    <s v="Retail"/>
    <n v="51"/>
    <x v="3"/>
    <n v="647"/>
    <n v="0.57987012987012987"/>
  </r>
  <r>
    <s v="ORD-00502"/>
    <d v="2024-06-20T00:00:00"/>
    <s v="CUST-0037"/>
    <x v="47"/>
    <s v="R005"/>
    <n v="10"/>
    <n v="2510"/>
    <n v="20.8"/>
    <n v="19879.2"/>
    <s v="Completed"/>
    <s v="Bengaluru"/>
    <s v="Apparel"/>
    <s v="Retail"/>
    <n v="52"/>
    <x v="0"/>
    <n v="1075"/>
    <n v="0.57171314741035861"/>
  </r>
  <r>
    <s v="ORD-00503"/>
    <d v="2024-03-23T00:00:00"/>
    <s v="CUST-0149"/>
    <x v="46"/>
    <s v="R014"/>
    <n v="9"/>
    <n v="4060"/>
    <n v="27.1"/>
    <n v="26637.66"/>
    <s v="Completed"/>
    <s v="Hyderabad"/>
    <s v="Grocery"/>
    <s v="Retail"/>
    <n v="44"/>
    <x v="1"/>
    <n v="2911"/>
    <n v="0.28300492610837441"/>
  </r>
  <r>
    <s v="ORD-00504"/>
    <d v="2024-12-12T00:00:00"/>
    <s v="CUST-0131"/>
    <x v="15"/>
    <s v="R025"/>
    <n v="4"/>
    <n v="2400"/>
    <n v="19.100000000000001"/>
    <n v="7766.4"/>
    <s v="Completed"/>
    <s v="Delhi"/>
    <s v="Sports"/>
    <s v="SMB"/>
    <n v="28"/>
    <x v="2"/>
    <n v="974"/>
    <n v="0.59416666666666662"/>
  </r>
  <r>
    <s v="ORD-00505"/>
    <d v="2024-08-21T00:00:00"/>
    <s v="CUST-0071"/>
    <x v="24"/>
    <s v="R022"/>
    <n v="8"/>
    <n v="4880"/>
    <n v="9.1999999999999993"/>
    <n v="35448.32"/>
    <s v="Cancelled"/>
    <s v="Delhi"/>
    <s v="Beauty"/>
    <s v="Corporate"/>
    <n v="46"/>
    <x v="3"/>
    <n v="2768"/>
    <n v="0.43278688524590164"/>
  </r>
  <r>
    <s v="ORD-00506"/>
    <d v="2024-10-21T00:00:00"/>
    <s v="CUST-0249"/>
    <x v="26"/>
    <s v="R019"/>
    <n v="9"/>
    <n v="5100"/>
    <n v="11.1"/>
    <n v="40805.1"/>
    <s v="Cancelled"/>
    <s v="Mumbai"/>
    <s v="Beauty"/>
    <s v="Retail"/>
    <n v="44"/>
    <x v="3"/>
    <n v="2237"/>
    <n v="0.56137254901960787"/>
  </r>
  <r>
    <s v="ORD-00507"/>
    <d v="2024-12-11T00:00:00"/>
    <s v="CUST-0181"/>
    <x v="42"/>
    <s v="R028"/>
    <n v="4"/>
    <n v="300"/>
    <n v="16.7"/>
    <n v="999.6"/>
    <s v="Completed"/>
    <s v="Delhi"/>
    <s v="Electronics"/>
    <s v="SMB"/>
    <n v="38"/>
    <x v="2"/>
    <n v="128"/>
    <n v="0.57333333333333336"/>
  </r>
  <r>
    <s v="ORD-00508"/>
    <d v="2024-05-31T00:00:00"/>
    <s v="CUST-0085"/>
    <x v="19"/>
    <s v="R014"/>
    <n v="6"/>
    <n v="2480"/>
    <n v="3.3"/>
    <n v="14388.96"/>
    <s v="Completed"/>
    <s v="Chennai"/>
    <s v="Apparel"/>
    <s v="Retail"/>
    <n v="26"/>
    <x v="1"/>
    <n v="1173"/>
    <n v="0.52701612903225803"/>
  </r>
  <r>
    <s v="ORD-00509"/>
    <d v="2024-10-04T00:00:00"/>
    <s v="CUST-0180"/>
    <x v="21"/>
    <s v="R023"/>
    <n v="10"/>
    <n v="1650"/>
    <n v="22.9"/>
    <n v="12721.5"/>
    <s v="Refunded"/>
    <s v="Chennai"/>
    <s v="Beauty"/>
    <s v="Retail"/>
    <n v="36"/>
    <x v="3"/>
    <n v="1222"/>
    <n v="0.2593939393939394"/>
  </r>
  <r>
    <s v="ORD-00510"/>
    <d v="2024-01-28T00:00:00"/>
    <s v="CUST-0103"/>
    <x v="45"/>
    <s v="R012"/>
    <n v="3"/>
    <n v="2210"/>
    <n v="11.1"/>
    <n v="5894.07"/>
    <s v="Completed"/>
    <s v="Hyderabad"/>
    <s v="Grocery"/>
    <s v="Corporate"/>
    <n v="54"/>
    <x v="1"/>
    <n v="1010"/>
    <n v="0.54298642533936647"/>
  </r>
  <r>
    <s v="ORD-00511"/>
    <d v="2024-04-24T00:00:00"/>
    <s v="CUST-0174"/>
    <x v="19"/>
    <s v="R005"/>
    <n v="10"/>
    <n v="2480"/>
    <n v="13"/>
    <n v="21576"/>
    <s v="Pending"/>
    <s v="Pune"/>
    <s v="Apparel"/>
    <s v="Retail"/>
    <n v="54"/>
    <x v="0"/>
    <n v="1173"/>
    <n v="0.52701612903225803"/>
  </r>
  <r>
    <s v="ORD-00512"/>
    <d v="2024-12-03T00:00:00"/>
    <s v="CUST-0071"/>
    <x v="49"/>
    <s v="R023"/>
    <n v="10"/>
    <n v="5330"/>
    <n v="0.7"/>
    <n v="52926.9"/>
    <s v="Completed"/>
    <s v="Delhi"/>
    <s v="Electronics"/>
    <s v="Corporate"/>
    <n v="46"/>
    <x v="3"/>
    <n v="2405"/>
    <n v="0.54878048780487809"/>
  </r>
  <r>
    <s v="ORD-00513"/>
    <d v="2024-11-16T00:00:00"/>
    <s v="CUST-0266"/>
    <x v="37"/>
    <s v="R012"/>
    <n v="9"/>
    <n v="4070"/>
    <n v="15.6"/>
    <n v="30915.72"/>
    <s v="Completed"/>
    <s v="Pune"/>
    <s v="Grocery"/>
    <s v="Retail"/>
    <n v="65"/>
    <x v="1"/>
    <n v="2027"/>
    <n v="0.50196560196560192"/>
  </r>
  <r>
    <s v="ORD-00514"/>
    <d v="2024-11-17T00:00:00"/>
    <s v="CUST-0148"/>
    <x v="20"/>
    <s v="R001"/>
    <n v="5"/>
    <n v="2720"/>
    <n v="10.3"/>
    <n v="12199.2"/>
    <s v="Cancelled"/>
    <s v="Chennai"/>
    <s v="Apparel"/>
    <s v="Retail"/>
    <n v="32"/>
    <x v="0"/>
    <n v="1962"/>
    <n v="0.2786764705882353"/>
  </r>
  <r>
    <s v="ORD-00515"/>
    <d v="2024-07-11T00:00:00"/>
    <s v="CUST-0030"/>
    <x v="27"/>
    <s v="R029"/>
    <n v="6"/>
    <n v="2860"/>
    <n v="28.9"/>
    <n v="12200.76"/>
    <s v="Completed"/>
    <s v="Bengaluru"/>
    <s v="Sports"/>
    <s v="Corporate"/>
    <n v="43"/>
    <x v="2"/>
    <n v="2028"/>
    <n v="0.29090909090909089"/>
  </r>
  <r>
    <s v="ORD-00516"/>
    <d v="2024-12-30T00:00:00"/>
    <s v="CUST-0128"/>
    <x v="0"/>
    <s v="R012"/>
    <n v="5"/>
    <n v="3620"/>
    <n v="18.2"/>
    <n v="14805.8"/>
    <s v="Completed"/>
    <s v="Hyderabad"/>
    <s v="Apparel"/>
    <s v="Retail"/>
    <n v="35"/>
    <x v="1"/>
    <n v="2509"/>
    <n v="0.3069060773480663"/>
  </r>
  <r>
    <s v="ORD-00517"/>
    <d v="2024-05-20T00:00:00"/>
    <s v="CUST-0056"/>
    <x v="21"/>
    <s v="R018"/>
    <n v="3"/>
    <n v="1650"/>
    <n v="10.7"/>
    <n v="4420.3500000000004"/>
    <s v="Completed"/>
    <s v="Bengaluru"/>
    <s v="Beauty"/>
    <s v="SMB"/>
    <n v="46"/>
    <x v="3"/>
    <n v="1222"/>
    <n v="0.2593939393939394"/>
  </r>
  <r>
    <s v="ORD-00518"/>
    <d v="2024-07-22T00:00:00"/>
    <s v="CUST-0178"/>
    <x v="14"/>
    <s v="R029"/>
    <n v="8"/>
    <n v="190"/>
    <n v="18"/>
    <n v="1246.4000000000001"/>
    <s v="Pending"/>
    <s v="Hyderabad"/>
    <s v="Sports"/>
    <s v="Retail"/>
    <n v="25"/>
    <x v="2"/>
    <n v="147"/>
    <n v="0.22631578947368422"/>
  </r>
  <r>
    <s v="ORD-00519"/>
    <d v="2024-05-31T00:00:00"/>
    <s v="CUST-0237"/>
    <x v="52"/>
    <s v="R029"/>
    <n v="7"/>
    <n v="2290"/>
    <n v="12.5"/>
    <n v="14026.25"/>
    <s v="Completed"/>
    <s v="Mumbai"/>
    <s v="Beauty"/>
    <s v="Retail"/>
    <n v="49"/>
    <x v="2"/>
    <n v="1219"/>
    <n v="0.46768558951965067"/>
  </r>
  <r>
    <s v="ORD-00520"/>
    <d v="2024-12-12T00:00:00"/>
    <s v="CUST-0143"/>
    <x v="49"/>
    <s v="R017"/>
    <n v="2"/>
    <n v="5330"/>
    <n v="26.5"/>
    <n v="7835.1"/>
    <s v="Completed"/>
    <s v="Chennai"/>
    <s v="Electronics"/>
    <s v="SMB"/>
    <n v="52"/>
    <x v="3"/>
    <n v="2405"/>
    <n v="0.54878048780487809"/>
  </r>
  <r>
    <s v="ORD-00521"/>
    <d v="2024-07-03T00:00:00"/>
    <s v="CUST-0233"/>
    <x v="49"/>
    <s v="R015"/>
    <n v="4"/>
    <n v="5330"/>
    <n v="25.6"/>
    <n v="15862.08"/>
    <s v="Completed"/>
    <s v="Mumbai"/>
    <s v="Electronics"/>
    <s v="SMB"/>
    <n v="65"/>
    <x v="1"/>
    <n v="2405"/>
    <n v="0.54878048780487809"/>
  </r>
  <r>
    <s v="ORD-00522"/>
    <d v="2024-10-01T00:00:00"/>
    <s v="CUST-0161"/>
    <x v="54"/>
    <s v="R006"/>
    <n v="4"/>
    <n v="5080"/>
    <n v="28.6"/>
    <n v="14508.48"/>
    <s v="Completed"/>
    <s v="Chennai"/>
    <s v="Home"/>
    <s v="Retail"/>
    <n v="38"/>
    <x v="0"/>
    <n v="2459"/>
    <n v="0.51594488188976373"/>
  </r>
  <r>
    <s v="ORD-00523"/>
    <d v="2024-04-10T00:00:00"/>
    <s v="CUST-0087"/>
    <x v="5"/>
    <s v="R002"/>
    <n v="4"/>
    <n v="370"/>
    <n v="12.6"/>
    <n v="1293.52"/>
    <s v="Pending"/>
    <s v="Pune"/>
    <s v="Home"/>
    <s v="SMB"/>
    <n v="49"/>
    <x v="0"/>
    <n v="288"/>
    <n v="0.22162162162162163"/>
  </r>
  <r>
    <s v="ORD-00524"/>
    <d v="2024-09-26T00:00:00"/>
    <s v="CUST-0235"/>
    <x v="2"/>
    <s v="R013"/>
    <n v="9"/>
    <n v="470"/>
    <n v="3.6"/>
    <n v="4077.72"/>
    <s v="Completed"/>
    <s v="Chennai"/>
    <s v="Sports"/>
    <s v="Retail"/>
    <n v="31"/>
    <x v="1"/>
    <n v="302"/>
    <n v="0.35744680851063831"/>
  </r>
  <r>
    <s v="ORD-00525"/>
    <d v="2024-12-08T00:00:00"/>
    <s v="CUST-0183"/>
    <x v="48"/>
    <s v="R027"/>
    <n v="4"/>
    <n v="5410"/>
    <n v="11.3"/>
    <n v="19194.68"/>
    <s v="Refunded"/>
    <s v="Mumbai"/>
    <s v="Sports"/>
    <s v="SMB"/>
    <n v="27"/>
    <x v="2"/>
    <n v="2265"/>
    <n v="0.58133086876155271"/>
  </r>
  <r>
    <s v="ORD-00526"/>
    <d v="2024-01-20T00:00:00"/>
    <s v="CUST-0199"/>
    <x v="0"/>
    <s v="R007"/>
    <n v="10"/>
    <n v="3620"/>
    <n v="2.5"/>
    <n v="35295"/>
    <s v="Completed"/>
    <s v="Hyderabad"/>
    <s v="Apparel"/>
    <s v="SMB"/>
    <n v="31"/>
    <x v="0"/>
    <n v="2509"/>
    <n v="0.3069060773480663"/>
  </r>
  <r>
    <s v="ORD-00527"/>
    <d v="2024-03-29T00:00:00"/>
    <s v="CUST-0034"/>
    <x v="28"/>
    <s v="R030"/>
    <n v="1"/>
    <n v="2760"/>
    <n v="22.2"/>
    <n v="2147.2800000000002"/>
    <s v="Completed"/>
    <s v="Delhi"/>
    <s v="Grocery"/>
    <s v="Retail"/>
    <n v="47"/>
    <x v="2"/>
    <n v="1435"/>
    <n v="0.48007246376811596"/>
  </r>
  <r>
    <s v="ORD-00528"/>
    <d v="2024-09-14T00:00:00"/>
    <s v="CUST-0206"/>
    <x v="16"/>
    <s v="R001"/>
    <n v="7"/>
    <n v="3450"/>
    <n v="8.6"/>
    <n v="22073.1"/>
    <s v="Completed"/>
    <s v="Mumbai"/>
    <s v="Beauty"/>
    <s v="Retail"/>
    <n v="40"/>
    <x v="0"/>
    <n v="2420"/>
    <n v="0.29855072463768118"/>
  </r>
  <r>
    <s v="ORD-00529"/>
    <d v="2024-05-06T00:00:00"/>
    <s v="CUST-0246"/>
    <x v="3"/>
    <s v="R028"/>
    <n v="6"/>
    <n v="3660"/>
    <n v="10.6"/>
    <n v="19632.240000000002"/>
    <s v="Completed"/>
    <s v="Delhi"/>
    <s v="Grocery"/>
    <s v="SMB"/>
    <n v="29"/>
    <x v="2"/>
    <n v="2214"/>
    <n v="0.39508196721311473"/>
  </r>
  <r>
    <s v="ORD-00530"/>
    <d v="2024-08-28T00:00:00"/>
    <s v="CUST-0075"/>
    <x v="25"/>
    <s v="R028"/>
    <n v="10"/>
    <n v="3570"/>
    <n v="1.2"/>
    <n v="35271.599999999999"/>
    <s v="Completed"/>
    <s v="Mumbai"/>
    <s v="Electronics"/>
    <s v="Corporate"/>
    <n v="55"/>
    <x v="2"/>
    <n v="1665"/>
    <n v="0.53361344537815125"/>
  </r>
  <r>
    <s v="ORD-00531"/>
    <d v="2024-09-07T00:00:00"/>
    <s v="CUST-0298"/>
    <x v="57"/>
    <s v="R009"/>
    <n v="8"/>
    <n v="1090"/>
    <n v="13.2"/>
    <n v="7568.96"/>
    <s v="Refunded"/>
    <s v="Delhi"/>
    <s v="Home"/>
    <s v="Retail"/>
    <n v="44"/>
    <x v="1"/>
    <n v="464"/>
    <n v="0.57431192660550456"/>
  </r>
  <r>
    <s v="ORD-00532"/>
    <d v="2024-01-29T00:00:00"/>
    <s v="CUST-0165"/>
    <x v="0"/>
    <s v="R018"/>
    <n v="8"/>
    <n v="3620"/>
    <n v="29"/>
    <n v="20561.599999999999"/>
    <s v="Completed"/>
    <s v="Pune"/>
    <s v="Apparel"/>
    <s v="Retail"/>
    <n v="29"/>
    <x v="3"/>
    <n v="2509"/>
    <n v="0.3069060773480663"/>
  </r>
  <r>
    <s v="ORD-00533"/>
    <d v="2024-09-13T00:00:00"/>
    <s v="CUST-0033"/>
    <x v="24"/>
    <s v="R010"/>
    <n v="7"/>
    <n v="4880"/>
    <n v="25.6"/>
    <n v="25415.040000000001"/>
    <s v="Refunded"/>
    <s v="Delhi"/>
    <s v="Beauty"/>
    <s v="Retail"/>
    <n v="35"/>
    <x v="1"/>
    <n v="2768"/>
    <n v="0.43278688524590164"/>
  </r>
  <r>
    <s v="ORD-00534"/>
    <d v="2024-05-22T00:00:00"/>
    <s v="CUST-0205"/>
    <x v="2"/>
    <s v="R028"/>
    <n v="2"/>
    <n v="470"/>
    <n v="9.6999999999999993"/>
    <n v="848.82"/>
    <s v="Completed"/>
    <s v="Pune"/>
    <s v="Sports"/>
    <s v="Corporate"/>
    <n v="29"/>
    <x v="2"/>
    <n v="302"/>
    <n v="0.35744680851063831"/>
  </r>
  <r>
    <s v="ORD-00535"/>
    <d v="2024-09-04T00:00:00"/>
    <s v="CUST-0037"/>
    <x v="52"/>
    <s v="R022"/>
    <n v="6"/>
    <n v="2290"/>
    <n v="8.9"/>
    <n v="12517.14"/>
    <s v="Completed"/>
    <s v="Bengaluru"/>
    <s v="Beauty"/>
    <s v="Retail"/>
    <n v="52"/>
    <x v="3"/>
    <n v="1219"/>
    <n v="0.46768558951965067"/>
  </r>
  <r>
    <s v="ORD-00536"/>
    <d v="2024-06-25T00:00:00"/>
    <s v="CUST-0228"/>
    <x v="50"/>
    <s v="R010"/>
    <n v="3"/>
    <n v="2380"/>
    <n v="2.7"/>
    <n v="6947.22"/>
    <s v="Pending"/>
    <s v="Pune"/>
    <s v="Grocery"/>
    <s v="Corporate"/>
    <n v="37"/>
    <x v="1"/>
    <n v="1182"/>
    <n v="0.50336134453781511"/>
  </r>
  <r>
    <s v="ORD-00537"/>
    <d v="2024-07-12T00:00:00"/>
    <s v="CUST-0279"/>
    <x v="50"/>
    <s v="R008"/>
    <n v="9"/>
    <n v="2380"/>
    <n v="20.100000000000001"/>
    <n v="17114.580000000002"/>
    <s v="Completed"/>
    <s v="Mumbai"/>
    <s v="Grocery"/>
    <s v="Retail"/>
    <n v="56"/>
    <x v="0"/>
    <n v="1182"/>
    <n v="0.50336134453781511"/>
  </r>
  <r>
    <s v="ORD-00538"/>
    <d v="2024-01-12T00:00:00"/>
    <s v="CUST-0271"/>
    <x v="48"/>
    <s v="R014"/>
    <n v="8"/>
    <n v="5410"/>
    <n v="11.2"/>
    <n v="38432.639999999999"/>
    <s v="Completed"/>
    <s v="Bengaluru"/>
    <s v="Sports"/>
    <s v="Corporate"/>
    <n v="41"/>
    <x v="1"/>
    <n v="2265"/>
    <n v="0.58133086876155271"/>
  </r>
  <r>
    <s v="ORD-00539"/>
    <d v="2024-11-09T00:00:00"/>
    <s v="CUST-0127"/>
    <x v="7"/>
    <s v="R008"/>
    <n v="1"/>
    <n v="1430"/>
    <n v="19.600000000000001"/>
    <n v="1149.72"/>
    <s v="Completed"/>
    <s v="Bengaluru"/>
    <s v="Electronics"/>
    <s v="SMB"/>
    <n v="36"/>
    <x v="0"/>
    <n v="861"/>
    <n v="0.39790209790209791"/>
  </r>
  <r>
    <s v="ORD-00540"/>
    <d v="2024-05-09T00:00:00"/>
    <s v="CUST-0007"/>
    <x v="15"/>
    <s v="R027"/>
    <n v="9"/>
    <n v="2400"/>
    <n v="5"/>
    <n v="20520"/>
    <s v="Completed"/>
    <s v="Bengaluru"/>
    <s v="Sports"/>
    <s v="Retail"/>
    <n v="47"/>
    <x v="2"/>
    <n v="974"/>
    <n v="0.59416666666666662"/>
  </r>
  <r>
    <s v="ORD-00541"/>
    <d v="2024-07-20T00:00:00"/>
    <s v="CUST-0005"/>
    <x v="31"/>
    <s v="R001"/>
    <n v="1"/>
    <n v="3780"/>
    <n v="4.7"/>
    <n v="3602.34"/>
    <s v="Completed"/>
    <s v="Chennai"/>
    <s v="Grocery"/>
    <s v="Corporate"/>
    <n v="52"/>
    <x v="0"/>
    <n v="2436"/>
    <n v="0.35555555555555557"/>
  </r>
  <r>
    <s v="ORD-00542"/>
    <d v="2024-10-27T00:00:00"/>
    <s v="CUST-0072"/>
    <x v="43"/>
    <s v="R019"/>
    <n v="2"/>
    <n v="620"/>
    <n v="8"/>
    <n v="1140.8"/>
    <s v="Completed"/>
    <s v="Mumbai"/>
    <s v="Apparel"/>
    <s v="Corporate"/>
    <n v="62"/>
    <x v="3"/>
    <n v="396"/>
    <n v="0.36129032258064514"/>
  </r>
  <r>
    <s v="ORD-00543"/>
    <d v="2024-03-28T00:00:00"/>
    <s v="CUST-0167"/>
    <x v="14"/>
    <s v="R007"/>
    <n v="3"/>
    <n v="190"/>
    <n v="17.899999999999999"/>
    <n v="467.97"/>
    <s v="Pending"/>
    <s v="Delhi"/>
    <s v="Sports"/>
    <s v="Retail"/>
    <n v="43"/>
    <x v="0"/>
    <n v="147"/>
    <n v="0.22631578947368422"/>
  </r>
  <r>
    <s v="ORD-00544"/>
    <d v="2024-02-10T00:00:00"/>
    <s v="CUST-0244"/>
    <x v="0"/>
    <s v="R019"/>
    <n v="2"/>
    <n v="3620"/>
    <n v="15.5"/>
    <n v="6117.8"/>
    <s v="Completed"/>
    <s v="Bengaluru"/>
    <s v="Apparel"/>
    <s v="Retail"/>
    <n v="61"/>
    <x v="3"/>
    <n v="2509"/>
    <n v="0.3069060773480663"/>
  </r>
  <r>
    <s v="ORD-00545"/>
    <d v="2024-11-14T00:00:00"/>
    <s v="CUST-0086"/>
    <x v="27"/>
    <s v="R018"/>
    <n v="5"/>
    <n v="2860"/>
    <n v="26.8"/>
    <n v="10467.6"/>
    <s v="Completed"/>
    <s v="Hyderabad"/>
    <s v="Sports"/>
    <s v="Corporate"/>
    <n v="56"/>
    <x v="3"/>
    <n v="2028"/>
    <n v="0.29090909090909089"/>
  </r>
  <r>
    <s v="ORD-00546"/>
    <d v="2024-12-12T00:00:00"/>
    <s v="CUST-0091"/>
    <x v="15"/>
    <s v="R023"/>
    <n v="6"/>
    <n v="2400"/>
    <n v="19.2"/>
    <n v="11635.2"/>
    <s v="Cancelled"/>
    <s v="Delhi"/>
    <s v="Sports"/>
    <s v="Retail"/>
    <n v="55"/>
    <x v="3"/>
    <n v="974"/>
    <n v="0.59416666666666662"/>
  </r>
  <r>
    <s v="ORD-00547"/>
    <d v="2024-09-11T00:00:00"/>
    <s v="CUST-0169"/>
    <x v="54"/>
    <s v="R009"/>
    <n v="7"/>
    <n v="5080"/>
    <n v="16.600000000000001"/>
    <n v="29657.040000000001"/>
    <s v="Pending"/>
    <s v="Bengaluru"/>
    <s v="Home"/>
    <s v="SMB"/>
    <n v="42"/>
    <x v="1"/>
    <n v="2459"/>
    <n v="0.51594488188976373"/>
  </r>
  <r>
    <s v="ORD-00548"/>
    <d v="2024-05-24T00:00:00"/>
    <s v="CUST-0273"/>
    <x v="54"/>
    <s v="R015"/>
    <n v="10"/>
    <n v="5080"/>
    <n v="24.6"/>
    <n v="38303.199999999997"/>
    <s v="Completed"/>
    <s v="Hyderabad"/>
    <s v="Home"/>
    <s v="Corporate"/>
    <n v="32"/>
    <x v="1"/>
    <n v="2459"/>
    <n v="0.51594488188976373"/>
  </r>
  <r>
    <s v="ORD-00549"/>
    <d v="2024-08-28T00:00:00"/>
    <s v="CUST-0233"/>
    <x v="6"/>
    <s v="R008"/>
    <n v="7"/>
    <n v="960"/>
    <n v="16.600000000000001"/>
    <n v="5604.48"/>
    <s v="Completed"/>
    <s v="Mumbai"/>
    <s v="Sports"/>
    <s v="SMB"/>
    <n v="65"/>
    <x v="0"/>
    <n v="705"/>
    <n v="0.265625"/>
  </r>
  <r>
    <s v="ORD-00550"/>
    <d v="2024-10-03T00:00:00"/>
    <s v="CUST-0175"/>
    <x v="3"/>
    <s v="R028"/>
    <n v="3"/>
    <n v="3660"/>
    <n v="3.2"/>
    <n v="10628.64"/>
    <s v="Pending"/>
    <s v="Delhi"/>
    <s v="Grocery"/>
    <s v="Corporate"/>
    <n v="55"/>
    <x v="2"/>
    <n v="2214"/>
    <n v="0.39508196721311473"/>
  </r>
  <r>
    <s v="ORD-00551"/>
    <d v="2024-10-07T00:00:00"/>
    <s v="CUST-0241"/>
    <x v="11"/>
    <s v="R009"/>
    <n v="6"/>
    <n v="2640"/>
    <n v="26.3"/>
    <n v="11674.08"/>
    <s v="Completed"/>
    <s v="Pune"/>
    <s v="Electronics"/>
    <s v="Corporate"/>
    <n v="47"/>
    <x v="1"/>
    <n v="1149"/>
    <n v="0.56477272727272732"/>
  </r>
  <r>
    <s v="ORD-00552"/>
    <d v="2024-09-27T00:00:00"/>
    <s v="CUST-0024"/>
    <x v="38"/>
    <s v="R009"/>
    <n v="6"/>
    <n v="1220"/>
    <n v="22.3"/>
    <n v="5687.64"/>
    <s v="Cancelled"/>
    <s v="Chennai"/>
    <s v="Electronics"/>
    <s v="SMB"/>
    <n v="64"/>
    <x v="1"/>
    <n v="517"/>
    <n v="0.57622950819672136"/>
  </r>
  <r>
    <s v="ORD-00553"/>
    <d v="2024-02-23T00:00:00"/>
    <s v="CUST-0252"/>
    <x v="42"/>
    <s v="R013"/>
    <n v="1"/>
    <n v="300"/>
    <n v="0.7"/>
    <n v="297.89999999999998"/>
    <s v="Completed"/>
    <s v="Bengaluru"/>
    <s v="Electronics"/>
    <s v="Retail"/>
    <n v="27"/>
    <x v="1"/>
    <n v="128"/>
    <n v="0.57333333333333336"/>
  </r>
  <r>
    <s v="ORD-00554"/>
    <d v="2024-03-19T00:00:00"/>
    <s v="CUST-0245"/>
    <x v="23"/>
    <s v="R020"/>
    <n v="2"/>
    <n v="1010"/>
    <n v="28"/>
    <n v="1454.4"/>
    <s v="Completed"/>
    <s v="Hyderabad"/>
    <s v="Sports"/>
    <s v="Retail"/>
    <n v="65"/>
    <x v="3"/>
    <n v="516"/>
    <n v="0.4891089108910891"/>
  </r>
  <r>
    <s v="ORD-00555"/>
    <d v="2024-04-25T00:00:00"/>
    <s v="CUST-0046"/>
    <x v="12"/>
    <s v="R011"/>
    <n v="5"/>
    <n v="2600"/>
    <n v="0.8"/>
    <n v="12896"/>
    <s v="Cancelled"/>
    <s v="Delhi"/>
    <s v="Electronics"/>
    <s v="SMB"/>
    <n v="45"/>
    <x v="1"/>
    <n v="1052"/>
    <n v="0.5953846153846154"/>
  </r>
  <r>
    <s v="ORD-00556"/>
    <d v="2024-02-15T00:00:00"/>
    <s v="CUST-0050"/>
    <x v="58"/>
    <s v="R026"/>
    <n v="3"/>
    <n v="6940"/>
    <n v="10.7"/>
    <n v="18592.259999999998"/>
    <s v="Cancelled"/>
    <s v="Mumbai"/>
    <s v="Sports"/>
    <s v="Retail"/>
    <n v="37"/>
    <x v="2"/>
    <n v="2827"/>
    <n v="0.5926512968299712"/>
  </r>
  <r>
    <s v="ORD-00557"/>
    <d v="2024-10-06T00:00:00"/>
    <s v="CUST-0227"/>
    <x v="5"/>
    <s v="R011"/>
    <n v="1"/>
    <n v="370"/>
    <n v="10.3"/>
    <n v="331.89"/>
    <s v="Refunded"/>
    <s v="Bengaluru"/>
    <s v="Home"/>
    <s v="SMB"/>
    <n v="44"/>
    <x v="1"/>
    <n v="288"/>
    <n v="0.22162162162162163"/>
  </r>
  <r>
    <s v="ORD-00558"/>
    <d v="2024-03-06T00:00:00"/>
    <s v="CUST-0218"/>
    <x v="31"/>
    <s v="R029"/>
    <n v="2"/>
    <n v="3780"/>
    <n v="29.4"/>
    <n v="5337.36"/>
    <s v="Completed"/>
    <s v="Mumbai"/>
    <s v="Grocery"/>
    <s v="Retail"/>
    <n v="39"/>
    <x v="2"/>
    <n v="2436"/>
    <n v="0.35555555555555557"/>
  </r>
  <r>
    <s v="ORD-00559"/>
    <d v="2024-05-20T00:00:00"/>
    <s v="CUST-0087"/>
    <x v="9"/>
    <s v="R022"/>
    <n v="5"/>
    <n v="970"/>
    <n v="14.6"/>
    <n v="4141.8999999999996"/>
    <s v="Completed"/>
    <s v="Pune"/>
    <s v="Grocery"/>
    <s v="SMB"/>
    <n v="49"/>
    <x v="3"/>
    <n v="434"/>
    <n v="0.5525773195876289"/>
  </r>
  <r>
    <s v="ORD-00560"/>
    <d v="2024-11-08T00:00:00"/>
    <s v="CUST-0209"/>
    <x v="34"/>
    <s v="R002"/>
    <n v="3"/>
    <n v="2270"/>
    <n v="6.5"/>
    <n v="6367.35"/>
    <s v="Completed"/>
    <s v="Pune"/>
    <s v="Grocery"/>
    <s v="Retail"/>
    <n v="31"/>
    <x v="0"/>
    <n v="1412"/>
    <n v="0.37797356828193834"/>
  </r>
  <r>
    <s v="ORD-00561"/>
    <d v="2024-06-24T00:00:00"/>
    <s v="CUST-0212"/>
    <x v="36"/>
    <s v="R029"/>
    <n v="10"/>
    <n v="1540"/>
    <n v="16.5"/>
    <n v="12859"/>
    <s v="Completed"/>
    <s v="Chennai"/>
    <s v="Beauty"/>
    <s v="SMB"/>
    <n v="46"/>
    <x v="2"/>
    <n v="647"/>
    <n v="0.57987012987012987"/>
  </r>
  <r>
    <s v="ORD-00562"/>
    <d v="2024-12-23T00:00:00"/>
    <s v="CUST-0180"/>
    <x v="28"/>
    <s v="R017"/>
    <n v="4"/>
    <n v="2760"/>
    <n v="19.8"/>
    <n v="8854.08"/>
    <s v="Completed"/>
    <s v="Chennai"/>
    <s v="Grocery"/>
    <s v="Retail"/>
    <n v="36"/>
    <x v="3"/>
    <n v="1435"/>
    <n v="0.48007246376811596"/>
  </r>
  <r>
    <s v="ORD-00563"/>
    <d v="2024-02-10T00:00:00"/>
    <s v="CUST-0025"/>
    <x v="10"/>
    <s v="R030"/>
    <n v="3"/>
    <n v="2270"/>
    <n v="29.5"/>
    <n v="4801.05"/>
    <s v="Refunded"/>
    <s v="Bengaluru"/>
    <s v="Grocery"/>
    <s v="Retail"/>
    <n v="23"/>
    <x v="2"/>
    <n v="1203"/>
    <n v="0.47004405286343615"/>
  </r>
  <r>
    <s v="ORD-00564"/>
    <d v="2024-05-06T00:00:00"/>
    <s v="CUST-0271"/>
    <x v="40"/>
    <s v="R015"/>
    <n v="8"/>
    <n v="3020"/>
    <n v="1.2"/>
    <n v="23870.080000000002"/>
    <s v="Completed"/>
    <s v="Bengaluru"/>
    <s v="Beauty"/>
    <s v="Corporate"/>
    <n v="41"/>
    <x v="1"/>
    <n v="1626"/>
    <n v="0.46158940397350995"/>
  </r>
  <r>
    <s v="ORD-00565"/>
    <d v="2024-07-17T00:00:00"/>
    <s v="CUST-0026"/>
    <x v="50"/>
    <s v="R018"/>
    <n v="6"/>
    <n v="2380"/>
    <n v="20.399999999999999"/>
    <n v="11366.88"/>
    <s v="Completed"/>
    <s v="Pune"/>
    <s v="Grocery"/>
    <s v="Retail"/>
    <n v="62"/>
    <x v="3"/>
    <n v="1182"/>
    <n v="0.50336134453781511"/>
  </r>
  <r>
    <s v="ORD-00566"/>
    <d v="2024-06-27T00:00:00"/>
    <s v="CUST-0058"/>
    <x v="58"/>
    <s v="R028"/>
    <n v="1"/>
    <n v="6940"/>
    <n v="15"/>
    <n v="5899"/>
    <s v="Cancelled"/>
    <s v="Bengaluru"/>
    <s v="Sports"/>
    <s v="SMB"/>
    <n v="49"/>
    <x v="2"/>
    <n v="2827"/>
    <n v="0.5926512968299712"/>
  </r>
  <r>
    <s v="ORD-00567"/>
    <d v="2024-12-28T00:00:00"/>
    <s v="CUST-0033"/>
    <x v="41"/>
    <s v="R010"/>
    <n v="1"/>
    <n v="2660"/>
    <n v="11.6"/>
    <n v="2351.44"/>
    <s v="Completed"/>
    <s v="Delhi"/>
    <s v="Electronics"/>
    <s v="Retail"/>
    <n v="35"/>
    <x v="1"/>
    <n v="1259"/>
    <n v="0.52669172932330832"/>
  </r>
  <r>
    <s v="ORD-00568"/>
    <d v="2024-09-13T00:00:00"/>
    <s v="CUST-0057"/>
    <x v="9"/>
    <s v="R013"/>
    <n v="4"/>
    <n v="970"/>
    <n v="11.6"/>
    <n v="3429.92"/>
    <s v="Completed"/>
    <s v="Pune"/>
    <s v="Grocery"/>
    <s v="Retail"/>
    <n v="35"/>
    <x v="1"/>
    <n v="434"/>
    <n v="0.5525773195876289"/>
  </r>
  <r>
    <s v="ORD-00569"/>
    <d v="2024-12-06T00:00:00"/>
    <s v="CUST-0231"/>
    <x v="34"/>
    <s v="R002"/>
    <n v="7"/>
    <n v="2270"/>
    <n v="27.9"/>
    <n v="11456.69"/>
    <s v="Completed"/>
    <s v="Chennai"/>
    <s v="Grocery"/>
    <s v="Retail"/>
    <n v="61"/>
    <x v="0"/>
    <n v="1412"/>
    <n v="0.37797356828193834"/>
  </r>
  <r>
    <s v="ORD-00570"/>
    <d v="2024-01-13T00:00:00"/>
    <s v="CUST-0031"/>
    <x v="23"/>
    <s v="R016"/>
    <n v="8"/>
    <n v="1010"/>
    <n v="13.7"/>
    <n v="6973.04"/>
    <s v="Cancelled"/>
    <s v="Hyderabad"/>
    <s v="Sports"/>
    <s v="Retail"/>
    <n v="53"/>
    <x v="1"/>
    <n v="516"/>
    <n v="0.4891089108910891"/>
  </r>
  <r>
    <s v="ORD-00571"/>
    <d v="2024-02-08T00:00:00"/>
    <s v="CUST-0228"/>
    <x v="50"/>
    <s v="R001"/>
    <n v="8"/>
    <n v="2380"/>
    <n v="15.3"/>
    <n v="16126.88"/>
    <s v="Cancelled"/>
    <s v="Pune"/>
    <s v="Grocery"/>
    <s v="Corporate"/>
    <n v="37"/>
    <x v="0"/>
    <n v="1182"/>
    <n v="0.50336134453781511"/>
  </r>
  <r>
    <s v="ORD-00572"/>
    <d v="2024-12-07T00:00:00"/>
    <s v="CUST-0127"/>
    <x v="2"/>
    <s v="R018"/>
    <n v="10"/>
    <n v="470"/>
    <n v="2.1"/>
    <n v="4601.3"/>
    <s v="Completed"/>
    <s v="Bengaluru"/>
    <s v="Sports"/>
    <s v="SMB"/>
    <n v="36"/>
    <x v="3"/>
    <n v="302"/>
    <n v="0.35744680851063831"/>
  </r>
  <r>
    <s v="ORD-00573"/>
    <d v="2024-07-07T00:00:00"/>
    <s v="CUST-0117"/>
    <x v="26"/>
    <s v="R025"/>
    <n v="5"/>
    <n v="5100"/>
    <n v="9.6999999999999993"/>
    <n v="23026.5"/>
    <s v="Completed"/>
    <s v="Delhi"/>
    <s v="Beauty"/>
    <s v="SMB"/>
    <n v="34"/>
    <x v="2"/>
    <n v="2237"/>
    <n v="0.56137254901960787"/>
  </r>
  <r>
    <s v="ORD-00574"/>
    <d v="2024-04-20T00:00:00"/>
    <s v="CUST-0159"/>
    <x v="51"/>
    <s v="R026"/>
    <n v="9"/>
    <n v="960"/>
    <n v="17.7"/>
    <n v="7110.72"/>
    <s v="Completed"/>
    <s v="Hyderabad"/>
    <s v="Beauty"/>
    <s v="Retail"/>
    <n v="32"/>
    <x v="2"/>
    <n v="675"/>
    <n v="0.296875"/>
  </r>
  <r>
    <s v="ORD-00575"/>
    <d v="2024-07-05T00:00:00"/>
    <s v="CUST-0064"/>
    <x v="37"/>
    <s v="R007"/>
    <n v="2"/>
    <n v="4070"/>
    <n v="2.1"/>
    <n v="7969.06"/>
    <s v="Completed"/>
    <s v="Hyderabad"/>
    <s v="Grocery"/>
    <s v="SMB"/>
    <n v="40"/>
    <x v="0"/>
    <n v="2027"/>
    <n v="0.50196560196560192"/>
  </r>
  <r>
    <s v="ORD-00576"/>
    <d v="2024-03-07T00:00:00"/>
    <s v="CUST-0272"/>
    <x v="30"/>
    <s v="R021"/>
    <n v="5"/>
    <n v="3730"/>
    <n v="16.5"/>
    <n v="15572.75"/>
    <s v="Completed"/>
    <s v="Mumbai"/>
    <s v="Home"/>
    <s v="SMB"/>
    <n v="47"/>
    <x v="3"/>
    <n v="2135"/>
    <n v="0.42761394101876676"/>
  </r>
  <r>
    <s v="ORD-00577"/>
    <d v="2024-10-24T00:00:00"/>
    <s v="CUST-0071"/>
    <x v="27"/>
    <s v="R022"/>
    <n v="1"/>
    <n v="2860"/>
    <n v="10.4"/>
    <n v="2562.56"/>
    <s v="Cancelled"/>
    <s v="Delhi"/>
    <s v="Sports"/>
    <s v="Corporate"/>
    <n v="46"/>
    <x v="3"/>
    <n v="2028"/>
    <n v="0.29090909090909089"/>
  </r>
  <r>
    <s v="ORD-00578"/>
    <d v="2024-08-03T00:00:00"/>
    <s v="CUST-0045"/>
    <x v="24"/>
    <s v="R018"/>
    <n v="4"/>
    <n v="4880"/>
    <n v="27.5"/>
    <n v="14152"/>
    <s v="Pending"/>
    <s v="Chennai"/>
    <s v="Beauty"/>
    <s v="SMB"/>
    <n v="39"/>
    <x v="3"/>
    <n v="2768"/>
    <n v="0.43278688524590164"/>
  </r>
  <r>
    <s v="ORD-00579"/>
    <d v="2024-06-27T00:00:00"/>
    <s v="CUST-0148"/>
    <x v="34"/>
    <s v="R022"/>
    <n v="3"/>
    <n v="2270"/>
    <n v="6.7"/>
    <n v="6353.73"/>
    <s v="Completed"/>
    <s v="Chennai"/>
    <s v="Grocery"/>
    <s v="Retail"/>
    <n v="32"/>
    <x v="3"/>
    <n v="1412"/>
    <n v="0.37797356828193834"/>
  </r>
  <r>
    <s v="ORD-00580"/>
    <d v="2024-10-24T00:00:00"/>
    <s v="CUST-0097"/>
    <x v="46"/>
    <s v="R007"/>
    <n v="10"/>
    <n v="4060"/>
    <n v="3.6"/>
    <n v="39138.400000000001"/>
    <s v="Pending"/>
    <s v="Mumbai"/>
    <s v="Grocery"/>
    <s v="Retail"/>
    <n v="65"/>
    <x v="0"/>
    <n v="2911"/>
    <n v="0.28300492610837441"/>
  </r>
  <r>
    <s v="ORD-00581"/>
    <d v="2024-05-21T00:00:00"/>
    <s v="CUST-0151"/>
    <x v="11"/>
    <s v="R004"/>
    <n v="8"/>
    <n v="2640"/>
    <n v="28.8"/>
    <n v="15037.44"/>
    <s v="Completed"/>
    <s v="Mumbai"/>
    <s v="Electronics"/>
    <s v="Retail"/>
    <n v="53"/>
    <x v="0"/>
    <n v="1149"/>
    <n v="0.56477272727272732"/>
  </r>
  <r>
    <s v="ORD-00582"/>
    <d v="2024-07-04T00:00:00"/>
    <s v="CUST-0048"/>
    <x v="30"/>
    <s v="R012"/>
    <n v="6"/>
    <n v="3730"/>
    <n v="21.9"/>
    <n v="17478.78"/>
    <s v="Completed"/>
    <s v="Delhi"/>
    <s v="Home"/>
    <s v="Retail"/>
    <n v="59"/>
    <x v="1"/>
    <n v="2135"/>
    <n v="0.42761394101876676"/>
  </r>
  <r>
    <s v="ORD-00583"/>
    <d v="2024-05-31T00:00:00"/>
    <s v="CUST-0048"/>
    <x v="49"/>
    <s v="R006"/>
    <n v="9"/>
    <n v="5330"/>
    <n v="29.4"/>
    <n v="33866.82"/>
    <s v="Cancelled"/>
    <s v="Delhi"/>
    <s v="Electronics"/>
    <s v="Retail"/>
    <n v="59"/>
    <x v="0"/>
    <n v="2405"/>
    <n v="0.54878048780487809"/>
  </r>
  <r>
    <s v="ORD-00584"/>
    <d v="2024-01-31T00:00:00"/>
    <s v="CUST-0156"/>
    <x v="55"/>
    <s v="R027"/>
    <n v="1"/>
    <n v="3450"/>
    <n v="23.3"/>
    <n v="2646.15"/>
    <s v="Completed"/>
    <s v="Mumbai"/>
    <s v="Apparel"/>
    <s v="Retail"/>
    <n v="33"/>
    <x v="2"/>
    <n v="1748"/>
    <n v="0.49333333333333335"/>
  </r>
  <r>
    <s v="ORD-00585"/>
    <d v="2024-09-09T00:00:00"/>
    <s v="CUST-0022"/>
    <x v="33"/>
    <s v="R017"/>
    <n v="3"/>
    <n v="6080"/>
    <n v="14.5"/>
    <n v="15595.2"/>
    <s v="Completed"/>
    <s v="Bengaluru"/>
    <s v="Beauty"/>
    <s v="Corporate"/>
    <n v="55"/>
    <x v="3"/>
    <n v="2617"/>
    <n v="0.56957236842105263"/>
  </r>
  <r>
    <s v="ORD-00586"/>
    <d v="2024-11-13T00:00:00"/>
    <s v="CUST-0193"/>
    <x v="30"/>
    <s v="R002"/>
    <n v="4"/>
    <n v="3730"/>
    <n v="3.4"/>
    <n v="14412.72"/>
    <s v="Cancelled"/>
    <s v="Bengaluru"/>
    <s v="Home"/>
    <s v="Retail"/>
    <n v="42"/>
    <x v="0"/>
    <n v="2135"/>
    <n v="0.42761394101876676"/>
  </r>
  <r>
    <s v="ORD-00587"/>
    <d v="2024-07-18T00:00:00"/>
    <s v="CUST-0189"/>
    <x v="41"/>
    <s v="R022"/>
    <n v="10"/>
    <n v="2660"/>
    <n v="2.1"/>
    <n v="26041.4"/>
    <s v="Completed"/>
    <s v="Chennai"/>
    <s v="Electronics"/>
    <s v="Retail"/>
    <n v="41"/>
    <x v="3"/>
    <n v="1259"/>
    <n v="0.52669172932330832"/>
  </r>
  <r>
    <s v="ORD-00588"/>
    <d v="2024-03-22T00:00:00"/>
    <s v="CUST-0101"/>
    <x v="45"/>
    <s v="R021"/>
    <n v="7"/>
    <n v="2210"/>
    <n v="17.100000000000001"/>
    <n v="12824.63"/>
    <s v="Completed"/>
    <s v="Hyderabad"/>
    <s v="Grocery"/>
    <s v="SMB"/>
    <n v="40"/>
    <x v="3"/>
    <n v="1010"/>
    <n v="0.54298642533936647"/>
  </r>
  <r>
    <s v="ORD-00589"/>
    <d v="2024-11-11T00:00:00"/>
    <s v="CUST-0006"/>
    <x v="56"/>
    <s v="R013"/>
    <n v="6"/>
    <n v="3780"/>
    <n v="12.7"/>
    <n v="19799.64"/>
    <s v="Completed"/>
    <s v="Pune"/>
    <s v="Sports"/>
    <s v="SMB"/>
    <n v="44"/>
    <x v="1"/>
    <n v="1860"/>
    <n v="0.50793650793650791"/>
  </r>
  <r>
    <s v="ORD-00590"/>
    <d v="2024-04-30T00:00:00"/>
    <s v="CUST-0235"/>
    <x v="8"/>
    <s v="R029"/>
    <n v="4"/>
    <n v="5490"/>
    <n v="26.9"/>
    <n v="16052.76"/>
    <s v="Completed"/>
    <s v="Chennai"/>
    <s v="Home"/>
    <s v="Retail"/>
    <n v="31"/>
    <x v="2"/>
    <n v="2549"/>
    <n v="0.53570127504553733"/>
  </r>
  <r>
    <s v="ORD-00591"/>
    <d v="2024-02-29T00:00:00"/>
    <s v="CUST-0045"/>
    <x v="41"/>
    <s v="R013"/>
    <n v="9"/>
    <n v="2660"/>
    <n v="21.9"/>
    <n v="18697.14"/>
    <s v="Completed"/>
    <s v="Chennai"/>
    <s v="Electronics"/>
    <s v="SMB"/>
    <n v="39"/>
    <x v="1"/>
    <n v="1259"/>
    <n v="0.52669172932330832"/>
  </r>
  <r>
    <s v="ORD-00592"/>
    <d v="2024-10-07T00:00:00"/>
    <s v="CUST-0028"/>
    <x v="58"/>
    <s v="R028"/>
    <n v="9"/>
    <n v="6940"/>
    <n v="8"/>
    <n v="57463.199999999997"/>
    <s v="Completed"/>
    <s v="Bengaluru"/>
    <s v="Sports"/>
    <s v="Retail"/>
    <n v="59"/>
    <x v="2"/>
    <n v="2827"/>
    <n v="0.5926512968299712"/>
  </r>
  <r>
    <s v="ORD-00593"/>
    <d v="2024-04-20T00:00:00"/>
    <s v="CUST-0241"/>
    <x v="35"/>
    <s v="R006"/>
    <n v="1"/>
    <n v="3870"/>
    <n v="22.6"/>
    <n v="2995.38"/>
    <s v="Completed"/>
    <s v="Pune"/>
    <s v="Electronics"/>
    <s v="Corporate"/>
    <n v="47"/>
    <x v="0"/>
    <n v="1559"/>
    <n v="0.59715762273901807"/>
  </r>
  <r>
    <s v="ORD-00594"/>
    <d v="2024-07-30T00:00:00"/>
    <s v="CUST-0278"/>
    <x v="57"/>
    <s v="R008"/>
    <n v="3"/>
    <n v="1090"/>
    <n v="28.1"/>
    <n v="2351.13"/>
    <s v="Completed"/>
    <s v="Hyderabad"/>
    <s v="Home"/>
    <s v="Retail"/>
    <n v="41"/>
    <x v="0"/>
    <n v="464"/>
    <n v="0.57431192660550456"/>
  </r>
  <r>
    <s v="ORD-00595"/>
    <d v="2024-08-20T00:00:00"/>
    <s v="CUST-0009"/>
    <x v="12"/>
    <s v="R001"/>
    <n v="2"/>
    <n v="2600"/>
    <n v="5.6"/>
    <n v="4908.8"/>
    <s v="Completed"/>
    <s v="Mumbai"/>
    <s v="Electronics"/>
    <s v="Retail"/>
    <n v="61"/>
    <x v="0"/>
    <n v="1052"/>
    <n v="0.5953846153846154"/>
  </r>
  <r>
    <s v="ORD-00596"/>
    <d v="2024-05-13T00:00:00"/>
    <s v="CUST-0217"/>
    <x v="6"/>
    <s v="R020"/>
    <n v="4"/>
    <n v="960"/>
    <n v="21.7"/>
    <n v="3006.72"/>
    <s v="Completed"/>
    <s v="Pune"/>
    <s v="Sports"/>
    <s v="SMB"/>
    <n v="59"/>
    <x v="3"/>
    <n v="705"/>
    <n v="0.265625"/>
  </r>
  <r>
    <s v="ORD-00597"/>
    <d v="2024-08-29T00:00:00"/>
    <s v="CUST-0289"/>
    <x v="5"/>
    <s v="R026"/>
    <n v="6"/>
    <n v="370"/>
    <n v="22.5"/>
    <n v="1720.5"/>
    <s v="Completed"/>
    <s v="Mumbai"/>
    <s v="Home"/>
    <s v="Retail"/>
    <n v="54"/>
    <x v="2"/>
    <n v="288"/>
    <n v="0.22162162162162163"/>
  </r>
  <r>
    <s v="ORD-00598"/>
    <d v="2024-12-23T00:00:00"/>
    <s v="CUST-0176"/>
    <x v="54"/>
    <s v="R006"/>
    <n v="5"/>
    <n v="5080"/>
    <n v="23.8"/>
    <n v="19354.8"/>
    <s v="Completed"/>
    <s v="Bengaluru"/>
    <s v="Home"/>
    <s v="SMB"/>
    <n v="34"/>
    <x v="0"/>
    <n v="2459"/>
    <n v="0.51594488188976373"/>
  </r>
  <r>
    <s v="ORD-00599"/>
    <d v="2024-03-24T00:00:00"/>
    <s v="CUST-0026"/>
    <x v="36"/>
    <s v="R003"/>
    <n v="5"/>
    <n v="1540"/>
    <n v="6.1"/>
    <n v="7230.3"/>
    <s v="Completed"/>
    <s v="Pune"/>
    <s v="Beauty"/>
    <s v="Retail"/>
    <n v="62"/>
    <x v="0"/>
    <n v="647"/>
    <n v="0.57987012987012987"/>
  </r>
  <r>
    <s v="ORD-00600"/>
    <d v="2024-02-20T00:00:00"/>
    <s v="CUST-0213"/>
    <x v="10"/>
    <s v="R015"/>
    <n v="7"/>
    <n v="2270"/>
    <n v="0.4"/>
    <n v="15826.44"/>
    <s v="Completed"/>
    <s v="Mumbai"/>
    <s v="Grocery"/>
    <s v="Retail"/>
    <n v="37"/>
    <x v="1"/>
    <n v="1203"/>
    <n v="0.47004405286343615"/>
  </r>
  <r>
    <s v="ORD-00601"/>
    <d v="2024-05-29T00:00:00"/>
    <s v="CUST-0190"/>
    <x v="6"/>
    <s v="R015"/>
    <n v="2"/>
    <n v="960"/>
    <n v="3.7"/>
    <n v="1848.96"/>
    <s v="Completed"/>
    <s v="Hyderabad"/>
    <s v="Sports"/>
    <s v="Retail"/>
    <n v="52"/>
    <x v="1"/>
    <n v="705"/>
    <n v="0.265625"/>
  </r>
  <r>
    <s v="ORD-00602"/>
    <d v="2024-04-28T00:00:00"/>
    <s v="CUST-0150"/>
    <x v="7"/>
    <s v="R027"/>
    <n v="6"/>
    <n v="1430"/>
    <n v="2"/>
    <n v="8408.4"/>
    <s v="Pending"/>
    <s v="Pune"/>
    <s v="Electronics"/>
    <s v="SMB"/>
    <n v="53"/>
    <x v="2"/>
    <n v="861"/>
    <n v="0.39790209790209791"/>
  </r>
  <r>
    <s v="ORD-00603"/>
    <d v="2024-10-23T00:00:00"/>
    <s v="CUST-0129"/>
    <x v="16"/>
    <s v="R006"/>
    <n v="10"/>
    <n v="3450"/>
    <n v="19.100000000000001"/>
    <n v="27910.5"/>
    <s v="Completed"/>
    <s v="Hyderabad"/>
    <s v="Beauty"/>
    <s v="Retail"/>
    <n v="29"/>
    <x v="0"/>
    <n v="2420"/>
    <n v="0.29855072463768118"/>
  </r>
  <r>
    <s v="ORD-00604"/>
    <d v="2024-04-30T00:00:00"/>
    <s v="CUST-0080"/>
    <x v="38"/>
    <s v="R026"/>
    <n v="8"/>
    <n v="1220"/>
    <n v="16.899999999999999"/>
    <n v="8110.56"/>
    <s v="Completed"/>
    <s v="Pune"/>
    <s v="Electronics"/>
    <s v="SMB"/>
    <n v="30"/>
    <x v="2"/>
    <n v="517"/>
    <n v="0.57622950819672136"/>
  </r>
  <r>
    <s v="ORD-00605"/>
    <d v="2024-05-27T00:00:00"/>
    <s v="CUST-0034"/>
    <x v="28"/>
    <s v="R020"/>
    <n v="9"/>
    <n v="2760"/>
    <n v="16.899999999999999"/>
    <n v="20642.04"/>
    <s v="Completed"/>
    <s v="Delhi"/>
    <s v="Grocery"/>
    <s v="Retail"/>
    <n v="47"/>
    <x v="3"/>
    <n v="1435"/>
    <n v="0.48007246376811596"/>
  </r>
  <r>
    <s v="ORD-00606"/>
    <d v="2024-10-28T00:00:00"/>
    <s v="CUST-0179"/>
    <x v="22"/>
    <s v="R017"/>
    <n v="6"/>
    <n v="3350"/>
    <n v="11.8"/>
    <n v="17728.2"/>
    <s v="Pending"/>
    <s v="Mumbai"/>
    <s v="Beauty"/>
    <s v="SMB"/>
    <n v="54"/>
    <x v="3"/>
    <n v="1728"/>
    <n v="0.48417910447761192"/>
  </r>
  <r>
    <s v="ORD-00607"/>
    <d v="2024-10-05T00:00:00"/>
    <s v="CUST-0176"/>
    <x v="26"/>
    <s v="R013"/>
    <n v="6"/>
    <n v="5100"/>
    <n v="13.2"/>
    <n v="26560.799999999999"/>
    <s v="Completed"/>
    <s v="Bengaluru"/>
    <s v="Beauty"/>
    <s v="SMB"/>
    <n v="34"/>
    <x v="1"/>
    <n v="2237"/>
    <n v="0.56137254901960787"/>
  </r>
  <r>
    <s v="ORD-00608"/>
    <d v="2024-07-01T00:00:00"/>
    <s v="CUST-0144"/>
    <x v="11"/>
    <s v="R027"/>
    <n v="6"/>
    <n v="2640"/>
    <n v="26.2"/>
    <n v="11689.92"/>
    <s v="Completed"/>
    <s v="Chennai"/>
    <s v="Electronics"/>
    <s v="Retail"/>
    <n v="49"/>
    <x v="2"/>
    <n v="1149"/>
    <n v="0.56477272727272732"/>
  </r>
  <r>
    <s v="ORD-00609"/>
    <d v="2024-08-20T00:00:00"/>
    <s v="CUST-0218"/>
    <x v="3"/>
    <s v="R016"/>
    <n v="1"/>
    <n v="3660"/>
    <n v="19.7"/>
    <n v="2938.98"/>
    <s v="Completed"/>
    <s v="Mumbai"/>
    <s v="Grocery"/>
    <s v="Retail"/>
    <n v="39"/>
    <x v="1"/>
    <n v="2214"/>
    <n v="0.39508196721311473"/>
  </r>
  <r>
    <s v="ORD-00610"/>
    <d v="2024-06-25T00:00:00"/>
    <s v="CUST-0249"/>
    <x v="5"/>
    <s v="R027"/>
    <n v="5"/>
    <n v="370"/>
    <n v="21.7"/>
    <n v="1448.55"/>
    <s v="Completed"/>
    <s v="Mumbai"/>
    <s v="Home"/>
    <s v="Retail"/>
    <n v="44"/>
    <x v="2"/>
    <n v="288"/>
    <n v="0.22162162162162163"/>
  </r>
  <r>
    <s v="ORD-00611"/>
    <d v="2024-02-14T00:00:00"/>
    <s v="CUST-0092"/>
    <x v="43"/>
    <s v="R025"/>
    <n v="5"/>
    <n v="620"/>
    <n v="10.199999999999999"/>
    <n v="2783.8"/>
    <s v="Completed"/>
    <s v="Bengaluru"/>
    <s v="Apparel"/>
    <s v="SMB"/>
    <n v="28"/>
    <x v="2"/>
    <n v="396"/>
    <n v="0.36129032258064514"/>
  </r>
  <r>
    <s v="ORD-00612"/>
    <d v="2024-04-10T00:00:00"/>
    <s v="CUST-0245"/>
    <x v="2"/>
    <s v="R018"/>
    <n v="8"/>
    <n v="470"/>
    <n v="2.4"/>
    <n v="3669.76"/>
    <s v="Completed"/>
    <s v="Hyderabad"/>
    <s v="Sports"/>
    <s v="Retail"/>
    <n v="65"/>
    <x v="3"/>
    <n v="302"/>
    <n v="0.35744680851063831"/>
  </r>
  <r>
    <s v="ORD-00613"/>
    <d v="2024-11-14T00:00:00"/>
    <s v="CUST-0134"/>
    <x v="52"/>
    <s v="R005"/>
    <n v="3"/>
    <n v="2290"/>
    <n v="20.8"/>
    <n v="5441.04"/>
    <s v="Completed"/>
    <s v="Delhi"/>
    <s v="Beauty"/>
    <s v="Retail"/>
    <n v="40"/>
    <x v="0"/>
    <n v="1219"/>
    <n v="0.46768558951965067"/>
  </r>
  <r>
    <s v="ORD-00614"/>
    <d v="2024-01-06T00:00:00"/>
    <s v="CUST-0063"/>
    <x v="6"/>
    <s v="R024"/>
    <n v="4"/>
    <n v="960"/>
    <n v="28.8"/>
    <n v="2734.08"/>
    <s v="Pending"/>
    <s v="Mumbai"/>
    <s v="Sports"/>
    <s v="SMB"/>
    <n v="53"/>
    <x v="2"/>
    <n v="705"/>
    <n v="0.265625"/>
  </r>
  <r>
    <s v="ORD-00615"/>
    <d v="2024-09-23T00:00:00"/>
    <s v="CUST-0172"/>
    <x v="3"/>
    <s v="R010"/>
    <n v="5"/>
    <n v="3660"/>
    <n v="11.9"/>
    <n v="16122.3"/>
    <s v="Pending"/>
    <s v="Pune"/>
    <s v="Grocery"/>
    <s v="Retail"/>
    <n v="65"/>
    <x v="1"/>
    <n v="2214"/>
    <n v="0.39508196721311473"/>
  </r>
  <r>
    <s v="ORD-00616"/>
    <d v="2024-07-14T00:00:00"/>
    <s v="CUST-0139"/>
    <x v="25"/>
    <s v="R019"/>
    <n v="5"/>
    <n v="3570"/>
    <n v="12.4"/>
    <n v="15636.6"/>
    <s v="Completed"/>
    <s v="Hyderabad"/>
    <s v="Electronics"/>
    <s v="SMB"/>
    <n v="65"/>
    <x v="3"/>
    <n v="1665"/>
    <n v="0.53361344537815125"/>
  </r>
  <r>
    <s v="ORD-00617"/>
    <d v="2024-01-16T00:00:00"/>
    <s v="CUST-0275"/>
    <x v="44"/>
    <s v="R017"/>
    <n v="9"/>
    <n v="2030"/>
    <n v="23.4"/>
    <n v="13994.82"/>
    <s v="Completed"/>
    <s v="Mumbai"/>
    <s v="Home"/>
    <s v="Retail"/>
    <n v="36"/>
    <x v="3"/>
    <n v="1143"/>
    <n v="0.43694581280788175"/>
  </r>
  <r>
    <s v="ORD-00618"/>
    <d v="2024-02-06T00:00:00"/>
    <s v="CUST-0006"/>
    <x v="20"/>
    <s v="R024"/>
    <n v="7"/>
    <n v="2720"/>
    <n v="11.2"/>
    <n v="16907.52"/>
    <s v="Refunded"/>
    <s v="Pune"/>
    <s v="Apparel"/>
    <s v="SMB"/>
    <n v="44"/>
    <x v="2"/>
    <n v="1962"/>
    <n v="0.2786764705882353"/>
  </r>
  <r>
    <s v="ORD-00619"/>
    <d v="2024-12-01T00:00:00"/>
    <s v="CUST-0279"/>
    <x v="25"/>
    <s v="R008"/>
    <n v="2"/>
    <n v="3570"/>
    <n v="6.1"/>
    <n v="6704.46"/>
    <s v="Cancelled"/>
    <s v="Mumbai"/>
    <s v="Electronics"/>
    <s v="Retail"/>
    <n v="56"/>
    <x v="0"/>
    <n v="1665"/>
    <n v="0.53361344537815125"/>
  </r>
  <r>
    <s v="ORD-00620"/>
    <d v="2024-10-09T00:00:00"/>
    <s v="CUST-0093"/>
    <x v="15"/>
    <s v="R001"/>
    <n v="5"/>
    <n v="2400"/>
    <n v="16.100000000000001"/>
    <n v="10068"/>
    <s v="Completed"/>
    <s v="Pune"/>
    <s v="Sports"/>
    <s v="Retail"/>
    <n v="36"/>
    <x v="0"/>
    <n v="974"/>
    <n v="0.59416666666666662"/>
  </r>
  <r>
    <s v="ORD-00621"/>
    <d v="2024-10-27T00:00:00"/>
    <s v="CUST-0063"/>
    <x v="10"/>
    <s v="R002"/>
    <n v="4"/>
    <n v="2270"/>
    <n v="27.5"/>
    <n v="6583"/>
    <s v="Pending"/>
    <s v="Mumbai"/>
    <s v="Grocery"/>
    <s v="SMB"/>
    <n v="53"/>
    <x v="0"/>
    <n v="1203"/>
    <n v="0.47004405286343615"/>
  </r>
  <r>
    <s v="ORD-00622"/>
    <d v="2024-08-05T00:00:00"/>
    <s v="CUST-0071"/>
    <x v="9"/>
    <s v="R012"/>
    <n v="1"/>
    <n v="970"/>
    <n v="12.7"/>
    <n v="846.81"/>
    <s v="Completed"/>
    <s v="Delhi"/>
    <s v="Grocery"/>
    <s v="Corporate"/>
    <n v="46"/>
    <x v="1"/>
    <n v="434"/>
    <n v="0.5525773195876289"/>
  </r>
  <r>
    <s v="ORD-00623"/>
    <d v="2024-01-16T00:00:00"/>
    <s v="CUST-0119"/>
    <x v="58"/>
    <s v="R018"/>
    <n v="5"/>
    <n v="6940"/>
    <n v="16.2"/>
    <n v="29078.6"/>
    <s v="Completed"/>
    <s v="Bengaluru"/>
    <s v="Sports"/>
    <s v="SMB"/>
    <n v="43"/>
    <x v="3"/>
    <n v="2827"/>
    <n v="0.5926512968299712"/>
  </r>
  <r>
    <s v="ORD-00624"/>
    <d v="2024-10-21T00:00:00"/>
    <s v="CUST-0035"/>
    <x v="58"/>
    <s v="R009"/>
    <n v="4"/>
    <n v="6940"/>
    <n v="15.1"/>
    <n v="23568.240000000002"/>
    <s v="Completed"/>
    <s v="Hyderabad"/>
    <s v="Sports"/>
    <s v="Retail"/>
    <n v="53"/>
    <x v="1"/>
    <n v="2827"/>
    <n v="0.5926512968299712"/>
  </r>
  <r>
    <s v="ORD-00625"/>
    <d v="2024-10-22T00:00:00"/>
    <s v="CUST-0042"/>
    <x v="23"/>
    <s v="R006"/>
    <n v="1"/>
    <n v="1010"/>
    <n v="1.7"/>
    <n v="992.83"/>
    <s v="Completed"/>
    <s v="Pune"/>
    <s v="Sports"/>
    <s v="Retail"/>
    <n v="25"/>
    <x v="0"/>
    <n v="516"/>
    <n v="0.4891089108910891"/>
  </r>
  <r>
    <s v="ORD-00626"/>
    <d v="2024-11-13T00:00:00"/>
    <s v="CUST-0033"/>
    <x v="35"/>
    <s v="R007"/>
    <n v="6"/>
    <n v="3870"/>
    <n v="12.2"/>
    <n v="20387.16"/>
    <s v="Completed"/>
    <s v="Delhi"/>
    <s v="Electronics"/>
    <s v="Retail"/>
    <n v="35"/>
    <x v="0"/>
    <n v="1559"/>
    <n v="0.59715762273901807"/>
  </r>
  <r>
    <s v="ORD-00627"/>
    <d v="2024-01-25T00:00:00"/>
    <s v="CUST-0077"/>
    <x v="26"/>
    <s v="R011"/>
    <n v="9"/>
    <n v="5100"/>
    <n v="26.4"/>
    <n v="33782.400000000001"/>
    <s v="Completed"/>
    <s v="Hyderabad"/>
    <s v="Beauty"/>
    <s v="SMB"/>
    <n v="48"/>
    <x v="1"/>
    <n v="2237"/>
    <n v="0.56137254901960787"/>
  </r>
  <r>
    <s v="ORD-00628"/>
    <d v="2024-06-08T00:00:00"/>
    <s v="CUST-0266"/>
    <x v="4"/>
    <s v="R008"/>
    <n v="2"/>
    <n v="3160"/>
    <n v="13.4"/>
    <n v="5473.12"/>
    <s v="Refunded"/>
    <s v="Pune"/>
    <s v="Apparel"/>
    <s v="Retail"/>
    <n v="65"/>
    <x v="0"/>
    <n v="1886"/>
    <n v="0.4031645569620253"/>
  </r>
  <r>
    <s v="ORD-00629"/>
    <d v="2024-09-19T00:00:00"/>
    <s v="CUST-0272"/>
    <x v="45"/>
    <s v="R011"/>
    <n v="8"/>
    <n v="2210"/>
    <n v="26"/>
    <n v="13083.2"/>
    <s v="Completed"/>
    <s v="Mumbai"/>
    <s v="Grocery"/>
    <s v="SMB"/>
    <n v="47"/>
    <x v="1"/>
    <n v="1010"/>
    <n v="0.54298642533936647"/>
  </r>
  <r>
    <s v="ORD-00630"/>
    <d v="2024-10-02T00:00:00"/>
    <s v="CUST-0253"/>
    <x v="59"/>
    <s v="R026"/>
    <n v="5"/>
    <n v="3560"/>
    <n v="15"/>
    <n v="15130"/>
    <s v="Completed"/>
    <s v="Delhi"/>
    <s v="Apparel"/>
    <s v="SMB"/>
    <n v="53"/>
    <x v="2"/>
    <n v="2629"/>
    <n v="0.26151685393258428"/>
  </r>
  <r>
    <s v="ORD-00631"/>
    <d v="2024-12-07T00:00:00"/>
    <s v="CUST-0252"/>
    <x v="43"/>
    <s v="R010"/>
    <n v="10"/>
    <n v="620"/>
    <n v="15.8"/>
    <n v="5220.3999999999996"/>
    <s v="Refunded"/>
    <s v="Bengaluru"/>
    <s v="Apparel"/>
    <s v="Retail"/>
    <n v="27"/>
    <x v="1"/>
    <n v="396"/>
    <n v="0.36129032258064514"/>
  </r>
  <r>
    <s v="ORD-00632"/>
    <d v="2024-10-23T00:00:00"/>
    <s v="CUST-0097"/>
    <x v="28"/>
    <s v="R002"/>
    <n v="3"/>
    <n v="2760"/>
    <n v="1.9"/>
    <n v="8122.68"/>
    <s v="Cancelled"/>
    <s v="Mumbai"/>
    <s v="Grocery"/>
    <s v="Retail"/>
    <n v="65"/>
    <x v="0"/>
    <n v="1435"/>
    <n v="0.48007246376811596"/>
  </r>
  <r>
    <s v="ORD-00633"/>
    <d v="2024-12-08T00:00:00"/>
    <s v="CUST-0283"/>
    <x v="23"/>
    <s v="R005"/>
    <n v="10"/>
    <n v="1010"/>
    <n v="28.9"/>
    <n v="7181.1"/>
    <s v="Completed"/>
    <s v="Delhi"/>
    <s v="Sports"/>
    <s v="SMB"/>
    <n v="50"/>
    <x v="0"/>
    <n v="516"/>
    <n v="0.4891089108910891"/>
  </r>
  <r>
    <s v="ORD-00634"/>
    <d v="2024-03-01T00:00:00"/>
    <s v="CUST-0064"/>
    <x v="32"/>
    <s v="R002"/>
    <n v="1"/>
    <n v="3640"/>
    <n v="9.6999999999999993"/>
    <n v="3286.92"/>
    <s v="Completed"/>
    <s v="Hyderabad"/>
    <s v="Apparel"/>
    <s v="SMB"/>
    <n v="40"/>
    <x v="0"/>
    <n v="2611"/>
    <n v="0.28269230769230769"/>
  </r>
  <r>
    <s v="ORD-00635"/>
    <d v="2024-07-16T00:00:00"/>
    <s v="CUST-0143"/>
    <x v="1"/>
    <s v="R010"/>
    <n v="1"/>
    <n v="820"/>
    <n v="15"/>
    <n v="697"/>
    <s v="Completed"/>
    <s v="Chennai"/>
    <s v="Apparel"/>
    <s v="SMB"/>
    <n v="52"/>
    <x v="1"/>
    <n v="391"/>
    <n v="0.52317073170731709"/>
  </r>
  <r>
    <s v="ORD-00636"/>
    <d v="2024-02-20T00:00:00"/>
    <s v="CUST-0265"/>
    <x v="32"/>
    <s v="R011"/>
    <n v="4"/>
    <n v="3640"/>
    <n v="17"/>
    <n v="12084.8"/>
    <s v="Completed"/>
    <s v="Chennai"/>
    <s v="Apparel"/>
    <s v="Retail"/>
    <n v="49"/>
    <x v="1"/>
    <n v="2611"/>
    <n v="0.28269230769230769"/>
  </r>
  <r>
    <s v="ORD-00637"/>
    <d v="2024-05-13T00:00:00"/>
    <s v="CUST-0158"/>
    <x v="50"/>
    <s v="R002"/>
    <n v="7"/>
    <n v="2380"/>
    <n v="25.5"/>
    <n v="12411.7"/>
    <s v="Completed"/>
    <s v="Pune"/>
    <s v="Grocery"/>
    <s v="Corporate"/>
    <n v="42"/>
    <x v="0"/>
    <n v="1182"/>
    <n v="0.50336134453781511"/>
  </r>
  <r>
    <s v="ORD-00638"/>
    <d v="2024-11-02T00:00:00"/>
    <s v="CUST-0154"/>
    <x v="29"/>
    <s v="R008"/>
    <n v="1"/>
    <n v="660"/>
    <n v="2.5"/>
    <n v="643.5"/>
    <s v="Completed"/>
    <s v="Pune"/>
    <s v="Home"/>
    <s v="Retail"/>
    <n v="36"/>
    <x v="0"/>
    <n v="329"/>
    <n v="0.50151515151515147"/>
  </r>
  <r>
    <s v="ORD-00639"/>
    <d v="2024-03-02T00:00:00"/>
    <s v="CUST-0057"/>
    <x v="35"/>
    <s v="R020"/>
    <n v="7"/>
    <n v="3870"/>
    <n v="20.3"/>
    <n v="21590.73"/>
    <s v="Pending"/>
    <s v="Pune"/>
    <s v="Electronics"/>
    <s v="Retail"/>
    <n v="35"/>
    <x v="3"/>
    <n v="1559"/>
    <n v="0.59715762273901807"/>
  </r>
  <r>
    <s v="ORD-00640"/>
    <d v="2024-09-07T00:00:00"/>
    <s v="CUST-0088"/>
    <x v="5"/>
    <s v="R016"/>
    <n v="10"/>
    <n v="370"/>
    <n v="1.3"/>
    <n v="3651.9"/>
    <s v="Refunded"/>
    <s v="Chennai"/>
    <s v="Home"/>
    <s v="Retail"/>
    <n v="24"/>
    <x v="1"/>
    <n v="288"/>
    <n v="0.22162162162162163"/>
  </r>
  <r>
    <s v="ORD-00641"/>
    <d v="2024-03-14T00:00:00"/>
    <s v="CUST-0064"/>
    <x v="0"/>
    <s v="R018"/>
    <n v="1"/>
    <n v="3620"/>
    <n v="1.4"/>
    <n v="3569.32"/>
    <s v="Completed"/>
    <s v="Hyderabad"/>
    <s v="Apparel"/>
    <s v="SMB"/>
    <n v="40"/>
    <x v="3"/>
    <n v="2509"/>
    <n v="0.3069060773480663"/>
  </r>
  <r>
    <s v="ORD-00642"/>
    <d v="2024-10-09T00:00:00"/>
    <s v="CUST-0192"/>
    <x v="41"/>
    <s v="R005"/>
    <n v="10"/>
    <n v="2660"/>
    <n v="20.2"/>
    <n v="21226.799999999999"/>
    <s v="Completed"/>
    <s v="Bengaluru"/>
    <s v="Electronics"/>
    <s v="Retail"/>
    <n v="55"/>
    <x v="0"/>
    <n v="1259"/>
    <n v="0.52669172932330832"/>
  </r>
  <r>
    <s v="ORD-00643"/>
    <d v="2024-11-18T00:00:00"/>
    <s v="CUST-0175"/>
    <x v="17"/>
    <s v="R015"/>
    <n v="10"/>
    <n v="3450"/>
    <n v="25.1"/>
    <n v="25840.5"/>
    <s v="Completed"/>
    <s v="Delhi"/>
    <s v="Sports"/>
    <s v="Corporate"/>
    <n v="55"/>
    <x v="1"/>
    <n v="2467"/>
    <n v="0.28492753623188405"/>
  </r>
  <r>
    <s v="ORD-00644"/>
    <d v="2024-12-03T00:00:00"/>
    <s v="CUST-0083"/>
    <x v="46"/>
    <s v="R013"/>
    <n v="3"/>
    <n v="4060"/>
    <n v="2.5"/>
    <n v="11875.5"/>
    <s v="Refunded"/>
    <s v="Bengaluru"/>
    <s v="Grocery"/>
    <s v="Corporate"/>
    <n v="31"/>
    <x v="1"/>
    <n v="2911"/>
    <n v="0.28300492610837441"/>
  </r>
  <r>
    <s v="ORD-00645"/>
    <d v="2024-01-03T00:00:00"/>
    <s v="CUST-0142"/>
    <x v="6"/>
    <s v="R021"/>
    <n v="3"/>
    <n v="960"/>
    <n v="6.6"/>
    <n v="2689.92"/>
    <s v="Cancelled"/>
    <s v="Chennai"/>
    <s v="Sports"/>
    <s v="Corporate"/>
    <n v="55"/>
    <x v="3"/>
    <n v="705"/>
    <n v="0.265625"/>
  </r>
  <r>
    <s v="ORD-00646"/>
    <d v="2024-05-06T00:00:00"/>
    <s v="CUST-0185"/>
    <x v="41"/>
    <s v="R008"/>
    <n v="4"/>
    <n v="2660"/>
    <n v="16.899999999999999"/>
    <n v="8841.84"/>
    <s v="Completed"/>
    <s v="Hyderabad"/>
    <s v="Electronics"/>
    <s v="SMB"/>
    <n v="43"/>
    <x v="0"/>
    <n v="1259"/>
    <n v="0.52669172932330832"/>
  </r>
  <r>
    <s v="ORD-00647"/>
    <d v="2024-03-18T00:00:00"/>
    <s v="CUST-0284"/>
    <x v="10"/>
    <s v="R018"/>
    <n v="6"/>
    <n v="2270"/>
    <n v="16.7"/>
    <n v="11345.46"/>
    <s v="Completed"/>
    <s v="Hyderabad"/>
    <s v="Grocery"/>
    <s v="SMB"/>
    <n v="65"/>
    <x v="3"/>
    <n v="1203"/>
    <n v="0.47004405286343615"/>
  </r>
  <r>
    <s v="ORD-00648"/>
    <d v="2024-09-14T00:00:00"/>
    <s v="CUST-0092"/>
    <x v="31"/>
    <s v="R025"/>
    <n v="5"/>
    <n v="3780"/>
    <n v="21.5"/>
    <n v="14836.5"/>
    <s v="Completed"/>
    <s v="Bengaluru"/>
    <s v="Grocery"/>
    <s v="SMB"/>
    <n v="28"/>
    <x v="2"/>
    <n v="2436"/>
    <n v="0.35555555555555557"/>
  </r>
  <r>
    <s v="ORD-00649"/>
    <d v="2024-08-01T00:00:00"/>
    <s v="CUST-0091"/>
    <x v="29"/>
    <s v="R019"/>
    <n v="10"/>
    <n v="660"/>
    <n v="18.8"/>
    <n v="5359.2"/>
    <s v="Completed"/>
    <s v="Delhi"/>
    <s v="Home"/>
    <s v="Retail"/>
    <n v="55"/>
    <x v="3"/>
    <n v="329"/>
    <n v="0.50151515151515147"/>
  </r>
  <r>
    <s v="ORD-00650"/>
    <d v="2024-05-01T00:00:00"/>
    <s v="CUST-0155"/>
    <x v="30"/>
    <s v="R024"/>
    <n v="10"/>
    <n v="3730"/>
    <n v="15.1"/>
    <n v="31667.7"/>
    <s v="Completed"/>
    <s v="Pune"/>
    <s v="Home"/>
    <s v="Corporate"/>
    <n v="40"/>
    <x v="2"/>
    <n v="2135"/>
    <n v="0.42761394101876676"/>
  </r>
  <r>
    <s v="ORD-00651"/>
    <d v="2024-09-24T00:00:00"/>
    <s v="CUST-0280"/>
    <x v="46"/>
    <s v="R021"/>
    <n v="6"/>
    <n v="4060"/>
    <n v="20.100000000000001"/>
    <n v="19463.64"/>
    <s v="Pending"/>
    <s v="Delhi"/>
    <s v="Grocery"/>
    <s v="SMB"/>
    <n v="27"/>
    <x v="3"/>
    <n v="2911"/>
    <n v="0.28300492610837441"/>
  </r>
  <r>
    <s v="ORD-00652"/>
    <d v="2024-08-21T00:00:00"/>
    <s v="CUST-0127"/>
    <x v="10"/>
    <s v="R003"/>
    <n v="2"/>
    <n v="2270"/>
    <n v="17.7"/>
    <n v="3736.42"/>
    <s v="Completed"/>
    <s v="Bengaluru"/>
    <s v="Grocery"/>
    <s v="SMB"/>
    <n v="36"/>
    <x v="0"/>
    <n v="1203"/>
    <n v="0.47004405286343615"/>
  </r>
  <r>
    <s v="ORD-00653"/>
    <d v="2024-11-14T00:00:00"/>
    <s v="CUST-0077"/>
    <x v="25"/>
    <s v="R028"/>
    <n v="9"/>
    <n v="3570"/>
    <n v="29.9"/>
    <n v="22523.13"/>
    <s v="Completed"/>
    <s v="Hyderabad"/>
    <s v="Electronics"/>
    <s v="SMB"/>
    <n v="48"/>
    <x v="2"/>
    <n v="1665"/>
    <n v="0.53361344537815125"/>
  </r>
  <r>
    <s v="ORD-00654"/>
    <d v="2024-08-17T00:00:00"/>
    <s v="CUST-0190"/>
    <x v="45"/>
    <s v="R004"/>
    <n v="7"/>
    <n v="2210"/>
    <n v="25"/>
    <n v="11602.5"/>
    <s v="Completed"/>
    <s v="Hyderabad"/>
    <s v="Grocery"/>
    <s v="Retail"/>
    <n v="52"/>
    <x v="0"/>
    <n v="1010"/>
    <n v="0.54298642533936647"/>
  </r>
  <r>
    <s v="ORD-00655"/>
    <d v="2024-03-30T00:00:00"/>
    <s v="CUST-0089"/>
    <x v="6"/>
    <s v="R026"/>
    <n v="2"/>
    <n v="960"/>
    <n v="8.1999999999999993"/>
    <n v="1762.56"/>
    <s v="Cancelled"/>
    <s v="Mumbai"/>
    <s v="Sports"/>
    <s v="SMB"/>
    <n v="43"/>
    <x v="2"/>
    <n v="705"/>
    <n v="0.265625"/>
  </r>
  <r>
    <s v="ORD-00656"/>
    <d v="2024-04-19T00:00:00"/>
    <s v="CUST-0141"/>
    <x v="56"/>
    <s v="R026"/>
    <n v="9"/>
    <n v="3780"/>
    <n v="28.4"/>
    <n v="24358.32"/>
    <s v="Pending"/>
    <s v="Hyderabad"/>
    <s v="Sports"/>
    <s v="Corporate"/>
    <n v="22"/>
    <x v="2"/>
    <n v="1860"/>
    <n v="0.50793650793650791"/>
  </r>
  <r>
    <s v="ORD-00657"/>
    <d v="2024-10-16T00:00:00"/>
    <s v="CUST-0123"/>
    <x v="26"/>
    <s v="R014"/>
    <n v="2"/>
    <n v="5100"/>
    <n v="8.6"/>
    <n v="9322.7999999999993"/>
    <s v="Completed"/>
    <s v="Chennai"/>
    <s v="Beauty"/>
    <s v="Corporate"/>
    <n v="44"/>
    <x v="1"/>
    <n v="2237"/>
    <n v="0.56137254901960787"/>
  </r>
  <r>
    <s v="ORD-00658"/>
    <d v="2024-05-02T00:00:00"/>
    <s v="CUST-0041"/>
    <x v="19"/>
    <s v="R021"/>
    <n v="4"/>
    <n v="2480"/>
    <n v="16.600000000000001"/>
    <n v="8273.2800000000007"/>
    <s v="Completed"/>
    <s v="Bengaluru"/>
    <s v="Apparel"/>
    <s v="SMB"/>
    <n v="26"/>
    <x v="3"/>
    <n v="1173"/>
    <n v="0.52701612903225803"/>
  </r>
  <r>
    <s v="ORD-00659"/>
    <d v="2024-05-31T00:00:00"/>
    <s v="CUST-0257"/>
    <x v="18"/>
    <s v="R018"/>
    <n v="10"/>
    <n v="1080"/>
    <n v="14.5"/>
    <n v="9234"/>
    <s v="Completed"/>
    <s v="Mumbai"/>
    <s v="Home"/>
    <s v="Corporate"/>
    <n v="46"/>
    <x v="3"/>
    <n v="519"/>
    <n v="0.51944444444444449"/>
  </r>
  <r>
    <s v="ORD-00660"/>
    <d v="2024-03-26T00:00:00"/>
    <s v="CUST-0134"/>
    <x v="12"/>
    <s v="R029"/>
    <n v="7"/>
    <n v="2600"/>
    <n v="21"/>
    <n v="14378"/>
    <s v="Completed"/>
    <s v="Delhi"/>
    <s v="Electronics"/>
    <s v="Retail"/>
    <n v="40"/>
    <x v="2"/>
    <n v="1052"/>
    <n v="0.5953846153846154"/>
  </r>
  <r>
    <s v="ORD-00661"/>
    <d v="2024-11-26T00:00:00"/>
    <s v="CUST-0180"/>
    <x v="12"/>
    <s v="R015"/>
    <n v="7"/>
    <n v="2600"/>
    <n v="6.7"/>
    <n v="16980.599999999999"/>
    <s v="Pending"/>
    <s v="Chennai"/>
    <s v="Electronics"/>
    <s v="Retail"/>
    <n v="36"/>
    <x v="1"/>
    <n v="1052"/>
    <n v="0.5953846153846154"/>
  </r>
  <r>
    <s v="ORD-00662"/>
    <d v="2024-04-21T00:00:00"/>
    <s v="CUST-0283"/>
    <x v="1"/>
    <s v="R023"/>
    <n v="8"/>
    <n v="820"/>
    <n v="17.8"/>
    <n v="5392.32"/>
    <s v="Pending"/>
    <s v="Delhi"/>
    <s v="Apparel"/>
    <s v="SMB"/>
    <n v="50"/>
    <x v="3"/>
    <n v="391"/>
    <n v="0.52317073170731709"/>
  </r>
  <r>
    <s v="ORD-00663"/>
    <d v="2024-08-28T00:00:00"/>
    <s v="CUST-0047"/>
    <x v="6"/>
    <s v="R009"/>
    <n v="3"/>
    <n v="960"/>
    <n v="17.8"/>
    <n v="2367.36"/>
    <s v="Completed"/>
    <s v="Pune"/>
    <s v="Sports"/>
    <s v="Retail"/>
    <n v="49"/>
    <x v="1"/>
    <n v="705"/>
    <n v="0.265625"/>
  </r>
  <r>
    <s v="ORD-00664"/>
    <d v="2024-01-10T00:00:00"/>
    <s v="CUST-0175"/>
    <x v="36"/>
    <s v="R023"/>
    <n v="2"/>
    <n v="1540"/>
    <n v="1.8"/>
    <n v="3024.56"/>
    <s v="Cancelled"/>
    <s v="Delhi"/>
    <s v="Beauty"/>
    <s v="Corporate"/>
    <n v="55"/>
    <x v="3"/>
    <n v="647"/>
    <n v="0.57987012987012987"/>
  </r>
  <r>
    <s v="ORD-00665"/>
    <d v="2024-11-26T00:00:00"/>
    <s v="CUST-0227"/>
    <x v="58"/>
    <s v="R030"/>
    <n v="5"/>
    <n v="6940"/>
    <n v="2.9"/>
    <n v="33693.699999999997"/>
    <s v="Completed"/>
    <s v="Bengaluru"/>
    <s v="Sports"/>
    <s v="SMB"/>
    <n v="44"/>
    <x v="2"/>
    <n v="2827"/>
    <n v="0.5926512968299712"/>
  </r>
  <r>
    <s v="ORD-00666"/>
    <d v="2024-08-27T00:00:00"/>
    <s v="CUST-0287"/>
    <x v="36"/>
    <s v="R013"/>
    <n v="5"/>
    <n v="1540"/>
    <n v="28.8"/>
    <n v="5482.4"/>
    <s v="Completed"/>
    <s v="Chennai"/>
    <s v="Beauty"/>
    <s v="SMB"/>
    <n v="53"/>
    <x v="1"/>
    <n v="647"/>
    <n v="0.57987012987012987"/>
  </r>
  <r>
    <s v="ORD-00667"/>
    <d v="2024-02-04T00:00:00"/>
    <s v="CUST-0004"/>
    <x v="30"/>
    <s v="R012"/>
    <n v="8"/>
    <n v="3730"/>
    <n v="21.1"/>
    <n v="23543.759999999998"/>
    <s v="Completed"/>
    <s v="Delhi"/>
    <s v="Home"/>
    <s v="Retail"/>
    <n v="53"/>
    <x v="1"/>
    <n v="2135"/>
    <n v="0.42761394101876676"/>
  </r>
  <r>
    <s v="ORD-00668"/>
    <d v="2024-12-09T00:00:00"/>
    <s v="CUST-0234"/>
    <x v="28"/>
    <s v="R023"/>
    <n v="7"/>
    <n v="2760"/>
    <n v="1.2"/>
    <n v="19088.16"/>
    <s v="Cancelled"/>
    <s v="Bengaluru"/>
    <s v="Grocery"/>
    <s v="Retail"/>
    <n v="34"/>
    <x v="3"/>
    <n v="1435"/>
    <n v="0.48007246376811596"/>
  </r>
  <r>
    <s v="ORD-00669"/>
    <d v="2024-05-19T00:00:00"/>
    <s v="CUST-0255"/>
    <x v="53"/>
    <s v="R020"/>
    <n v="3"/>
    <n v="3970"/>
    <n v="18.3"/>
    <n v="9730.4699999999993"/>
    <s v="Completed"/>
    <s v="Chennai"/>
    <s v="Electronics"/>
    <s v="Corporate"/>
    <n v="51"/>
    <x v="3"/>
    <n v="2865"/>
    <n v="0.27833753148614609"/>
  </r>
  <r>
    <s v="ORD-00670"/>
    <d v="2024-04-11T00:00:00"/>
    <s v="CUST-0092"/>
    <x v="31"/>
    <s v="R023"/>
    <n v="4"/>
    <n v="3780"/>
    <n v="24.6"/>
    <n v="11400.48"/>
    <s v="Completed"/>
    <s v="Bengaluru"/>
    <s v="Grocery"/>
    <s v="SMB"/>
    <n v="28"/>
    <x v="3"/>
    <n v="2436"/>
    <n v="0.35555555555555557"/>
  </r>
  <r>
    <s v="ORD-00671"/>
    <d v="2024-01-04T00:00:00"/>
    <s v="CUST-0037"/>
    <x v="20"/>
    <s v="R008"/>
    <n v="10"/>
    <n v="2720"/>
    <n v="12.8"/>
    <n v="23718.400000000001"/>
    <s v="Completed"/>
    <s v="Bengaluru"/>
    <s v="Apparel"/>
    <s v="Retail"/>
    <n v="52"/>
    <x v="0"/>
    <n v="1962"/>
    <n v="0.2786764705882353"/>
  </r>
  <r>
    <s v="ORD-00672"/>
    <d v="2024-03-20T00:00:00"/>
    <s v="CUST-0208"/>
    <x v="53"/>
    <s v="R017"/>
    <n v="5"/>
    <n v="3970"/>
    <n v="5.9"/>
    <n v="18678.849999999999"/>
    <s v="Completed"/>
    <s v="Mumbai"/>
    <s v="Electronics"/>
    <s v="Retail"/>
    <n v="49"/>
    <x v="3"/>
    <n v="2865"/>
    <n v="0.27833753148614609"/>
  </r>
  <r>
    <s v="ORD-00673"/>
    <d v="2024-11-05T00:00:00"/>
    <s v="CUST-0008"/>
    <x v="1"/>
    <s v="R011"/>
    <n v="3"/>
    <n v="820"/>
    <n v="19.399999999999999"/>
    <n v="1982.76"/>
    <s v="Completed"/>
    <s v="Pune"/>
    <s v="Apparel"/>
    <s v="SMB"/>
    <n v="39"/>
    <x v="1"/>
    <n v="391"/>
    <n v="0.52317073170731709"/>
  </r>
  <r>
    <s v="ORD-00674"/>
    <d v="2024-06-28T00:00:00"/>
    <s v="CUST-0050"/>
    <x v="43"/>
    <s v="R010"/>
    <n v="7"/>
    <n v="620"/>
    <n v="9.9"/>
    <n v="3910.34"/>
    <s v="Completed"/>
    <s v="Mumbai"/>
    <s v="Apparel"/>
    <s v="Retail"/>
    <n v="37"/>
    <x v="1"/>
    <n v="396"/>
    <n v="0.36129032258064514"/>
  </r>
  <r>
    <s v="ORD-00675"/>
    <d v="2024-01-27T00:00:00"/>
    <s v="CUST-0166"/>
    <x v="52"/>
    <s v="R027"/>
    <n v="8"/>
    <n v="2290"/>
    <n v="18.3"/>
    <n v="14967.44"/>
    <s v="Completed"/>
    <s v="Hyderabad"/>
    <s v="Beauty"/>
    <s v="Retail"/>
    <n v="31"/>
    <x v="2"/>
    <n v="1219"/>
    <n v="0.46768558951965067"/>
  </r>
  <r>
    <s v="ORD-00676"/>
    <d v="2024-03-13T00:00:00"/>
    <s v="CUST-0271"/>
    <x v="9"/>
    <s v="R025"/>
    <n v="3"/>
    <n v="970"/>
    <n v="18.399999999999999"/>
    <n v="2374.56"/>
    <s v="Completed"/>
    <s v="Bengaluru"/>
    <s v="Grocery"/>
    <s v="Corporate"/>
    <n v="41"/>
    <x v="2"/>
    <n v="434"/>
    <n v="0.5525773195876289"/>
  </r>
  <r>
    <s v="ORD-00677"/>
    <d v="2024-05-07T00:00:00"/>
    <s v="CUST-0034"/>
    <x v="5"/>
    <s v="R014"/>
    <n v="2"/>
    <n v="370"/>
    <n v="8.9"/>
    <n v="674.14"/>
    <s v="Completed"/>
    <s v="Delhi"/>
    <s v="Home"/>
    <s v="Retail"/>
    <n v="47"/>
    <x v="1"/>
    <n v="288"/>
    <n v="0.22162162162162163"/>
  </r>
  <r>
    <s v="ORD-00678"/>
    <d v="2024-12-06T00:00:00"/>
    <s v="CUST-0016"/>
    <x v="7"/>
    <s v="R007"/>
    <n v="1"/>
    <n v="1430"/>
    <n v="5.9"/>
    <n v="1345.63"/>
    <s v="Cancelled"/>
    <s v="Delhi"/>
    <s v="Electronics"/>
    <s v="SMB"/>
    <n v="26"/>
    <x v="0"/>
    <n v="861"/>
    <n v="0.39790209790209791"/>
  </r>
  <r>
    <s v="ORD-00679"/>
    <d v="2024-07-21T00:00:00"/>
    <s v="CUST-0039"/>
    <x v="15"/>
    <s v="R030"/>
    <n v="2"/>
    <n v="2400"/>
    <n v="29.1"/>
    <n v="3403.2"/>
    <s v="Completed"/>
    <s v="Bengaluru"/>
    <s v="Sports"/>
    <s v="Retail"/>
    <n v="37"/>
    <x v="2"/>
    <n v="974"/>
    <n v="0.59416666666666662"/>
  </r>
  <r>
    <s v="ORD-00680"/>
    <d v="2024-02-15T00:00:00"/>
    <s v="CUST-0253"/>
    <x v="7"/>
    <s v="R011"/>
    <n v="9"/>
    <n v="1430"/>
    <n v="6"/>
    <n v="12097.8"/>
    <s v="Completed"/>
    <s v="Delhi"/>
    <s v="Electronics"/>
    <s v="SMB"/>
    <n v="53"/>
    <x v="1"/>
    <n v="861"/>
    <n v="0.39790209790209791"/>
  </r>
  <r>
    <s v="ORD-00681"/>
    <d v="2024-08-06T00:00:00"/>
    <s v="CUST-0295"/>
    <x v="20"/>
    <s v="R007"/>
    <n v="8"/>
    <n v="2720"/>
    <n v="25.7"/>
    <n v="16167.68"/>
    <s v="Completed"/>
    <s v="Delhi"/>
    <s v="Apparel"/>
    <s v="SMB"/>
    <n v="48"/>
    <x v="0"/>
    <n v="1962"/>
    <n v="0.2786764705882353"/>
  </r>
  <r>
    <s v="ORD-00682"/>
    <d v="2024-10-07T00:00:00"/>
    <s v="CUST-0138"/>
    <x v="58"/>
    <s v="R027"/>
    <n v="6"/>
    <n v="6940"/>
    <n v="25.7"/>
    <n v="30938.52"/>
    <s v="Completed"/>
    <s v="Chennai"/>
    <s v="Sports"/>
    <s v="Retail"/>
    <n v="24"/>
    <x v="2"/>
    <n v="2827"/>
    <n v="0.5926512968299712"/>
  </r>
  <r>
    <s v="ORD-00683"/>
    <d v="2024-06-29T00:00:00"/>
    <s v="CUST-0002"/>
    <x v="0"/>
    <s v="R007"/>
    <n v="3"/>
    <n v="3620"/>
    <n v="29.7"/>
    <n v="7634.58"/>
    <s v="Completed"/>
    <s v="Pune"/>
    <s v="Apparel"/>
    <s v="Corporate"/>
    <n v="42"/>
    <x v="0"/>
    <n v="2509"/>
    <n v="0.3069060773480663"/>
  </r>
  <r>
    <s v="ORD-00684"/>
    <d v="2024-11-19T00:00:00"/>
    <s v="CUST-0287"/>
    <x v="11"/>
    <s v="R025"/>
    <n v="8"/>
    <n v="2640"/>
    <n v="24.4"/>
    <n v="15966.72"/>
    <s v="Completed"/>
    <s v="Chennai"/>
    <s v="Electronics"/>
    <s v="SMB"/>
    <n v="53"/>
    <x v="2"/>
    <n v="1149"/>
    <n v="0.56477272727272732"/>
  </r>
  <r>
    <s v="ORD-00685"/>
    <d v="2024-02-27T00:00:00"/>
    <s v="CUST-0279"/>
    <x v="8"/>
    <s v="R006"/>
    <n v="3"/>
    <n v="5490"/>
    <n v="13.5"/>
    <n v="14246.55"/>
    <s v="Completed"/>
    <s v="Mumbai"/>
    <s v="Home"/>
    <s v="Retail"/>
    <n v="56"/>
    <x v="0"/>
    <n v="2549"/>
    <n v="0.53570127504553733"/>
  </r>
  <r>
    <s v="ORD-00686"/>
    <d v="2024-05-01T00:00:00"/>
    <s v="CUST-0008"/>
    <x v="54"/>
    <s v="R017"/>
    <n v="3"/>
    <n v="5080"/>
    <n v="9.3000000000000007"/>
    <n v="13822.68"/>
    <s v="Completed"/>
    <s v="Pune"/>
    <s v="Home"/>
    <s v="SMB"/>
    <n v="39"/>
    <x v="3"/>
    <n v="2459"/>
    <n v="0.51594488188976373"/>
  </r>
  <r>
    <s v="ORD-00687"/>
    <d v="2024-08-11T00:00:00"/>
    <s v="CUST-0092"/>
    <x v="52"/>
    <s v="R030"/>
    <n v="4"/>
    <n v="2290"/>
    <n v="24.4"/>
    <n v="6924.96"/>
    <s v="Completed"/>
    <s v="Bengaluru"/>
    <s v="Beauty"/>
    <s v="SMB"/>
    <n v="28"/>
    <x v="2"/>
    <n v="1219"/>
    <n v="0.46768558951965067"/>
  </r>
  <r>
    <s v="ORD-00688"/>
    <d v="2024-06-20T00:00:00"/>
    <s v="CUST-0106"/>
    <x v="44"/>
    <s v="R011"/>
    <n v="10"/>
    <n v="2030"/>
    <n v="13.6"/>
    <n v="17539.2"/>
    <s v="Pending"/>
    <s v="Pune"/>
    <s v="Home"/>
    <s v="Retail"/>
    <n v="22"/>
    <x v="1"/>
    <n v="1143"/>
    <n v="0.43694581280788175"/>
  </r>
  <r>
    <s v="ORD-00689"/>
    <d v="2024-11-11T00:00:00"/>
    <s v="CUST-0010"/>
    <x v="7"/>
    <s v="R012"/>
    <n v="10"/>
    <n v="1430"/>
    <n v="16.100000000000001"/>
    <n v="11997.7"/>
    <s v="Cancelled"/>
    <s v="Mumbai"/>
    <s v="Electronics"/>
    <s v="SMB"/>
    <n v="61"/>
    <x v="1"/>
    <n v="861"/>
    <n v="0.39790209790209791"/>
  </r>
  <r>
    <s v="ORD-00690"/>
    <d v="2024-03-06T00:00:00"/>
    <s v="CUST-0179"/>
    <x v="31"/>
    <s v="R009"/>
    <n v="1"/>
    <n v="3780"/>
    <n v="22.7"/>
    <n v="2921.94"/>
    <s v="Completed"/>
    <s v="Mumbai"/>
    <s v="Grocery"/>
    <s v="SMB"/>
    <n v="54"/>
    <x v="1"/>
    <n v="2436"/>
    <n v="0.35555555555555557"/>
  </r>
  <r>
    <s v="ORD-00691"/>
    <d v="2024-05-31T00:00:00"/>
    <s v="CUST-0216"/>
    <x v="4"/>
    <s v="R021"/>
    <n v="10"/>
    <n v="3160"/>
    <n v="13.4"/>
    <n v="27365.599999999999"/>
    <s v="Completed"/>
    <s v="Mumbai"/>
    <s v="Apparel"/>
    <s v="Retail"/>
    <n v="50"/>
    <x v="3"/>
    <n v="1886"/>
    <n v="0.4031645569620253"/>
  </r>
  <r>
    <s v="ORD-00692"/>
    <d v="2024-05-10T00:00:00"/>
    <s v="CUST-0172"/>
    <x v="7"/>
    <s v="R003"/>
    <n v="2"/>
    <n v="1430"/>
    <n v="7.4"/>
    <n v="2648.36"/>
    <s v="Completed"/>
    <s v="Pune"/>
    <s v="Electronics"/>
    <s v="Retail"/>
    <n v="65"/>
    <x v="0"/>
    <n v="861"/>
    <n v="0.39790209790209791"/>
  </r>
  <r>
    <s v="ORD-00693"/>
    <d v="2024-12-14T00:00:00"/>
    <s v="CUST-0152"/>
    <x v="4"/>
    <s v="R006"/>
    <n v="5"/>
    <n v="3160"/>
    <n v="3.6"/>
    <n v="15231.2"/>
    <s v="Pending"/>
    <s v="Bengaluru"/>
    <s v="Apparel"/>
    <s v="SMB"/>
    <n v="64"/>
    <x v="0"/>
    <n v="1886"/>
    <n v="0.4031645569620253"/>
  </r>
  <r>
    <s v="ORD-00694"/>
    <d v="2024-08-17T00:00:00"/>
    <s v="CUST-0154"/>
    <x v="52"/>
    <s v="R004"/>
    <n v="2"/>
    <n v="2290"/>
    <n v="28.2"/>
    <n v="3288.44"/>
    <s v="Completed"/>
    <s v="Pune"/>
    <s v="Beauty"/>
    <s v="Retail"/>
    <n v="36"/>
    <x v="0"/>
    <n v="1219"/>
    <n v="0.46768558951965067"/>
  </r>
  <r>
    <s v="ORD-00695"/>
    <d v="2024-03-15T00:00:00"/>
    <s v="CUST-0001"/>
    <x v="55"/>
    <s v="R015"/>
    <n v="5"/>
    <n v="3450"/>
    <n v="18.100000000000001"/>
    <n v="14127.75"/>
    <s v="Cancelled"/>
    <s v="Pune"/>
    <s v="Apparel"/>
    <s v="Retail"/>
    <n v="36"/>
    <x v="1"/>
    <n v="1748"/>
    <n v="0.49333333333333335"/>
  </r>
  <r>
    <s v="ORD-00696"/>
    <d v="2024-05-27T00:00:00"/>
    <s v="CUST-0069"/>
    <x v="59"/>
    <s v="R001"/>
    <n v="1"/>
    <n v="3560"/>
    <n v="18.7"/>
    <n v="2894.28"/>
    <s v="Completed"/>
    <s v="Chennai"/>
    <s v="Apparel"/>
    <s v="Retail"/>
    <n v="51"/>
    <x v="0"/>
    <n v="2629"/>
    <n v="0.26151685393258428"/>
  </r>
  <r>
    <s v="ORD-00697"/>
    <d v="2024-05-14T00:00:00"/>
    <s v="CUST-0200"/>
    <x v="15"/>
    <s v="R009"/>
    <n v="9"/>
    <n v="2400"/>
    <n v="18.5"/>
    <n v="17604"/>
    <s v="Completed"/>
    <s v="Hyderabad"/>
    <s v="Sports"/>
    <s v="Corporate"/>
    <n v="46"/>
    <x v="1"/>
    <n v="974"/>
    <n v="0.59416666666666662"/>
  </r>
  <r>
    <s v="ORD-00698"/>
    <d v="2024-05-03T00:00:00"/>
    <s v="CUST-0164"/>
    <x v="35"/>
    <s v="R023"/>
    <n v="9"/>
    <n v="3870"/>
    <n v="6.9"/>
    <n v="32426.73"/>
    <s v="Refunded"/>
    <s v="Chennai"/>
    <s v="Electronics"/>
    <s v="Retail"/>
    <n v="60"/>
    <x v="3"/>
    <n v="1559"/>
    <n v="0.59715762273901807"/>
  </r>
  <r>
    <s v="ORD-00699"/>
    <d v="2024-11-24T00:00:00"/>
    <s v="CUST-0004"/>
    <x v="3"/>
    <s v="R022"/>
    <n v="5"/>
    <n v="3660"/>
    <n v="11.7"/>
    <n v="16158.9"/>
    <s v="Completed"/>
    <s v="Delhi"/>
    <s v="Grocery"/>
    <s v="Retail"/>
    <n v="53"/>
    <x v="3"/>
    <n v="2214"/>
    <n v="0.39508196721311473"/>
  </r>
  <r>
    <s v="ORD-00700"/>
    <d v="2024-02-24T00:00:00"/>
    <s v="CUST-0224"/>
    <x v="18"/>
    <s v="R030"/>
    <n v="4"/>
    <n v="1080"/>
    <n v="17.5"/>
    <n v="3564"/>
    <s v="Completed"/>
    <s v="Chennai"/>
    <s v="Home"/>
    <s v="Corporate"/>
    <n v="24"/>
    <x v="2"/>
    <n v="519"/>
    <n v="0.51944444444444449"/>
  </r>
  <r>
    <s v="ORD-01185"/>
    <d v="2024-01-06T00:00:00"/>
    <s v="CUST-0037"/>
    <x v="56"/>
    <s v="R006"/>
    <n v="6"/>
    <n v="3780"/>
    <n v="27.8"/>
    <n v="16374.96"/>
    <s v="Completed"/>
    <s v="Bengaluru"/>
    <s v="Sports"/>
    <s v="Retail"/>
    <n v="52"/>
    <x v="0"/>
    <n v="1860"/>
    <n v="0.50793650793650791"/>
  </r>
  <r>
    <s v="ORD-00702"/>
    <d v="2024-08-17T00:00:00"/>
    <s v="CUST-0179"/>
    <x v="19"/>
    <s v="R022"/>
    <n v="8"/>
    <n v="2480"/>
    <n v="15.7"/>
    <n v="16725.12"/>
    <s v="Pending"/>
    <s v="Mumbai"/>
    <s v="Apparel"/>
    <s v="SMB"/>
    <n v="54"/>
    <x v="3"/>
    <n v="1173"/>
    <n v="0.52701612903225803"/>
  </r>
  <r>
    <s v="ORD-00703"/>
    <d v="2024-04-27T00:00:00"/>
    <s v="CUST-0018"/>
    <x v="23"/>
    <s v="R014"/>
    <n v="10"/>
    <n v="1010"/>
    <n v="0.1"/>
    <n v="10089.9"/>
    <s v="Pending"/>
    <s v="Pune"/>
    <s v="Sports"/>
    <s v="SMB"/>
    <n v="54"/>
    <x v="1"/>
    <n v="516"/>
    <n v="0.4891089108910891"/>
  </r>
  <r>
    <s v="ORD-00704"/>
    <d v="2024-04-24T00:00:00"/>
    <s v="CUST-0184"/>
    <x v="2"/>
    <s v="R015"/>
    <n v="3"/>
    <n v="470"/>
    <n v="1.1000000000000001"/>
    <n v="1394.49"/>
    <s v="Completed"/>
    <s v="Pune"/>
    <s v="Sports"/>
    <s v="Retail"/>
    <n v="63"/>
    <x v="1"/>
    <n v="302"/>
    <n v="0.35744680851063831"/>
  </r>
  <r>
    <s v="ORD-00705"/>
    <d v="2024-07-01T00:00:00"/>
    <s v="CUST-0066"/>
    <x v="10"/>
    <s v="R019"/>
    <n v="4"/>
    <n v="2270"/>
    <n v="17.100000000000001"/>
    <n v="7527.32"/>
    <s v="Completed"/>
    <s v="Delhi"/>
    <s v="Grocery"/>
    <s v="Retail"/>
    <n v="24"/>
    <x v="3"/>
    <n v="1203"/>
    <n v="0.47004405286343615"/>
  </r>
  <r>
    <s v="ORD-00706"/>
    <d v="2024-10-23T00:00:00"/>
    <s v="CUST-0053"/>
    <x v="28"/>
    <s v="R010"/>
    <n v="7"/>
    <n v="2760"/>
    <n v="17.100000000000001"/>
    <n v="16016.28"/>
    <s v="Completed"/>
    <s v="Delhi"/>
    <s v="Grocery"/>
    <s v="Retail"/>
    <n v="53"/>
    <x v="1"/>
    <n v="1435"/>
    <n v="0.48007246376811596"/>
  </r>
  <r>
    <s v="ORD-00707"/>
    <d v="2024-08-26T00:00:00"/>
    <s v="CUST-0278"/>
    <x v="17"/>
    <s v="R008"/>
    <n v="6"/>
    <n v="3450"/>
    <n v="6.6"/>
    <n v="19333.8"/>
    <s v="Refunded"/>
    <s v="Hyderabad"/>
    <s v="Sports"/>
    <s v="Retail"/>
    <n v="41"/>
    <x v="0"/>
    <n v="2467"/>
    <n v="0.28492753623188405"/>
  </r>
  <r>
    <s v="ORD-00708"/>
    <d v="2024-12-04T00:00:00"/>
    <s v="CUST-0285"/>
    <x v="3"/>
    <s v="R007"/>
    <n v="8"/>
    <n v="3660"/>
    <n v="7.2"/>
    <n v="27171.84"/>
    <s v="Completed"/>
    <s v="Hyderabad"/>
    <s v="Grocery"/>
    <s v="Retail"/>
    <n v="22"/>
    <x v="0"/>
    <n v="2214"/>
    <n v="0.39508196721311473"/>
  </r>
  <r>
    <s v="ORD-00709"/>
    <d v="2024-09-16T00:00:00"/>
    <s v="CUST-0060"/>
    <x v="38"/>
    <s v="R030"/>
    <n v="4"/>
    <n v="1220"/>
    <n v="24.3"/>
    <n v="3694.16"/>
    <s v="Cancelled"/>
    <s v="Pune"/>
    <s v="Electronics"/>
    <s v="Retail"/>
    <n v="39"/>
    <x v="2"/>
    <n v="517"/>
    <n v="0.57622950819672136"/>
  </r>
  <r>
    <s v="ORD-00710"/>
    <d v="2024-11-14T00:00:00"/>
    <s v="CUST-0236"/>
    <x v="48"/>
    <s v="R007"/>
    <n v="2"/>
    <n v="5410"/>
    <n v="0.9"/>
    <n v="10722.62"/>
    <s v="Pending"/>
    <s v="Hyderabad"/>
    <s v="Sports"/>
    <s v="SMB"/>
    <n v="28"/>
    <x v="0"/>
    <n v="2265"/>
    <n v="0.58133086876155271"/>
  </r>
  <r>
    <s v="ORD-00711"/>
    <d v="2024-01-31T00:00:00"/>
    <s v="CUST-0106"/>
    <x v="44"/>
    <s v="R009"/>
    <n v="5"/>
    <n v="2030"/>
    <n v="25.2"/>
    <n v="7592.2"/>
    <s v="Completed"/>
    <s v="Pune"/>
    <s v="Home"/>
    <s v="Retail"/>
    <n v="22"/>
    <x v="1"/>
    <n v="1143"/>
    <n v="0.43694581280788175"/>
  </r>
  <r>
    <s v="ORD-00712"/>
    <d v="2024-03-12T00:00:00"/>
    <s v="CUST-0085"/>
    <x v="38"/>
    <s v="R012"/>
    <n v="5"/>
    <n v="1220"/>
    <n v="2.6"/>
    <n v="5941.4"/>
    <s v="Completed"/>
    <s v="Chennai"/>
    <s v="Electronics"/>
    <s v="Retail"/>
    <n v="26"/>
    <x v="1"/>
    <n v="517"/>
    <n v="0.57622950819672136"/>
  </r>
  <r>
    <s v="ORD-00713"/>
    <d v="2024-11-04T00:00:00"/>
    <s v="CUST-0075"/>
    <x v="41"/>
    <s v="R006"/>
    <n v="4"/>
    <n v="2660"/>
    <n v="19.100000000000001"/>
    <n v="8607.76"/>
    <s v="Refunded"/>
    <s v="Mumbai"/>
    <s v="Electronics"/>
    <s v="Corporate"/>
    <n v="55"/>
    <x v="0"/>
    <n v="1259"/>
    <n v="0.52669172932330832"/>
  </r>
  <r>
    <s v="ORD-00714"/>
    <d v="2024-02-29T00:00:00"/>
    <s v="CUST-0169"/>
    <x v="37"/>
    <s v="R016"/>
    <n v="3"/>
    <n v="4070"/>
    <n v="25.2"/>
    <n v="9133.08"/>
    <s v="Completed"/>
    <s v="Bengaluru"/>
    <s v="Grocery"/>
    <s v="SMB"/>
    <n v="42"/>
    <x v="1"/>
    <n v="2027"/>
    <n v="0.50196560196560192"/>
  </r>
  <r>
    <s v="ORD-00715"/>
    <d v="2024-06-18T00:00:00"/>
    <s v="CUST-0166"/>
    <x v="51"/>
    <s v="R014"/>
    <n v="10"/>
    <n v="960"/>
    <n v="0.3"/>
    <n v="9571.2000000000007"/>
    <s v="Completed"/>
    <s v="Hyderabad"/>
    <s v="Beauty"/>
    <s v="Retail"/>
    <n v="31"/>
    <x v="1"/>
    <n v="675"/>
    <n v="0.296875"/>
  </r>
  <r>
    <s v="ORD-00716"/>
    <d v="2024-05-19T00:00:00"/>
    <s v="CUST-0065"/>
    <x v="30"/>
    <s v="R029"/>
    <n v="2"/>
    <n v="3730"/>
    <n v="29.9"/>
    <n v="5229.46"/>
    <s v="Completed"/>
    <s v="Chennai"/>
    <s v="Home"/>
    <s v="Corporate"/>
    <n v="49"/>
    <x v="2"/>
    <n v="2135"/>
    <n v="0.42761394101876676"/>
  </r>
  <r>
    <s v="ORD-00717"/>
    <d v="2024-10-27T00:00:00"/>
    <s v="CUST-0102"/>
    <x v="6"/>
    <s v="R004"/>
    <n v="9"/>
    <n v="960"/>
    <n v="1.9"/>
    <n v="8475.84"/>
    <s v="Completed"/>
    <s v="Chennai"/>
    <s v="Sports"/>
    <s v="SMB"/>
    <n v="62"/>
    <x v="0"/>
    <n v="705"/>
    <n v="0.265625"/>
  </r>
  <r>
    <s v="ORD-00718"/>
    <d v="2024-06-11T00:00:00"/>
    <s v="CUST-0052"/>
    <x v="55"/>
    <s v="R004"/>
    <n v="2"/>
    <n v="3450"/>
    <n v="22.9"/>
    <n v="5319.9"/>
    <s v="Pending"/>
    <s v="Pune"/>
    <s v="Apparel"/>
    <s v="Retail"/>
    <n v="38"/>
    <x v="0"/>
    <n v="1748"/>
    <n v="0.49333333333333335"/>
  </r>
  <r>
    <s v="ORD-00719"/>
    <d v="2024-11-20T00:00:00"/>
    <s v="CUST-0130"/>
    <x v="48"/>
    <s v="R010"/>
    <n v="3"/>
    <n v="5410"/>
    <n v="15.5"/>
    <n v="13714.35"/>
    <s v="Completed"/>
    <s v="Bengaluru"/>
    <s v="Sports"/>
    <s v="Corporate"/>
    <n v="41"/>
    <x v="1"/>
    <n v="2265"/>
    <n v="0.58133086876155271"/>
  </r>
  <r>
    <s v="ORD-00720"/>
    <d v="2024-06-05T00:00:00"/>
    <s v="CUST-0284"/>
    <x v="22"/>
    <s v="R019"/>
    <n v="8"/>
    <n v="3350"/>
    <n v="18.399999999999999"/>
    <n v="21868.799999999999"/>
    <s v="Completed"/>
    <s v="Hyderabad"/>
    <s v="Beauty"/>
    <s v="SMB"/>
    <n v="65"/>
    <x v="3"/>
    <n v="1728"/>
    <n v="0.48417910447761192"/>
  </r>
  <r>
    <s v="ORD-00721"/>
    <d v="2024-11-15T00:00:00"/>
    <s v="CUST-0053"/>
    <x v="20"/>
    <s v="R008"/>
    <n v="5"/>
    <n v="2720"/>
    <n v="17.3"/>
    <n v="11247.2"/>
    <s v="Cancelled"/>
    <s v="Delhi"/>
    <s v="Apparel"/>
    <s v="Retail"/>
    <n v="53"/>
    <x v="0"/>
    <n v="1962"/>
    <n v="0.2786764705882353"/>
  </r>
  <r>
    <s v="ORD-00722"/>
    <d v="2024-04-21T00:00:00"/>
    <s v="CUST-0293"/>
    <x v="3"/>
    <s v="R017"/>
    <n v="8"/>
    <n v="3660"/>
    <n v="28.8"/>
    <n v="20847.36"/>
    <s v="Completed"/>
    <s v="Bengaluru"/>
    <s v="Grocery"/>
    <s v="Retail"/>
    <n v="27"/>
    <x v="3"/>
    <n v="2214"/>
    <n v="0.39508196721311473"/>
  </r>
  <r>
    <s v="ORD-00723"/>
    <d v="2024-08-26T00:00:00"/>
    <s v="CUST-0242"/>
    <x v="42"/>
    <s v="R013"/>
    <n v="6"/>
    <n v="300"/>
    <n v="23.9"/>
    <n v="1369.8"/>
    <s v="Cancelled"/>
    <s v="Chennai"/>
    <s v="Electronics"/>
    <s v="SMB"/>
    <n v="59"/>
    <x v="1"/>
    <n v="128"/>
    <n v="0.57333333333333336"/>
  </r>
  <r>
    <s v="ORD-00724"/>
    <d v="2024-09-13T00:00:00"/>
    <s v="CUST-0226"/>
    <x v="52"/>
    <s v="R026"/>
    <n v="3"/>
    <n v="2290"/>
    <n v="2.4"/>
    <n v="6705.12"/>
    <s v="Completed"/>
    <s v="Chennai"/>
    <s v="Beauty"/>
    <s v="Corporate"/>
    <n v="52"/>
    <x v="2"/>
    <n v="1219"/>
    <n v="0.46768558951965067"/>
  </r>
  <r>
    <s v="ORD-00725"/>
    <d v="2024-04-21T00:00:00"/>
    <s v="CUST-0005"/>
    <x v="24"/>
    <s v="R014"/>
    <n v="6"/>
    <n v="4880"/>
    <n v="11.1"/>
    <n v="26029.919999999998"/>
    <s v="Pending"/>
    <s v="Chennai"/>
    <s v="Beauty"/>
    <s v="Corporate"/>
    <n v="52"/>
    <x v="1"/>
    <n v="2768"/>
    <n v="0.43278688524590164"/>
  </r>
  <r>
    <s v="ORD-00726"/>
    <d v="2024-09-27T00:00:00"/>
    <s v="CUST-0211"/>
    <x v="42"/>
    <s v="R007"/>
    <n v="5"/>
    <n v="300"/>
    <n v="19.399999999999999"/>
    <n v="1209"/>
    <s v="Completed"/>
    <s v="Bengaluru"/>
    <s v="Electronics"/>
    <s v="Retail"/>
    <n v="36"/>
    <x v="0"/>
    <n v="128"/>
    <n v="0.57333333333333336"/>
  </r>
  <r>
    <s v="ORD-00727"/>
    <d v="2024-12-09T00:00:00"/>
    <s v="CUST-0229"/>
    <x v="41"/>
    <s v="R030"/>
    <n v="3"/>
    <n v="2660"/>
    <n v="28.5"/>
    <n v="5705.7"/>
    <s v="Pending"/>
    <s v="Hyderabad"/>
    <s v="Electronics"/>
    <s v="SMB"/>
    <n v="25"/>
    <x v="2"/>
    <n v="1259"/>
    <n v="0.52669172932330832"/>
  </r>
  <r>
    <s v="ORD-00728"/>
    <d v="2024-05-22T00:00:00"/>
    <s v="CUST-0037"/>
    <x v="57"/>
    <s v="R024"/>
    <n v="7"/>
    <n v="1090"/>
    <n v="10.3"/>
    <n v="6844.11"/>
    <s v="Completed"/>
    <s v="Bengaluru"/>
    <s v="Home"/>
    <s v="Retail"/>
    <n v="52"/>
    <x v="2"/>
    <n v="464"/>
    <n v="0.57431192660550456"/>
  </r>
  <r>
    <s v="ORD-00729"/>
    <d v="2024-02-28T00:00:00"/>
    <s v="CUST-0059"/>
    <x v="7"/>
    <s v="R012"/>
    <n v="9"/>
    <n v="1430"/>
    <n v="12.1"/>
    <n v="11312.73"/>
    <s v="Cancelled"/>
    <s v="Pune"/>
    <s v="Electronics"/>
    <s v="Corporate"/>
    <n v="29"/>
    <x v="1"/>
    <n v="861"/>
    <n v="0.39790209790209791"/>
  </r>
  <r>
    <s v="ORD-00730"/>
    <d v="2024-02-22T00:00:00"/>
    <s v="CUST-0222"/>
    <x v="11"/>
    <s v="R005"/>
    <n v="5"/>
    <n v="2640"/>
    <n v="26.8"/>
    <n v="9662.4"/>
    <s v="Completed"/>
    <s v="Chennai"/>
    <s v="Electronics"/>
    <s v="Retail"/>
    <n v="37"/>
    <x v="0"/>
    <n v="1149"/>
    <n v="0.56477272727272732"/>
  </r>
  <r>
    <s v="ORD-00731"/>
    <d v="2024-07-25T00:00:00"/>
    <s v="CUST-0157"/>
    <x v="20"/>
    <s v="R001"/>
    <n v="8"/>
    <n v="2720"/>
    <n v="17.5"/>
    <n v="17952"/>
    <s v="Completed"/>
    <s v="Pune"/>
    <s v="Apparel"/>
    <s v="Corporate"/>
    <n v="52"/>
    <x v="0"/>
    <n v="1962"/>
    <n v="0.2786764705882353"/>
  </r>
  <r>
    <s v="ORD-00732"/>
    <d v="2024-08-16T00:00:00"/>
    <s v="CUST-0027"/>
    <x v="32"/>
    <s v="R016"/>
    <n v="9"/>
    <n v="3640"/>
    <n v="3.6"/>
    <n v="31580.639999999999"/>
    <s v="Completed"/>
    <s v="Hyderabad"/>
    <s v="Apparel"/>
    <s v="Corporate"/>
    <n v="52"/>
    <x v="1"/>
    <n v="2611"/>
    <n v="0.28269230769230769"/>
  </r>
  <r>
    <s v="ORD-00733"/>
    <d v="2024-09-19T00:00:00"/>
    <s v="CUST-9846"/>
    <x v="33"/>
    <s v="R021"/>
    <n v="7"/>
    <n v="6080"/>
    <n v="23.6"/>
    <n v="32515.84"/>
    <s v="Completed"/>
    <s v="Mumbai"/>
    <s v="Beauty"/>
    <s v=""/>
    <s v=""/>
    <x v="3"/>
    <n v="2617"/>
    <n v="0.56957236842105263"/>
  </r>
  <r>
    <s v="ORD-00734"/>
    <d v="2024-10-19T00:00:00"/>
    <s v="CUST-0011"/>
    <x v="49"/>
    <s v="R015"/>
    <n v="7"/>
    <n v="5330"/>
    <n v="19.7"/>
    <n v="29959.93"/>
    <s v="Cancelled"/>
    <s v="Chennai"/>
    <s v="Electronics"/>
    <s v="Corporate"/>
    <n v="41"/>
    <x v="1"/>
    <n v="2405"/>
    <n v="0.54878048780487809"/>
  </r>
  <r>
    <s v="ORD-00735"/>
    <d v="2024-10-28T00:00:00"/>
    <s v="CUST-0043"/>
    <x v="39"/>
    <s v="R024"/>
    <n v="5"/>
    <n v="4610"/>
    <n v="3.6"/>
    <n v="22220.2"/>
    <s v="Completed"/>
    <s v="Hyderabad"/>
    <s v="Home"/>
    <s v="Retail"/>
    <n v="61"/>
    <x v="2"/>
    <n v="1850"/>
    <n v="0.59869848156182215"/>
  </r>
  <r>
    <s v="ORD-00736"/>
    <d v="2024-01-11T00:00:00"/>
    <s v="CUST-0154"/>
    <x v="49"/>
    <s v="R030"/>
    <n v="9"/>
    <n v="5330"/>
    <n v="22.9"/>
    <n v="36984.870000000003"/>
    <s v="Completed"/>
    <s v="Pune"/>
    <s v="Electronics"/>
    <s v="Retail"/>
    <n v="36"/>
    <x v="2"/>
    <n v="2405"/>
    <n v="0.54878048780487809"/>
  </r>
  <r>
    <s v="ORD-00737"/>
    <d v="2024-05-28T00:00:00"/>
    <s v="CUST-0163"/>
    <x v="33"/>
    <s v="R018"/>
    <n v="5"/>
    <n v="6080"/>
    <n v="6"/>
    <n v="28576"/>
    <s v="Refunded"/>
    <s v="Pune"/>
    <s v="Beauty"/>
    <s v="Retail"/>
    <n v="49"/>
    <x v="3"/>
    <n v="2617"/>
    <n v="0.56957236842105263"/>
  </r>
  <r>
    <s v="ORD-00738"/>
    <d v="2024-01-08T00:00:00"/>
    <s v="CUST-0299"/>
    <x v="32"/>
    <s v="R017"/>
    <n v="7"/>
    <n v="3640"/>
    <n v="5.5"/>
    <n v="24078.6"/>
    <s v="Completed"/>
    <s v="Mumbai"/>
    <s v="Apparel"/>
    <s v="Corporate"/>
    <n v="51"/>
    <x v="3"/>
    <n v="2611"/>
    <n v="0.28269230769230769"/>
  </r>
  <r>
    <s v="ORD-00739"/>
    <d v="2024-02-14T00:00:00"/>
    <s v="CUST-0240"/>
    <x v="41"/>
    <s v="R013"/>
    <n v="1"/>
    <n v="2660"/>
    <n v="6.1"/>
    <n v="2497.7399999999998"/>
    <s v="Cancelled"/>
    <s v="Chennai"/>
    <s v="Electronics"/>
    <s v="Corporate"/>
    <n v="35"/>
    <x v="1"/>
    <n v="1259"/>
    <n v="0.52669172932330832"/>
  </r>
  <r>
    <s v="ORD-00740"/>
    <d v="2024-01-09T00:00:00"/>
    <s v="CUST-0291"/>
    <x v="22"/>
    <s v="R015"/>
    <n v="8"/>
    <n v="3350"/>
    <n v="19.5"/>
    <n v="21574"/>
    <s v="Completed"/>
    <s v="Pune"/>
    <s v="Beauty"/>
    <s v="SMB"/>
    <n v="29"/>
    <x v="1"/>
    <n v="1728"/>
    <n v="0.48417910447761192"/>
  </r>
  <r>
    <s v="ORD-00741"/>
    <d v="2024-12-22T00:00:00"/>
    <s v="CUST-0243"/>
    <x v="39"/>
    <s v="R019"/>
    <n v="4"/>
    <n v="4610"/>
    <n v="24"/>
    <n v="14014.4"/>
    <s v="Completed"/>
    <s v="Pune"/>
    <s v="Home"/>
    <s v="SMB"/>
    <n v="44"/>
    <x v="3"/>
    <n v="1850"/>
    <n v="0.59869848156182215"/>
  </r>
  <r>
    <s v="ORD-00742"/>
    <d v="2024-01-02T00:00:00"/>
    <s v="CUST-0073"/>
    <x v="27"/>
    <s v="R014"/>
    <n v="7"/>
    <n v="2860"/>
    <n v="23.2"/>
    <n v="15375.36"/>
    <s v="Completed"/>
    <s v="Pune"/>
    <s v="Sports"/>
    <s v="Corporate"/>
    <n v="40"/>
    <x v="1"/>
    <n v="2028"/>
    <n v="0.29090909090909089"/>
  </r>
  <r>
    <s v="ORD-00743"/>
    <d v="2024-12-18T00:00:00"/>
    <s v="CUST-0154"/>
    <x v="22"/>
    <s v="R013"/>
    <n v="7"/>
    <n v="3350"/>
    <n v="10.6"/>
    <n v="20964.3"/>
    <s v="Pending"/>
    <s v="Pune"/>
    <s v="Beauty"/>
    <s v="Retail"/>
    <n v="36"/>
    <x v="1"/>
    <n v="1728"/>
    <n v="0.48417910447761192"/>
  </r>
  <r>
    <s v="ORD-00744"/>
    <d v="2024-10-24T00:00:00"/>
    <s v="CUST-0084"/>
    <x v="45"/>
    <s v="R028"/>
    <n v="5"/>
    <n v="2210"/>
    <n v="12.1"/>
    <n v="9712.9500000000007"/>
    <s v="Completed"/>
    <s v="Chennai"/>
    <s v="Grocery"/>
    <s v="Retail"/>
    <n v="28"/>
    <x v="2"/>
    <n v="1010"/>
    <n v="0.54298642533936647"/>
  </r>
  <r>
    <s v="ORD-00745"/>
    <d v="2024-02-07T00:00:00"/>
    <s v="CUST-0228"/>
    <x v="16"/>
    <s v="R013"/>
    <n v="1"/>
    <n v="3450"/>
    <n v="19.100000000000001"/>
    <n v="2791.05"/>
    <s v="Pending"/>
    <s v="Pune"/>
    <s v="Beauty"/>
    <s v="Corporate"/>
    <n v="37"/>
    <x v="1"/>
    <n v="2420"/>
    <n v="0.29855072463768118"/>
  </r>
  <r>
    <s v="ORD-00746"/>
    <d v="2024-10-22T00:00:00"/>
    <s v="CUST-0232"/>
    <x v="26"/>
    <s v="R028"/>
    <n v="5"/>
    <n v="5100"/>
    <n v="2.8"/>
    <n v="24786"/>
    <s v="Completed"/>
    <s v="Hyderabad"/>
    <s v="Beauty"/>
    <s v="Retail"/>
    <n v="38"/>
    <x v="2"/>
    <n v="2237"/>
    <n v="0.56137254901960787"/>
  </r>
  <r>
    <s v="ORD-00747"/>
    <d v="2024-05-11T00:00:00"/>
    <s v="CUST-0129"/>
    <x v="26"/>
    <s v="R003"/>
    <n v="9"/>
    <n v="5100"/>
    <n v="24.4"/>
    <n v="34700.400000000001"/>
    <s v="Completed"/>
    <s v="Hyderabad"/>
    <s v="Beauty"/>
    <s v="Retail"/>
    <n v="29"/>
    <x v="0"/>
    <n v="2237"/>
    <n v="0.56137254901960787"/>
  </r>
  <r>
    <s v="ORD-00748"/>
    <d v="2024-10-03T00:00:00"/>
    <s v="CUST-0189"/>
    <x v="29"/>
    <s v="R006"/>
    <n v="9"/>
    <n v="660"/>
    <n v="19.8"/>
    <n v="4763.88"/>
    <s v="Completed"/>
    <s v="Chennai"/>
    <s v="Home"/>
    <s v="Retail"/>
    <n v="41"/>
    <x v="0"/>
    <n v="329"/>
    <n v="0.50151515151515147"/>
  </r>
  <r>
    <s v="ORD-00749"/>
    <d v="2024-09-14T00:00:00"/>
    <s v="CUST-0122"/>
    <x v="37"/>
    <s v="R006"/>
    <n v="3"/>
    <n v="4070"/>
    <n v="27.1"/>
    <n v="8901.09"/>
    <s v="Completed"/>
    <s v="Mumbai"/>
    <s v="Grocery"/>
    <s v="Retail"/>
    <n v="44"/>
    <x v="0"/>
    <n v="2027"/>
    <n v="0.50196560196560192"/>
  </r>
  <r>
    <s v="ORD-00750"/>
    <d v="2024-07-31T00:00:00"/>
    <s v="CUST-0170"/>
    <x v="47"/>
    <s v="R007"/>
    <n v="2"/>
    <n v="2510"/>
    <n v="29.1"/>
    <n v="3559.18"/>
    <s v="Completed"/>
    <s v="Mumbai"/>
    <s v="Apparel"/>
    <s v="SMB"/>
    <n v="22"/>
    <x v="0"/>
    <n v="1075"/>
    <n v="0.57171314741035861"/>
  </r>
  <r>
    <s v="ORD-00751"/>
    <d v="2024-06-06T00:00:00"/>
    <s v="CUST-0291"/>
    <x v="13"/>
    <s v="R030"/>
    <n v="4"/>
    <n v="3250"/>
    <n v="21.1"/>
    <n v="10257"/>
    <s v="Completed"/>
    <s v="Pune"/>
    <s v="Home"/>
    <s v="SMB"/>
    <n v="29"/>
    <x v="2"/>
    <n v="1556"/>
    <n v="0.52123076923076928"/>
  </r>
  <r>
    <s v="ORD-00752"/>
    <d v="2024-11-04T00:00:00"/>
    <s v="CUST-0090"/>
    <x v="5"/>
    <s v="R005"/>
    <n v="3"/>
    <n v="370"/>
    <n v="7.7"/>
    <n v="1024.53"/>
    <s v="Completed"/>
    <s v="Bengaluru"/>
    <s v="Home"/>
    <s v="Corporate"/>
    <n v="26"/>
    <x v="0"/>
    <n v="288"/>
    <n v="0.22162162162162163"/>
  </r>
  <r>
    <s v="ORD-00753"/>
    <d v="2024-07-06T00:00:00"/>
    <s v="CUST-0205"/>
    <x v="1"/>
    <s v="R006"/>
    <n v="10"/>
    <n v="820"/>
    <n v="3.5"/>
    <n v="7913"/>
    <s v="Completed"/>
    <s v="Pune"/>
    <s v="Apparel"/>
    <s v="Corporate"/>
    <n v="29"/>
    <x v="0"/>
    <n v="391"/>
    <n v="0.52317073170731709"/>
  </r>
  <r>
    <s v="ORD-00754"/>
    <d v="2024-08-27T00:00:00"/>
    <s v="CUST-0192"/>
    <x v="37"/>
    <s v="R029"/>
    <n v="4"/>
    <n v="4070"/>
    <n v="23.8"/>
    <n v="12405.36"/>
    <s v="Completed"/>
    <s v="Bengaluru"/>
    <s v="Grocery"/>
    <s v="Retail"/>
    <n v="55"/>
    <x v="2"/>
    <n v="2027"/>
    <n v="0.50196560196560192"/>
  </r>
  <r>
    <s v="ORD-00755"/>
    <d v="2024-03-05T00:00:00"/>
    <s v="CUST-0270"/>
    <x v="50"/>
    <s v="R011"/>
    <n v="1"/>
    <n v="2380"/>
    <n v="19.600000000000001"/>
    <n v="1913.52"/>
    <s v="Cancelled"/>
    <s v="Bengaluru"/>
    <s v="Grocery"/>
    <s v="Retail"/>
    <n v="29"/>
    <x v="1"/>
    <n v="1182"/>
    <n v="0.50336134453781511"/>
  </r>
  <r>
    <s v="ORD-00756"/>
    <d v="2024-09-18T00:00:00"/>
    <s v="CUST-0266"/>
    <x v="8"/>
    <s v="R030"/>
    <n v="3"/>
    <n v="5490"/>
    <n v="2.5"/>
    <n v="16058.25"/>
    <s v="Completed"/>
    <s v="Pune"/>
    <s v="Home"/>
    <s v="Retail"/>
    <n v="65"/>
    <x v="2"/>
    <n v="2549"/>
    <n v="0.53570127504553733"/>
  </r>
  <r>
    <s v="ORD-00757"/>
    <d v="2024-07-19T00:00:00"/>
    <s v="CUST-0208"/>
    <x v="32"/>
    <s v="R027"/>
    <n v="3"/>
    <n v="3640"/>
    <n v="23.3"/>
    <n v="8375.64"/>
    <s v="Completed"/>
    <s v="Mumbai"/>
    <s v="Apparel"/>
    <s v="Retail"/>
    <n v="49"/>
    <x v="2"/>
    <n v="2611"/>
    <n v="0.28269230769230769"/>
  </r>
  <r>
    <s v="ORD-00758"/>
    <d v="2024-04-06T00:00:00"/>
    <s v="CUST-0224"/>
    <x v="39"/>
    <s v="R018"/>
    <n v="2"/>
    <n v="4610"/>
    <n v="5"/>
    <n v="8759"/>
    <s v="Pending"/>
    <s v="Chennai"/>
    <s v="Home"/>
    <s v="Corporate"/>
    <n v="24"/>
    <x v="3"/>
    <n v="1850"/>
    <n v="0.59869848156182215"/>
  </r>
  <r>
    <s v="ORD-00759"/>
    <d v="2024-03-18T00:00:00"/>
    <s v="CUST-0264"/>
    <x v="15"/>
    <s v="R001"/>
    <n v="8"/>
    <n v="2400"/>
    <n v="10"/>
    <n v="17280"/>
    <s v="Pending"/>
    <s v="Pune"/>
    <s v="Sports"/>
    <s v="Retail"/>
    <n v="59"/>
    <x v="0"/>
    <n v="974"/>
    <n v="0.59416666666666662"/>
  </r>
  <r>
    <s v="ORD-00760"/>
    <d v="2024-11-01T00:00:00"/>
    <s v="CUST-0113"/>
    <x v="22"/>
    <s v="R002"/>
    <n v="7"/>
    <n v="3350"/>
    <n v="23.7"/>
    <n v="17892.349999999999"/>
    <s v="Completed"/>
    <s v="Delhi"/>
    <s v="Beauty"/>
    <s v="Retail"/>
    <n v="30"/>
    <x v="0"/>
    <n v="1728"/>
    <n v="0.48417910447761192"/>
  </r>
  <r>
    <s v="ORD-00761"/>
    <d v="2024-11-15T00:00:00"/>
    <s v="CUST-0160"/>
    <x v="32"/>
    <s v="R012"/>
    <n v="4"/>
    <n v="3640"/>
    <n v="9.3000000000000007"/>
    <n v="13205.92"/>
    <s v="Cancelled"/>
    <s v="Hyderabad"/>
    <s v="Apparel"/>
    <s v="Retail"/>
    <n v="27"/>
    <x v="1"/>
    <n v="2611"/>
    <n v="0.28269230769230769"/>
  </r>
  <r>
    <s v="ORD-00762"/>
    <d v="2024-10-14T00:00:00"/>
    <s v="CUST-0109"/>
    <x v="32"/>
    <s v="R028"/>
    <n v="9"/>
    <n v="3640"/>
    <n v="13.1"/>
    <n v="28468.44"/>
    <s v="Pending"/>
    <s v="Pune"/>
    <s v="Apparel"/>
    <s v="Retail"/>
    <n v="42"/>
    <x v="2"/>
    <n v="2611"/>
    <n v="0.28269230769230769"/>
  </r>
  <r>
    <s v="ORD-00763"/>
    <d v="2024-12-08T00:00:00"/>
    <s v="CUST-0107"/>
    <x v="44"/>
    <s v="R014"/>
    <n v="2"/>
    <n v="2030"/>
    <n v="12.2"/>
    <n v="3564.68"/>
    <s v="Completed"/>
    <s v="Pune"/>
    <s v="Home"/>
    <s v="Retail"/>
    <n v="50"/>
    <x v="1"/>
    <n v="1143"/>
    <n v="0.43694581280788175"/>
  </r>
  <r>
    <s v="ORD-00764"/>
    <d v="2024-06-28T00:00:00"/>
    <s v="CUST-0120"/>
    <x v="4"/>
    <s v="R002"/>
    <n v="4"/>
    <n v="3160"/>
    <n v="7.5"/>
    <n v="11692"/>
    <s v="Completed"/>
    <s v="Mumbai"/>
    <s v="Apparel"/>
    <s v="Retail"/>
    <n v="29"/>
    <x v="0"/>
    <n v="1886"/>
    <n v="0.4031645569620253"/>
  </r>
  <r>
    <s v="ORD-00765"/>
    <d v="2024-02-05T00:00:00"/>
    <s v="CUST-0225"/>
    <x v="37"/>
    <s v="R029"/>
    <n v="10"/>
    <n v="4070"/>
    <n v="8.3000000000000007"/>
    <n v="37321.9"/>
    <s v="Completed"/>
    <s v="Chennai"/>
    <s v="Grocery"/>
    <s v="SMB"/>
    <n v="26"/>
    <x v="2"/>
    <n v="2027"/>
    <n v="0.50196560196560192"/>
  </r>
  <r>
    <s v="ORD-00766"/>
    <d v="2024-02-21T00:00:00"/>
    <s v="CUST-0134"/>
    <x v="46"/>
    <s v="R024"/>
    <n v="8"/>
    <n v="4060"/>
    <n v="8.5"/>
    <n v="29719.200000000001"/>
    <s v="Completed"/>
    <s v="Delhi"/>
    <s v="Grocery"/>
    <s v="Retail"/>
    <n v="40"/>
    <x v="2"/>
    <n v="2911"/>
    <n v="0.28300492610837441"/>
  </r>
  <r>
    <s v="ORD-00767"/>
    <d v="2024-02-12T00:00:00"/>
    <s v="CUST-0279"/>
    <x v="6"/>
    <s v="R018"/>
    <n v="8"/>
    <n v="960"/>
    <n v="8.6999999999999993"/>
    <n v="7011.84"/>
    <s v="Completed"/>
    <s v="Mumbai"/>
    <s v="Sports"/>
    <s v="Retail"/>
    <n v="56"/>
    <x v="3"/>
    <n v="705"/>
    <n v="0.265625"/>
  </r>
  <r>
    <s v="ORD-00768"/>
    <d v="2024-01-15T00:00:00"/>
    <s v="CUST-0247"/>
    <x v="34"/>
    <s v="R027"/>
    <n v="2"/>
    <n v="2270"/>
    <n v="10.199999999999999"/>
    <n v="4076.92"/>
    <s v="Completed"/>
    <s v="Pune"/>
    <s v="Grocery"/>
    <s v="SMB"/>
    <n v="35"/>
    <x v="2"/>
    <n v="1412"/>
    <n v="0.37797356828193834"/>
  </r>
  <r>
    <s v="ORD-00769"/>
    <d v="2024-01-05T00:00:00"/>
    <s v="CUST-0129"/>
    <x v="31"/>
    <s v="R007"/>
    <n v="1"/>
    <n v="3780"/>
    <n v="15.3"/>
    <n v="3201.66"/>
    <s v="Cancelled"/>
    <s v="Hyderabad"/>
    <s v="Grocery"/>
    <s v="Retail"/>
    <n v="29"/>
    <x v="0"/>
    <n v="2436"/>
    <n v="0.35555555555555557"/>
  </r>
  <r>
    <s v="ORD-00770"/>
    <d v="2024-07-16T00:00:00"/>
    <s v="CUST-0038"/>
    <x v="52"/>
    <s v="R028"/>
    <n v="10"/>
    <n v="2290"/>
    <n v="2.4"/>
    <n v="22350.400000000001"/>
    <s v="Pending"/>
    <s v="Mumbai"/>
    <s v="Beauty"/>
    <s v="Retail"/>
    <n v="57"/>
    <x v="2"/>
    <n v="1219"/>
    <n v="0.46768558951965067"/>
  </r>
  <r>
    <s v="ORD-00771"/>
    <d v="2024-05-04T00:00:00"/>
    <s v="CUST-0109"/>
    <x v="22"/>
    <s v="R017"/>
    <n v="5"/>
    <n v="3350"/>
    <n v="18.5"/>
    <n v="13651.25"/>
    <s v="Cancelled"/>
    <s v="Pune"/>
    <s v="Beauty"/>
    <s v="Retail"/>
    <n v="42"/>
    <x v="3"/>
    <n v="1728"/>
    <n v="0.48417910447761192"/>
  </r>
  <r>
    <s v="ORD-00772"/>
    <d v="2024-02-25T00:00:00"/>
    <s v="CUST-0051"/>
    <x v="47"/>
    <s v="R021"/>
    <n v="7"/>
    <n v="2510"/>
    <n v="4.2"/>
    <n v="16832.060000000001"/>
    <s v="Cancelled"/>
    <s v="Pune"/>
    <s v="Apparel"/>
    <s v="SMB"/>
    <n v="54"/>
    <x v="3"/>
    <n v="1075"/>
    <n v="0.57171314741035861"/>
  </r>
  <r>
    <s v="ORD-00773"/>
    <d v="2024-12-26T00:00:00"/>
    <s v="CUST-0265"/>
    <x v="12"/>
    <s v="R018"/>
    <n v="1"/>
    <n v="2600"/>
    <n v="2.2000000000000002"/>
    <n v="2542.8000000000002"/>
    <s v="Completed"/>
    <s v="Chennai"/>
    <s v="Electronics"/>
    <s v="Retail"/>
    <n v="49"/>
    <x v="3"/>
    <n v="1052"/>
    <n v="0.5953846153846154"/>
  </r>
  <r>
    <s v="ORD-00774"/>
    <d v="2024-06-24T00:00:00"/>
    <s v="CUST-0192"/>
    <x v="2"/>
    <s v="R003"/>
    <n v="8"/>
    <n v="470"/>
    <n v="25.2"/>
    <n v="2812.48"/>
    <s v="Completed"/>
    <s v="Bengaluru"/>
    <s v="Sports"/>
    <s v="Retail"/>
    <n v="55"/>
    <x v="0"/>
    <n v="302"/>
    <n v="0.35744680851063831"/>
  </r>
  <r>
    <s v="ORD-00775"/>
    <d v="2024-09-23T00:00:00"/>
    <s v="CUST-0241"/>
    <x v="18"/>
    <s v="R012"/>
    <n v="6"/>
    <n v="1080"/>
    <n v="25"/>
    <n v="4860"/>
    <s v="Completed"/>
    <s v="Pune"/>
    <s v="Home"/>
    <s v="Corporate"/>
    <n v="47"/>
    <x v="1"/>
    <n v="519"/>
    <n v="0.51944444444444449"/>
  </r>
  <r>
    <s v="ORD-00776"/>
    <d v="2024-12-19T00:00:00"/>
    <s v="CUST-0243"/>
    <x v="23"/>
    <s v="R019"/>
    <n v="2"/>
    <n v="1010"/>
    <n v="16.100000000000001"/>
    <n v="1694.78"/>
    <s v="Completed"/>
    <s v="Pune"/>
    <s v="Sports"/>
    <s v="SMB"/>
    <n v="44"/>
    <x v="3"/>
    <n v="516"/>
    <n v="0.4891089108910891"/>
  </r>
  <r>
    <s v="ORD-00777"/>
    <d v="2024-05-06T00:00:00"/>
    <s v="CUST-0016"/>
    <x v="35"/>
    <s v="R002"/>
    <n v="6"/>
    <n v="3870"/>
    <n v="22.4"/>
    <n v="18018.72"/>
    <s v="Cancelled"/>
    <s v="Delhi"/>
    <s v="Electronics"/>
    <s v="SMB"/>
    <n v="26"/>
    <x v="0"/>
    <n v="1559"/>
    <n v="0.59715762273901807"/>
  </r>
  <r>
    <s v="ORD-00778"/>
    <d v="2024-12-29T00:00:00"/>
    <s v="CUST-0249"/>
    <x v="44"/>
    <s v="R027"/>
    <n v="3"/>
    <n v="2030"/>
    <n v="18.5"/>
    <n v="4963.3500000000004"/>
    <s v="Completed"/>
    <s v="Mumbai"/>
    <s v="Home"/>
    <s v="Retail"/>
    <n v="44"/>
    <x v="2"/>
    <n v="1143"/>
    <n v="0.43694581280788175"/>
  </r>
  <r>
    <s v="ORD-00779"/>
    <d v="2024-09-05T00:00:00"/>
    <s v="CUST-0021"/>
    <x v="18"/>
    <s v="R027"/>
    <n v="7"/>
    <n v="1080"/>
    <n v="6.8"/>
    <n v="7045.92"/>
    <s v="Pending"/>
    <s v="Pune"/>
    <s v="Home"/>
    <s v="Retail"/>
    <n v="44"/>
    <x v="2"/>
    <n v="519"/>
    <n v="0.51944444444444449"/>
  </r>
  <r>
    <s v="ORD-00780"/>
    <d v="2024-11-13T00:00:00"/>
    <s v="CUST-0255"/>
    <x v="57"/>
    <s v="R009"/>
    <n v="1"/>
    <n v="1090"/>
    <n v="20.6"/>
    <n v="865.46"/>
    <s v="Completed"/>
    <s v="Chennai"/>
    <s v="Home"/>
    <s v="Corporate"/>
    <n v="51"/>
    <x v="1"/>
    <n v="464"/>
    <n v="0.57431192660550456"/>
  </r>
  <r>
    <s v="ORD-00781"/>
    <d v="2024-08-24T00:00:00"/>
    <s v="CUST-0084"/>
    <x v="5"/>
    <s v="R011"/>
    <n v="8"/>
    <n v="370"/>
    <n v="1.7"/>
    <n v="2909.68"/>
    <s v="Completed"/>
    <s v="Chennai"/>
    <s v="Home"/>
    <s v="Retail"/>
    <n v="28"/>
    <x v="1"/>
    <n v="288"/>
    <n v="0.22162162162162163"/>
  </r>
  <r>
    <s v="ORD-00782"/>
    <d v="2024-11-29T00:00:00"/>
    <s v="CUST-0289"/>
    <x v="59"/>
    <s v="R018"/>
    <n v="7"/>
    <n v="3560"/>
    <n v="28.7"/>
    <n v="17767.96"/>
    <s v="Completed"/>
    <s v="Mumbai"/>
    <s v="Apparel"/>
    <s v="Retail"/>
    <n v="54"/>
    <x v="3"/>
    <n v="2629"/>
    <n v="0.26151685393258428"/>
  </r>
  <r>
    <s v="ORD-00783"/>
    <d v="2024-06-01T00:00:00"/>
    <s v="CUST-0026"/>
    <x v="33"/>
    <s v="R016"/>
    <n v="9"/>
    <n v="6080"/>
    <n v="16.3"/>
    <n v="45800.639999999999"/>
    <s v="Cancelled"/>
    <s v="Pune"/>
    <s v="Beauty"/>
    <s v="Retail"/>
    <n v="62"/>
    <x v="1"/>
    <n v="2617"/>
    <n v="0.56957236842105263"/>
  </r>
  <r>
    <s v="ORD-00784"/>
    <d v="2024-08-01T00:00:00"/>
    <s v="CUST-0273"/>
    <x v="17"/>
    <s v="R015"/>
    <n v="2"/>
    <n v="3450"/>
    <n v="17.600000000000001"/>
    <n v="5685.6"/>
    <s v="Pending"/>
    <s v="Hyderabad"/>
    <s v="Sports"/>
    <s v="Corporate"/>
    <n v="32"/>
    <x v="1"/>
    <n v="2467"/>
    <n v="0.28492753623188405"/>
  </r>
  <r>
    <s v="ORD-00785"/>
    <d v="2024-04-19T00:00:00"/>
    <s v="CUST-0069"/>
    <x v="54"/>
    <s v="R009"/>
    <n v="1"/>
    <n v="5080"/>
    <n v="5.9"/>
    <n v="4780.28"/>
    <s v="Completed"/>
    <s v="Chennai"/>
    <s v="Home"/>
    <s v="Retail"/>
    <n v="51"/>
    <x v="1"/>
    <n v="2459"/>
    <n v="0.51594488188976373"/>
  </r>
  <r>
    <s v="ORD-00786"/>
    <d v="2024-03-13T00:00:00"/>
    <s v="CUST-0236"/>
    <x v="55"/>
    <s v="R023"/>
    <n v="7"/>
    <n v="3450"/>
    <n v="17.399999999999999"/>
    <n v="19947.900000000001"/>
    <s v="Completed"/>
    <s v="Hyderabad"/>
    <s v="Apparel"/>
    <s v="SMB"/>
    <n v="28"/>
    <x v="3"/>
    <n v="1748"/>
    <n v="0.49333333333333335"/>
  </r>
  <r>
    <s v="ORD-00787"/>
    <d v="2024-04-21T00:00:00"/>
    <s v="CUST-0060"/>
    <x v="10"/>
    <s v="R009"/>
    <n v="8"/>
    <n v="2270"/>
    <n v="24.7"/>
    <n v="13674.48"/>
    <s v="Completed"/>
    <s v="Pune"/>
    <s v="Grocery"/>
    <s v="Retail"/>
    <n v="39"/>
    <x v="1"/>
    <n v="1203"/>
    <n v="0.47004405286343615"/>
  </r>
  <r>
    <s v="ORD-00788"/>
    <d v="2024-11-03T00:00:00"/>
    <s v="CUST-0243"/>
    <x v="4"/>
    <s v="R023"/>
    <n v="3"/>
    <n v="3160"/>
    <n v="1.5"/>
    <n v="9337.7999999999993"/>
    <s v="Pending"/>
    <s v="Pune"/>
    <s v="Apparel"/>
    <s v="SMB"/>
    <n v="44"/>
    <x v="3"/>
    <n v="1886"/>
    <n v="0.4031645569620253"/>
  </r>
  <r>
    <s v="ORD-00789"/>
    <d v="2024-04-07T00:00:00"/>
    <s v="CUST-0188"/>
    <x v="22"/>
    <s v="R029"/>
    <n v="6"/>
    <n v="3350"/>
    <n v="0.9"/>
    <n v="19919.099999999999"/>
    <s v="Pending"/>
    <s v="Bengaluru"/>
    <s v="Beauty"/>
    <s v="Retail"/>
    <n v="54"/>
    <x v="2"/>
    <n v="1728"/>
    <n v="0.48417910447761192"/>
  </r>
  <r>
    <s v="ORD-00790"/>
    <d v="2024-08-02T00:00:00"/>
    <s v="CUST-0174"/>
    <x v="21"/>
    <s v="R029"/>
    <n v="7"/>
    <n v="1650"/>
    <n v="5.6"/>
    <n v="10903.2"/>
    <s v="Refunded"/>
    <s v="Pune"/>
    <s v="Beauty"/>
    <s v="Retail"/>
    <n v="54"/>
    <x v="2"/>
    <n v="1222"/>
    <n v="0.2593939393939394"/>
  </r>
  <r>
    <s v="ORD-00791"/>
    <d v="2024-04-20T00:00:00"/>
    <s v="CUST-0016"/>
    <x v="8"/>
    <s v="R003"/>
    <n v="1"/>
    <n v="5490"/>
    <n v="5.8"/>
    <n v="5171.58"/>
    <s v="Completed"/>
    <s v="Delhi"/>
    <s v="Home"/>
    <s v="SMB"/>
    <n v="26"/>
    <x v="0"/>
    <n v="2549"/>
    <n v="0.53570127504553733"/>
  </r>
  <r>
    <s v="ORD-00792"/>
    <d v="2024-04-23T00:00:00"/>
    <s v="CUST-0184"/>
    <x v="18"/>
    <s v="R024"/>
    <n v="3"/>
    <n v="1080"/>
    <n v="20.9"/>
    <n v="2562.84"/>
    <s v="Completed"/>
    <s v="Pune"/>
    <s v="Home"/>
    <s v="Retail"/>
    <n v="63"/>
    <x v="2"/>
    <n v="519"/>
    <n v="0.51944444444444449"/>
  </r>
  <r>
    <s v="ORD-00793"/>
    <d v="2024-05-22T00:00:00"/>
    <s v="CUST-9568"/>
    <x v="31"/>
    <s v="R018"/>
    <n v="10"/>
    <n v="3780"/>
    <n v="5.5"/>
    <n v="35721"/>
    <s v="Completed"/>
    <s v="Hyderabad"/>
    <s v="Grocery"/>
    <s v=""/>
    <s v=""/>
    <x v="3"/>
    <n v="2436"/>
    <n v="0.35555555555555557"/>
  </r>
  <r>
    <s v="ORD-00794"/>
    <d v="2024-09-23T00:00:00"/>
    <s v="CUST-0118"/>
    <x v="44"/>
    <s v="R030"/>
    <n v="2"/>
    <n v="2030"/>
    <n v="2"/>
    <n v="3978.8"/>
    <s v="Pending"/>
    <s v="Hyderabad"/>
    <s v="Home"/>
    <s v="Retail"/>
    <n v="26"/>
    <x v="2"/>
    <n v="1143"/>
    <n v="0.43694581280788175"/>
  </r>
  <r>
    <s v="ORD-00795"/>
    <d v="2024-10-17T00:00:00"/>
    <s v="CUST-0271"/>
    <x v="36"/>
    <s v="R019"/>
    <n v="8"/>
    <n v="1540"/>
    <n v="9"/>
    <n v="11211.2"/>
    <s v="Cancelled"/>
    <s v="Bengaluru"/>
    <s v="Beauty"/>
    <s v="Corporate"/>
    <n v="41"/>
    <x v="3"/>
    <n v="647"/>
    <n v="0.57987012987012987"/>
  </r>
  <r>
    <s v="ORD-00796"/>
    <d v="2024-11-05T00:00:00"/>
    <s v="CUST-0147"/>
    <x v="13"/>
    <s v="R015"/>
    <n v="9"/>
    <n v="3250"/>
    <n v="20.5"/>
    <n v="23253.75"/>
    <s v="Completed"/>
    <s v="Pune"/>
    <s v="Home"/>
    <s v="Retail"/>
    <n v="56"/>
    <x v="1"/>
    <n v="1556"/>
    <n v="0.52123076923076928"/>
  </r>
  <r>
    <s v="ORD-00797"/>
    <d v="2024-02-22T00:00:00"/>
    <s v="CUST-0253"/>
    <x v="16"/>
    <s v="R005"/>
    <n v="3"/>
    <n v="3450"/>
    <n v="17.899999999999999"/>
    <n v="8497.35"/>
    <s v="Completed"/>
    <s v="Delhi"/>
    <s v="Beauty"/>
    <s v="SMB"/>
    <n v="53"/>
    <x v="0"/>
    <n v="2420"/>
    <n v="0.29855072463768118"/>
  </r>
  <r>
    <s v="ORD-00798"/>
    <d v="2024-07-31T00:00:00"/>
    <s v="CUST-0224"/>
    <x v="8"/>
    <s v="R008"/>
    <n v="5"/>
    <n v="5490"/>
    <n v="7.9"/>
    <n v="25281.45"/>
    <s v="Completed"/>
    <s v="Chennai"/>
    <s v="Home"/>
    <s v="Corporate"/>
    <n v="24"/>
    <x v="0"/>
    <n v="2549"/>
    <n v="0.53570127504553733"/>
  </r>
  <r>
    <s v="ORD-00799"/>
    <d v="2024-01-15T00:00:00"/>
    <s v="CUST-0134"/>
    <x v="5"/>
    <s v="R029"/>
    <n v="3"/>
    <n v="370"/>
    <n v="13.4"/>
    <n v="961.26"/>
    <s v="Completed"/>
    <s v="Delhi"/>
    <s v="Home"/>
    <s v="Retail"/>
    <n v="40"/>
    <x v="2"/>
    <n v="288"/>
    <n v="0.22162162162162163"/>
  </r>
  <r>
    <s v="ORD-00800"/>
    <d v="2024-05-01T00:00:00"/>
    <s v="CUST-0287"/>
    <x v="49"/>
    <s v="R009"/>
    <n v="7"/>
    <n v="5330"/>
    <n v="29.7"/>
    <n v="26228.93"/>
    <s v="Pending"/>
    <s v="Chennai"/>
    <s v="Electronics"/>
    <s v="SMB"/>
    <n v="53"/>
    <x v="1"/>
    <n v="2405"/>
    <n v="0.54878048780487809"/>
  </r>
  <r>
    <s v="ORD-00801"/>
    <d v="2024-03-17T00:00:00"/>
    <s v="CUST-0144"/>
    <x v="17"/>
    <s v="R016"/>
    <n v="8"/>
    <n v="3450"/>
    <n v="23.7"/>
    <n v="21058.799999999999"/>
    <s v="Completed"/>
    <s v="Chennai"/>
    <s v="Sports"/>
    <s v="Retail"/>
    <n v="49"/>
    <x v="1"/>
    <n v="2467"/>
    <n v="0.28492753623188405"/>
  </r>
  <r>
    <s v="ORD-00802"/>
    <d v="2024-01-25T00:00:00"/>
    <s v="CUST-0255"/>
    <x v="55"/>
    <s v="R027"/>
    <n v="8"/>
    <n v="3450"/>
    <n v="5.4"/>
    <n v="26109.599999999999"/>
    <s v="Completed"/>
    <s v="Chennai"/>
    <s v="Apparel"/>
    <s v="Corporate"/>
    <n v="51"/>
    <x v="2"/>
    <n v="1748"/>
    <n v="0.49333333333333335"/>
  </r>
  <r>
    <s v="ORD-00803"/>
    <d v="2024-12-26T00:00:00"/>
    <s v="CUST-0054"/>
    <x v="33"/>
    <s v="R029"/>
    <n v="1"/>
    <n v="6080"/>
    <n v="22.3"/>
    <n v="4724.16"/>
    <s v="Completed"/>
    <s v="Mumbai"/>
    <s v="Beauty"/>
    <s v="Corporate"/>
    <n v="62"/>
    <x v="2"/>
    <n v="2617"/>
    <n v="0.56957236842105263"/>
  </r>
  <r>
    <s v="ORD-00804"/>
    <d v="2024-11-01T00:00:00"/>
    <s v="CUST-0283"/>
    <x v="47"/>
    <s v="R011"/>
    <n v="9"/>
    <n v="2510"/>
    <n v="27.4"/>
    <n v="16400.34"/>
    <s v="Completed"/>
    <s v="Delhi"/>
    <s v="Apparel"/>
    <s v="SMB"/>
    <n v="50"/>
    <x v="1"/>
    <n v="1075"/>
    <n v="0.57171314741035861"/>
  </r>
  <r>
    <s v="ORD-00805"/>
    <d v="2024-04-10T00:00:00"/>
    <s v="CUST-0182"/>
    <x v="23"/>
    <s v="R012"/>
    <n v="10"/>
    <n v="1010"/>
    <n v="28.4"/>
    <n v="7231.6"/>
    <s v="Completed"/>
    <s v="Mumbai"/>
    <s v="Sports"/>
    <s v="Retail"/>
    <n v="54"/>
    <x v="1"/>
    <n v="516"/>
    <n v="0.4891089108910891"/>
  </r>
  <r>
    <s v="ORD-00806"/>
    <d v="2024-04-19T00:00:00"/>
    <s v="CUST-0289"/>
    <x v="59"/>
    <s v="R023"/>
    <n v="1"/>
    <n v="3560"/>
    <n v="26"/>
    <n v="2634.4"/>
    <s v="Completed"/>
    <s v="Mumbai"/>
    <s v="Apparel"/>
    <s v="Retail"/>
    <n v="54"/>
    <x v="3"/>
    <n v="2629"/>
    <n v="0.26151685393258428"/>
  </r>
  <r>
    <s v="ORD-00807"/>
    <d v="2024-04-15T00:00:00"/>
    <s v="CUST-0104"/>
    <x v="40"/>
    <s v="R006"/>
    <n v="8"/>
    <n v="3020"/>
    <n v="6.9"/>
    <n v="22492.959999999999"/>
    <s v="Completed"/>
    <s v="Hyderabad"/>
    <s v="Beauty"/>
    <s v="Corporate"/>
    <n v="43"/>
    <x v="0"/>
    <n v="1626"/>
    <n v="0.46158940397350995"/>
  </r>
  <r>
    <s v="ORD-00808"/>
    <d v="2024-01-10T00:00:00"/>
    <s v="CUST-0085"/>
    <x v="37"/>
    <s v="R017"/>
    <n v="1"/>
    <n v="4070"/>
    <n v="8.1999999999999993"/>
    <n v="3736.26"/>
    <s v="Completed"/>
    <s v="Chennai"/>
    <s v="Grocery"/>
    <s v="Retail"/>
    <n v="26"/>
    <x v="3"/>
    <n v="2027"/>
    <n v="0.50196560196560192"/>
  </r>
  <r>
    <s v="ORD-00809"/>
    <d v="2024-02-25T00:00:00"/>
    <s v="CUST-0120"/>
    <x v="5"/>
    <s v="R020"/>
    <n v="9"/>
    <n v="370"/>
    <n v="19.8"/>
    <n v="2670.66"/>
    <s v="Completed"/>
    <s v="Mumbai"/>
    <s v="Home"/>
    <s v="Retail"/>
    <n v="29"/>
    <x v="3"/>
    <n v="288"/>
    <n v="0.22162162162162163"/>
  </r>
  <r>
    <s v="ORD-00810"/>
    <d v="2024-09-09T00:00:00"/>
    <s v="CUST-0236"/>
    <x v="9"/>
    <s v="R020"/>
    <n v="6"/>
    <n v="970"/>
    <n v="16.2"/>
    <n v="4877.16"/>
    <s v="Completed"/>
    <s v="Hyderabad"/>
    <s v="Grocery"/>
    <s v="SMB"/>
    <n v="28"/>
    <x v="3"/>
    <n v="434"/>
    <n v="0.5525773195876289"/>
  </r>
  <r>
    <s v="ORD-00811"/>
    <d v="2024-12-07T00:00:00"/>
    <s v="CUST-0094"/>
    <x v="20"/>
    <s v="R019"/>
    <n v="10"/>
    <n v="2720"/>
    <n v="3"/>
    <n v="26384"/>
    <s v="Pending"/>
    <s v="Pune"/>
    <s v="Apparel"/>
    <s v="SMB"/>
    <n v="60"/>
    <x v="3"/>
    <n v="1962"/>
    <n v="0.2786764705882353"/>
  </r>
  <r>
    <s v="ORD-00812"/>
    <d v="2024-01-02T00:00:00"/>
    <s v="CUST-0030"/>
    <x v="15"/>
    <s v="R014"/>
    <n v="7"/>
    <n v="2400"/>
    <n v="29.4"/>
    <n v="11860.8"/>
    <s v="Completed"/>
    <s v="Bengaluru"/>
    <s v="Sports"/>
    <s v="Corporate"/>
    <n v="43"/>
    <x v="1"/>
    <n v="974"/>
    <n v="0.59416666666666662"/>
  </r>
  <r>
    <s v="ORD-00813"/>
    <d v="2024-09-29T00:00:00"/>
    <s v="CUST-0172"/>
    <x v="59"/>
    <s v="R012"/>
    <n v="8"/>
    <n v="3560"/>
    <n v="21.7"/>
    <n v="22299.84"/>
    <s v="Completed"/>
    <s v="Pune"/>
    <s v="Apparel"/>
    <s v="Retail"/>
    <n v="65"/>
    <x v="1"/>
    <n v="2629"/>
    <n v="0.26151685393258428"/>
  </r>
  <r>
    <s v="ORD-00814"/>
    <d v="2024-04-03T00:00:00"/>
    <s v="CUST-0221"/>
    <x v="37"/>
    <s v="R015"/>
    <n v="7"/>
    <n v="4070"/>
    <n v="10.5"/>
    <n v="25498.55"/>
    <s v="Completed"/>
    <s v="Delhi"/>
    <s v="Grocery"/>
    <s v="SMB"/>
    <n v="29"/>
    <x v="1"/>
    <n v="2027"/>
    <n v="0.50196560196560192"/>
  </r>
  <r>
    <s v="ORD-01052"/>
    <d v="2024-01-08T00:00:00"/>
    <s v="CUST-0151"/>
    <x v="48"/>
    <s v="R008"/>
    <n v="3"/>
    <n v="5410"/>
    <n v="0.2"/>
    <n v="16197.54"/>
    <s v="Completed"/>
    <s v="Mumbai"/>
    <s v="Sports"/>
    <s v="Retail"/>
    <n v="53"/>
    <x v="0"/>
    <n v="2265"/>
    <n v="0.58133086876155271"/>
  </r>
  <r>
    <s v="ORD-00816"/>
    <d v="2024-12-25T00:00:00"/>
    <s v="CUST-0068"/>
    <x v="28"/>
    <s v="R028"/>
    <n v="4"/>
    <n v="2760"/>
    <n v="27.5"/>
    <n v="8004"/>
    <s v="Cancelled"/>
    <s v="Delhi"/>
    <s v="Grocery"/>
    <s v="SMB"/>
    <n v="48"/>
    <x v="2"/>
    <n v="1435"/>
    <n v="0.48007246376811596"/>
  </r>
  <r>
    <s v="ORD-01136"/>
    <d v="2024-07-01T00:00:00"/>
    <s v="CUST-0165"/>
    <x v="54"/>
    <s v="R013"/>
    <n v="3"/>
    <n v="5080"/>
    <n v="27.2"/>
    <n v="11094.72"/>
    <s v="Completed"/>
    <s v="Pune"/>
    <s v="Home"/>
    <s v="Retail"/>
    <n v="29"/>
    <x v="1"/>
    <n v="2459"/>
    <n v="0.51594488188976373"/>
  </r>
  <r>
    <s v="ORD-00818"/>
    <d v="2024-04-09T00:00:00"/>
    <s v="CUST-0060"/>
    <x v="57"/>
    <s v="R017"/>
    <n v="5"/>
    <n v="1090"/>
    <n v="3.3"/>
    <n v="5270.15"/>
    <s v="Completed"/>
    <s v="Pune"/>
    <s v="Home"/>
    <s v="Retail"/>
    <n v="39"/>
    <x v="3"/>
    <n v="464"/>
    <n v="0.57431192660550456"/>
  </r>
  <r>
    <s v="ORD-00819"/>
    <d v="2024-02-06T00:00:00"/>
    <s v="CUST-0130"/>
    <x v="50"/>
    <s v="R029"/>
    <n v="10"/>
    <n v="2380"/>
    <n v="7"/>
    <n v="22134"/>
    <s v="Completed"/>
    <s v="Bengaluru"/>
    <s v="Grocery"/>
    <s v="Corporate"/>
    <n v="41"/>
    <x v="2"/>
    <n v="1182"/>
    <n v="0.50336134453781511"/>
  </r>
  <r>
    <s v="ORD-00820"/>
    <d v="2024-07-17T00:00:00"/>
    <s v="CUST-0023"/>
    <x v="4"/>
    <s v="R026"/>
    <n v="5"/>
    <n v="3160"/>
    <n v="25.6"/>
    <n v="11755.2"/>
    <s v="Completed"/>
    <s v="Chennai"/>
    <s v="Apparel"/>
    <s v="SMB"/>
    <n v="43"/>
    <x v="2"/>
    <n v="1886"/>
    <n v="0.4031645569620253"/>
  </r>
  <r>
    <s v="ORD-00821"/>
    <d v="2024-03-11T00:00:00"/>
    <s v="CUST-0089"/>
    <x v="15"/>
    <s v="R029"/>
    <n v="9"/>
    <n v="2400"/>
    <n v="8.4"/>
    <n v="19785.599999999999"/>
    <s v="Completed"/>
    <s v="Mumbai"/>
    <s v="Sports"/>
    <s v="SMB"/>
    <n v="43"/>
    <x v="2"/>
    <n v="974"/>
    <n v="0.59416666666666662"/>
  </r>
  <r>
    <s v="ORD-00822"/>
    <d v="2024-06-06T00:00:00"/>
    <s v="CUST-0300"/>
    <x v="12"/>
    <s v="R020"/>
    <n v="4"/>
    <n v="2600"/>
    <n v="4.2"/>
    <n v="9963.2000000000007"/>
    <s v="Completed"/>
    <s v="Mumbai"/>
    <s v="Electronics"/>
    <s v="Retail"/>
    <n v="38"/>
    <x v="3"/>
    <n v="1052"/>
    <n v="0.5953846153846154"/>
  </r>
  <r>
    <s v="ORD-00823"/>
    <d v="2024-04-27T00:00:00"/>
    <s v="CUST-9578"/>
    <x v="10"/>
    <s v="R023"/>
    <n v="5"/>
    <n v="2270"/>
    <n v="0.1"/>
    <n v="11338.65"/>
    <s v="Completed"/>
    <s v="Mumbai"/>
    <s v="Grocery"/>
    <s v=""/>
    <s v=""/>
    <x v="3"/>
    <n v="1203"/>
    <n v="0.47004405286343615"/>
  </r>
  <r>
    <s v="ORD-00824"/>
    <d v="2024-06-22T00:00:00"/>
    <s v="CUST-0130"/>
    <x v="8"/>
    <s v="R020"/>
    <n v="7"/>
    <n v="5490"/>
    <n v="14.9"/>
    <n v="32703.93"/>
    <s v="Completed"/>
    <s v="Bengaluru"/>
    <s v="Home"/>
    <s v="Corporate"/>
    <n v="41"/>
    <x v="3"/>
    <n v="2549"/>
    <n v="0.53570127504553733"/>
  </r>
  <r>
    <s v="ORD-00825"/>
    <d v="2024-05-03T00:00:00"/>
    <s v="CUST-0247"/>
    <x v="35"/>
    <s v="R009"/>
    <n v="5"/>
    <n v="3870"/>
    <n v="13.3"/>
    <n v="16776.45"/>
    <s v="Cancelled"/>
    <s v="Pune"/>
    <s v="Electronics"/>
    <s v="SMB"/>
    <n v="35"/>
    <x v="1"/>
    <n v="1559"/>
    <n v="0.59715762273901807"/>
  </r>
  <r>
    <s v="ORD-00826"/>
    <d v="2024-03-21T00:00:00"/>
    <s v="CUST-0256"/>
    <x v="51"/>
    <s v="R024"/>
    <n v="2"/>
    <n v="960"/>
    <n v="17.5"/>
    <n v="1584"/>
    <s v="Completed"/>
    <s v="Hyderabad"/>
    <s v="Beauty"/>
    <s v="Retail"/>
    <n v="28"/>
    <x v="2"/>
    <n v="675"/>
    <n v="0.296875"/>
  </r>
  <r>
    <s v="ORD-00827"/>
    <d v="2024-04-23T00:00:00"/>
    <s v="CUST-0213"/>
    <x v="24"/>
    <s v="R001"/>
    <n v="4"/>
    <n v="4880"/>
    <n v="12.2"/>
    <n v="17138.560000000001"/>
    <s v="Cancelled"/>
    <s v="Mumbai"/>
    <s v="Beauty"/>
    <s v="Retail"/>
    <n v="37"/>
    <x v="0"/>
    <n v="2768"/>
    <n v="0.43278688524590164"/>
  </r>
  <r>
    <s v="ORD-00828"/>
    <d v="2024-05-07T00:00:00"/>
    <s v="CUST-0183"/>
    <x v="15"/>
    <s v="R008"/>
    <n v="5"/>
    <n v="2400"/>
    <n v="15"/>
    <n v="10200"/>
    <s v="Completed"/>
    <s v="Mumbai"/>
    <s v="Sports"/>
    <s v="SMB"/>
    <n v="27"/>
    <x v="0"/>
    <n v="974"/>
    <n v="0.59416666666666662"/>
  </r>
  <r>
    <s v="ORD-00829"/>
    <d v="2024-08-18T00:00:00"/>
    <s v="CUST-0051"/>
    <x v="43"/>
    <s v="R015"/>
    <n v="9"/>
    <n v="620"/>
    <n v="20.399999999999999"/>
    <n v="4441.68"/>
    <s v="Pending"/>
    <s v="Pune"/>
    <s v="Apparel"/>
    <s v="SMB"/>
    <n v="54"/>
    <x v="1"/>
    <n v="396"/>
    <n v="0.36129032258064514"/>
  </r>
  <r>
    <s v="ORD-00830"/>
    <d v="2024-08-09T00:00:00"/>
    <s v="CUST-0001"/>
    <x v="39"/>
    <s v="R013"/>
    <n v="1"/>
    <n v="4610"/>
    <n v="1.8"/>
    <n v="4527.0200000000004"/>
    <s v="Pending"/>
    <s v="Pune"/>
    <s v="Home"/>
    <s v="Retail"/>
    <n v="36"/>
    <x v="1"/>
    <n v="1850"/>
    <n v="0.59869848156182215"/>
  </r>
  <r>
    <s v="ORD-00831"/>
    <d v="2024-07-27T00:00:00"/>
    <s v="CUST-0105"/>
    <x v="39"/>
    <s v="R014"/>
    <n v="7"/>
    <n v="4610"/>
    <n v="27"/>
    <n v="23557.1"/>
    <s v="Completed"/>
    <s v="Chennai"/>
    <s v="Home"/>
    <s v="SMB"/>
    <n v="51"/>
    <x v="1"/>
    <n v="1850"/>
    <n v="0.59869848156182215"/>
  </r>
  <r>
    <s v="ORD-00832"/>
    <d v="2024-11-12T00:00:00"/>
    <s v="CUST-0199"/>
    <x v="9"/>
    <s v="R029"/>
    <n v="6"/>
    <n v="970"/>
    <n v="4.7"/>
    <n v="5546.46"/>
    <s v="Cancelled"/>
    <s v="Hyderabad"/>
    <s v="Grocery"/>
    <s v="SMB"/>
    <n v="31"/>
    <x v="2"/>
    <n v="434"/>
    <n v="0.5525773195876289"/>
  </r>
  <r>
    <s v="ORD-00833"/>
    <d v="2024-03-11T00:00:00"/>
    <s v="CUST-0240"/>
    <x v="7"/>
    <s v="R026"/>
    <n v="8"/>
    <n v="1430"/>
    <n v="8.6999999999999993"/>
    <n v="10444.719999999999"/>
    <s v="Completed"/>
    <s v="Chennai"/>
    <s v="Electronics"/>
    <s v="Corporate"/>
    <n v="35"/>
    <x v="2"/>
    <n v="861"/>
    <n v="0.39790209790209791"/>
  </r>
  <r>
    <s v="ORD-00834"/>
    <d v="2024-02-26T00:00:00"/>
    <s v="CUST-0283"/>
    <x v="31"/>
    <s v="R011"/>
    <n v="5"/>
    <n v="3780"/>
    <n v="2.9"/>
    <n v="18351.900000000001"/>
    <s v="Completed"/>
    <s v="Delhi"/>
    <s v="Grocery"/>
    <s v="SMB"/>
    <n v="50"/>
    <x v="1"/>
    <n v="2436"/>
    <n v="0.35555555555555557"/>
  </r>
  <r>
    <s v="ORD-00835"/>
    <d v="2024-08-28T00:00:00"/>
    <s v="CUST-0284"/>
    <x v="36"/>
    <s v="R023"/>
    <n v="2"/>
    <n v="1540"/>
    <n v="12.7"/>
    <n v="2688.84"/>
    <s v="Completed"/>
    <s v="Hyderabad"/>
    <s v="Beauty"/>
    <s v="SMB"/>
    <n v="65"/>
    <x v="3"/>
    <n v="647"/>
    <n v="0.57987012987012987"/>
  </r>
  <r>
    <s v="ORD-00836"/>
    <d v="2024-07-19T00:00:00"/>
    <s v="CUST-0060"/>
    <x v="18"/>
    <s v="R020"/>
    <n v="9"/>
    <n v="1080"/>
    <n v="11.2"/>
    <n v="8631.36"/>
    <s v="Cancelled"/>
    <s v="Pune"/>
    <s v="Home"/>
    <s v="Retail"/>
    <n v="39"/>
    <x v="3"/>
    <n v="519"/>
    <n v="0.51944444444444449"/>
  </r>
  <r>
    <s v="ORD-00837"/>
    <d v="2024-03-17T00:00:00"/>
    <s v="CUST-0266"/>
    <x v="15"/>
    <s v="R007"/>
    <n v="3"/>
    <n v="2400"/>
    <n v="28.6"/>
    <n v="5140.8"/>
    <s v="Completed"/>
    <s v="Pune"/>
    <s v="Sports"/>
    <s v="Retail"/>
    <n v="65"/>
    <x v="0"/>
    <n v="974"/>
    <n v="0.59416666666666662"/>
  </r>
  <r>
    <s v="ORD-00838"/>
    <d v="2024-06-05T00:00:00"/>
    <s v="CUST-0056"/>
    <x v="18"/>
    <s v="R018"/>
    <n v="5"/>
    <n v="1080"/>
    <n v="18.3"/>
    <n v="4411.8"/>
    <s v="Completed"/>
    <s v="Bengaluru"/>
    <s v="Home"/>
    <s v="SMB"/>
    <n v="46"/>
    <x v="3"/>
    <n v="519"/>
    <n v="0.51944444444444449"/>
  </r>
  <r>
    <s v="ORD-00839"/>
    <d v="2024-11-14T00:00:00"/>
    <s v="CUST-0187"/>
    <x v="10"/>
    <s v="R027"/>
    <n v="7"/>
    <n v="2270"/>
    <n v="1.7"/>
    <n v="15619.87"/>
    <s v="Cancelled"/>
    <s v="Chennai"/>
    <s v="Grocery"/>
    <s v="SMB"/>
    <n v="51"/>
    <x v="2"/>
    <n v="1203"/>
    <n v="0.47004405286343615"/>
  </r>
  <r>
    <s v="ORD-00840"/>
    <d v="2024-05-26T00:00:00"/>
    <s v="CUST-0183"/>
    <x v="3"/>
    <s v="R026"/>
    <n v="8"/>
    <n v="3660"/>
    <n v="19.100000000000001"/>
    <n v="23687.52"/>
    <s v="Cancelled"/>
    <s v="Mumbai"/>
    <s v="Grocery"/>
    <s v="SMB"/>
    <n v="27"/>
    <x v="2"/>
    <n v="2214"/>
    <n v="0.39508196721311473"/>
  </r>
  <r>
    <s v="ORD-00841"/>
    <d v="2024-07-04T00:00:00"/>
    <s v="CUST-0068"/>
    <x v="13"/>
    <s v="R003"/>
    <n v="5"/>
    <n v="3250"/>
    <n v="12.9"/>
    <n v="14153.75"/>
    <s v="Completed"/>
    <s v="Delhi"/>
    <s v="Home"/>
    <s v="SMB"/>
    <n v="48"/>
    <x v="0"/>
    <n v="1556"/>
    <n v="0.52123076923076928"/>
  </r>
  <r>
    <s v="ORD-00842"/>
    <d v="2024-02-06T00:00:00"/>
    <s v="CUST-0135"/>
    <x v="21"/>
    <s v="R012"/>
    <n v="4"/>
    <n v="1650"/>
    <n v="4.0999999999999996"/>
    <n v="6329.4"/>
    <s v="Completed"/>
    <s v="Pune"/>
    <s v="Beauty"/>
    <s v="SMB"/>
    <n v="24"/>
    <x v="1"/>
    <n v="1222"/>
    <n v="0.2593939393939394"/>
  </r>
  <r>
    <s v="ORD-00843"/>
    <d v="2024-11-28T00:00:00"/>
    <s v="CUST-0191"/>
    <x v="54"/>
    <s v="R003"/>
    <n v="6"/>
    <n v="5080"/>
    <n v="3"/>
    <n v="29565.599999999999"/>
    <s v="Completed"/>
    <s v="Hyderabad"/>
    <s v="Home"/>
    <s v="SMB"/>
    <n v="43"/>
    <x v="0"/>
    <n v="2459"/>
    <n v="0.51594488188976373"/>
  </r>
  <r>
    <s v="ORD-00844"/>
    <d v="2024-11-18T00:00:00"/>
    <s v="CUST-0244"/>
    <x v="17"/>
    <s v="R027"/>
    <n v="8"/>
    <n v="3450"/>
    <n v="20.9"/>
    <n v="21831.599999999999"/>
    <s v="Completed"/>
    <s v="Bengaluru"/>
    <s v="Sports"/>
    <s v="Retail"/>
    <n v="61"/>
    <x v="2"/>
    <n v="2467"/>
    <n v="0.28492753623188405"/>
  </r>
  <r>
    <s v="ORD-00845"/>
    <d v="2024-05-17T00:00:00"/>
    <s v="CUST-0189"/>
    <x v="22"/>
    <s v="R018"/>
    <n v="6"/>
    <n v="3350"/>
    <n v="24.8"/>
    <n v="15115.2"/>
    <s v="Completed"/>
    <s v="Chennai"/>
    <s v="Beauty"/>
    <s v="Retail"/>
    <n v="41"/>
    <x v="3"/>
    <n v="1728"/>
    <n v="0.48417910447761192"/>
  </r>
  <r>
    <s v="ORD-00846"/>
    <d v="2024-06-08T00:00:00"/>
    <s v="CUST-0166"/>
    <x v="45"/>
    <s v="R027"/>
    <n v="10"/>
    <n v="2210"/>
    <n v="4.2"/>
    <n v="21171.8"/>
    <s v="Completed"/>
    <s v="Hyderabad"/>
    <s v="Grocery"/>
    <s v="Retail"/>
    <n v="31"/>
    <x v="2"/>
    <n v="1010"/>
    <n v="0.54298642533936647"/>
  </r>
  <r>
    <s v="ORD-00847"/>
    <d v="2024-06-01T00:00:00"/>
    <s v="CUST-0167"/>
    <x v="24"/>
    <s v="R006"/>
    <n v="10"/>
    <n v="4880"/>
    <n v="0.7"/>
    <n v="48458.400000000001"/>
    <s v="Completed"/>
    <s v="Delhi"/>
    <s v="Beauty"/>
    <s v="Retail"/>
    <n v="43"/>
    <x v="0"/>
    <n v="2768"/>
    <n v="0.43278688524590164"/>
  </r>
  <r>
    <s v="ORD-00848"/>
    <d v="2024-03-18T00:00:00"/>
    <s v="CUST-0265"/>
    <x v="27"/>
    <s v="R004"/>
    <n v="7"/>
    <n v="2860"/>
    <n v="28.1"/>
    <n v="14394.38"/>
    <s v="Pending"/>
    <s v="Chennai"/>
    <s v="Sports"/>
    <s v="Retail"/>
    <n v="49"/>
    <x v="0"/>
    <n v="2028"/>
    <n v="0.29090909090909089"/>
  </r>
  <r>
    <s v="ORD-00849"/>
    <d v="2024-10-16T00:00:00"/>
    <s v="CUST-0172"/>
    <x v="9"/>
    <s v="R005"/>
    <n v="3"/>
    <n v="970"/>
    <n v="28.3"/>
    <n v="2086.4699999999998"/>
    <s v="Completed"/>
    <s v="Pune"/>
    <s v="Grocery"/>
    <s v="Retail"/>
    <n v="65"/>
    <x v="0"/>
    <n v="434"/>
    <n v="0.5525773195876289"/>
  </r>
  <r>
    <s v="ORD-00850"/>
    <d v="2024-07-21T00:00:00"/>
    <s v="CUST-0205"/>
    <x v="34"/>
    <s v="R008"/>
    <n v="1"/>
    <n v="2270"/>
    <n v="15.1"/>
    <n v="1927.23"/>
    <s v="Completed"/>
    <s v="Pune"/>
    <s v="Grocery"/>
    <s v="Corporate"/>
    <n v="29"/>
    <x v="0"/>
    <n v="1412"/>
    <n v="0.37797356828193834"/>
  </r>
  <r>
    <s v="ORD-00851"/>
    <d v="2024-02-02T00:00:00"/>
    <s v="CUST-0102"/>
    <x v="59"/>
    <s v="R015"/>
    <n v="5"/>
    <n v="3560"/>
    <n v="11.5"/>
    <n v="15753"/>
    <s v="Completed"/>
    <s v="Chennai"/>
    <s v="Apparel"/>
    <s v="SMB"/>
    <n v="62"/>
    <x v="1"/>
    <n v="2629"/>
    <n v="0.26151685393258428"/>
  </r>
  <r>
    <s v="ORD-00852"/>
    <d v="2024-05-07T00:00:00"/>
    <s v="CUST-0142"/>
    <x v="48"/>
    <s v="R010"/>
    <n v="2"/>
    <n v="5410"/>
    <n v="14.8"/>
    <n v="9218.64"/>
    <s v="Pending"/>
    <s v="Chennai"/>
    <s v="Sports"/>
    <s v="Corporate"/>
    <n v="55"/>
    <x v="1"/>
    <n v="2265"/>
    <n v="0.58133086876155271"/>
  </r>
  <r>
    <s v="ORD-00853"/>
    <d v="2024-12-30T00:00:00"/>
    <s v="CUST-0195"/>
    <x v="19"/>
    <s v="R006"/>
    <n v="2"/>
    <n v="2480"/>
    <n v="27.2"/>
    <n v="3610.88"/>
    <s v="Completed"/>
    <s v="Bengaluru"/>
    <s v="Apparel"/>
    <s v="Retail"/>
    <n v="28"/>
    <x v="0"/>
    <n v="1173"/>
    <n v="0.52701612903225803"/>
  </r>
  <r>
    <s v="ORD-00854"/>
    <d v="2024-02-28T00:00:00"/>
    <s v="CUST-0125"/>
    <x v="1"/>
    <s v="R014"/>
    <n v="6"/>
    <n v="820"/>
    <n v="6.6"/>
    <n v="4595.28"/>
    <s v="Completed"/>
    <s v="Delhi"/>
    <s v="Apparel"/>
    <s v="Retail"/>
    <n v="45"/>
    <x v="1"/>
    <n v="391"/>
    <n v="0.52317073170731709"/>
  </r>
  <r>
    <s v="ORD-00855"/>
    <d v="2024-05-22T00:00:00"/>
    <s v="CUST-0234"/>
    <x v="49"/>
    <s v="R015"/>
    <n v="10"/>
    <n v="5330"/>
    <n v="16.100000000000001"/>
    <n v="44718.7"/>
    <s v="Completed"/>
    <s v="Bengaluru"/>
    <s v="Electronics"/>
    <s v="Retail"/>
    <n v="34"/>
    <x v="1"/>
    <n v="2405"/>
    <n v="0.54878048780487809"/>
  </r>
  <r>
    <s v="ORD-00856"/>
    <d v="2024-05-26T00:00:00"/>
    <s v="CUST-0061"/>
    <x v="16"/>
    <s v="R004"/>
    <n v="2"/>
    <n v="3450"/>
    <n v="11.3"/>
    <n v="6120.3"/>
    <s v="Pending"/>
    <s v="Hyderabad"/>
    <s v="Beauty"/>
    <s v="Retail"/>
    <n v="64"/>
    <x v="0"/>
    <n v="2420"/>
    <n v="0.29855072463768118"/>
  </r>
  <r>
    <s v="ORD-00857"/>
    <d v="2024-07-13T00:00:00"/>
    <s v="CUST-0189"/>
    <x v="51"/>
    <s v="R023"/>
    <n v="7"/>
    <n v="960"/>
    <n v="17.100000000000001"/>
    <n v="5570.88"/>
    <s v="Completed"/>
    <s v="Chennai"/>
    <s v="Beauty"/>
    <s v="Retail"/>
    <n v="41"/>
    <x v="3"/>
    <n v="675"/>
    <n v="0.296875"/>
  </r>
  <r>
    <s v="ORD-00858"/>
    <d v="2024-11-27T00:00:00"/>
    <s v="CUST-0191"/>
    <x v="55"/>
    <s v="R003"/>
    <n v="5"/>
    <n v="3450"/>
    <n v="22.9"/>
    <n v="13299.75"/>
    <s v="Completed"/>
    <s v="Hyderabad"/>
    <s v="Apparel"/>
    <s v="SMB"/>
    <n v="43"/>
    <x v="0"/>
    <n v="1748"/>
    <n v="0.49333333333333335"/>
  </r>
  <r>
    <s v="ORD-00859"/>
    <d v="2024-12-08T00:00:00"/>
    <s v="CUST-0217"/>
    <x v="38"/>
    <s v="R008"/>
    <n v="5"/>
    <n v="1220"/>
    <n v="0.3"/>
    <n v="6081.7"/>
    <s v="Completed"/>
    <s v="Pune"/>
    <s v="Electronics"/>
    <s v="SMB"/>
    <n v="59"/>
    <x v="0"/>
    <n v="517"/>
    <n v="0.57622950819672136"/>
  </r>
  <r>
    <s v="ORD-00860"/>
    <d v="2024-01-17T00:00:00"/>
    <s v="CUST-0060"/>
    <x v="49"/>
    <s v="R007"/>
    <n v="5"/>
    <n v="5330"/>
    <n v="29"/>
    <n v="18921.5"/>
    <s v="Completed"/>
    <s v="Pune"/>
    <s v="Electronics"/>
    <s v="Retail"/>
    <n v="39"/>
    <x v="0"/>
    <n v="2405"/>
    <n v="0.54878048780487809"/>
  </r>
  <r>
    <s v="ORD-00861"/>
    <d v="2024-12-15T00:00:00"/>
    <s v="CUST-0270"/>
    <x v="25"/>
    <s v="R028"/>
    <n v="3"/>
    <n v="3570"/>
    <n v="20"/>
    <n v="8568"/>
    <s v="Cancelled"/>
    <s v="Bengaluru"/>
    <s v="Electronics"/>
    <s v="Retail"/>
    <n v="29"/>
    <x v="2"/>
    <n v="1665"/>
    <n v="0.53361344537815125"/>
  </r>
  <r>
    <s v="ORD-00862"/>
    <d v="2024-04-14T00:00:00"/>
    <s v="CUST-0279"/>
    <x v="45"/>
    <s v="R026"/>
    <n v="9"/>
    <n v="2210"/>
    <n v="12.4"/>
    <n v="17423.64"/>
    <s v="Completed"/>
    <s v="Mumbai"/>
    <s v="Grocery"/>
    <s v="Retail"/>
    <n v="56"/>
    <x v="2"/>
    <n v="1010"/>
    <n v="0.54298642533936647"/>
  </r>
  <r>
    <s v="ORD-00863"/>
    <d v="2024-01-11T00:00:00"/>
    <s v="CUST-0008"/>
    <x v="56"/>
    <s v="R029"/>
    <n v="5"/>
    <n v="3780"/>
    <n v="3.9"/>
    <n v="18162.900000000001"/>
    <s v="Completed"/>
    <s v="Pune"/>
    <s v="Sports"/>
    <s v="SMB"/>
    <n v="39"/>
    <x v="2"/>
    <n v="1860"/>
    <n v="0.50793650793650791"/>
  </r>
  <r>
    <s v="ORD-00864"/>
    <d v="2024-11-30T00:00:00"/>
    <s v="CUST-0259"/>
    <x v="11"/>
    <s v="R008"/>
    <n v="10"/>
    <n v="2640"/>
    <n v="17.8"/>
    <n v="21700.799999999999"/>
    <s v="Refunded"/>
    <s v="Mumbai"/>
    <s v="Electronics"/>
    <s v="Retail"/>
    <n v="34"/>
    <x v="0"/>
    <n v="1149"/>
    <n v="0.56477272727272732"/>
  </r>
  <r>
    <s v="ORD-00865"/>
    <d v="2024-03-01T00:00:00"/>
    <s v="CUST-0169"/>
    <x v="42"/>
    <s v="R024"/>
    <n v="5"/>
    <n v="300"/>
    <n v="12.9"/>
    <n v="1306.5"/>
    <s v="Completed"/>
    <s v="Bengaluru"/>
    <s v="Electronics"/>
    <s v="SMB"/>
    <n v="42"/>
    <x v="2"/>
    <n v="128"/>
    <n v="0.57333333333333336"/>
  </r>
  <r>
    <s v="ORD-00866"/>
    <d v="2024-10-23T00:00:00"/>
    <s v="CUST-0191"/>
    <x v="15"/>
    <s v="R013"/>
    <n v="2"/>
    <n v="2400"/>
    <n v="17.100000000000001"/>
    <n v="3979.2"/>
    <s v="Pending"/>
    <s v="Hyderabad"/>
    <s v="Sports"/>
    <s v="SMB"/>
    <n v="43"/>
    <x v="1"/>
    <n v="974"/>
    <n v="0.59416666666666662"/>
  </r>
  <r>
    <s v="ORD-00867"/>
    <d v="2024-10-18T00:00:00"/>
    <s v="CUST-0129"/>
    <x v="18"/>
    <s v="R026"/>
    <n v="5"/>
    <n v="1080"/>
    <n v="15.7"/>
    <n v="4552.2"/>
    <s v="Pending"/>
    <s v="Hyderabad"/>
    <s v="Home"/>
    <s v="Retail"/>
    <n v="29"/>
    <x v="2"/>
    <n v="519"/>
    <n v="0.51944444444444449"/>
  </r>
  <r>
    <s v="ORD-00868"/>
    <d v="2024-08-24T00:00:00"/>
    <s v="CUST-0066"/>
    <x v="13"/>
    <s v="R003"/>
    <n v="1"/>
    <n v="3250"/>
    <n v="14.7"/>
    <n v="2772.25"/>
    <s v="Completed"/>
    <s v="Delhi"/>
    <s v="Home"/>
    <s v="Retail"/>
    <n v="24"/>
    <x v="0"/>
    <n v="1556"/>
    <n v="0.52123076923076928"/>
  </r>
  <r>
    <s v="ORD-00869"/>
    <d v="2024-04-18T00:00:00"/>
    <s v="CUST-0114"/>
    <x v="5"/>
    <s v="R021"/>
    <n v="7"/>
    <n v="370"/>
    <n v="6"/>
    <n v="2434.6"/>
    <s v="Cancelled"/>
    <s v="Bengaluru"/>
    <s v="Home"/>
    <s v="Corporate"/>
    <n v="42"/>
    <x v="3"/>
    <n v="288"/>
    <n v="0.22162162162162163"/>
  </r>
  <r>
    <s v="ORD-00870"/>
    <d v="2024-02-15T00:00:00"/>
    <s v="CUST-9833"/>
    <x v="8"/>
    <s v="R029"/>
    <n v="7"/>
    <n v="5490"/>
    <n v="10.199999999999999"/>
    <n v="34510.14"/>
    <s v="Completed"/>
    <s v="Pune"/>
    <s v="Home"/>
    <s v=""/>
    <s v=""/>
    <x v="2"/>
    <n v="2549"/>
    <n v="0.53570127504553733"/>
  </r>
  <r>
    <s v="ORD-00871"/>
    <d v="2024-07-09T00:00:00"/>
    <s v="CUST-0076"/>
    <x v="53"/>
    <s v="R028"/>
    <n v="3"/>
    <n v="3970"/>
    <n v="2.4"/>
    <n v="11624.16"/>
    <s v="Completed"/>
    <s v="Mumbai"/>
    <s v="Electronics"/>
    <s v="Retail"/>
    <n v="38"/>
    <x v="2"/>
    <n v="2865"/>
    <n v="0.27833753148614609"/>
  </r>
  <r>
    <s v="ORD-00872"/>
    <d v="2024-10-18T00:00:00"/>
    <s v="CUST-0215"/>
    <x v="38"/>
    <s v="R007"/>
    <n v="4"/>
    <n v="1220"/>
    <n v="25.3"/>
    <n v="3645.36"/>
    <s v="Completed"/>
    <s v="Hyderabad"/>
    <s v="Electronics"/>
    <s v="Retail"/>
    <n v="52"/>
    <x v="0"/>
    <n v="517"/>
    <n v="0.57622950819672136"/>
  </r>
  <r>
    <s v="ORD-00873"/>
    <d v="2024-04-27T00:00:00"/>
    <s v="CUST-0061"/>
    <x v="4"/>
    <s v="R026"/>
    <n v="3"/>
    <n v="3160"/>
    <n v="19.8"/>
    <n v="7602.96"/>
    <s v="Completed"/>
    <s v="Hyderabad"/>
    <s v="Apparel"/>
    <s v="Retail"/>
    <n v="64"/>
    <x v="2"/>
    <n v="1886"/>
    <n v="0.4031645569620253"/>
  </r>
  <r>
    <s v="ORD-00874"/>
    <d v="2024-05-18T00:00:00"/>
    <s v="CUST-0249"/>
    <x v="42"/>
    <s v="R008"/>
    <n v="1"/>
    <n v="300"/>
    <n v="24.5"/>
    <n v="226.5"/>
    <s v="Completed"/>
    <s v="Mumbai"/>
    <s v="Electronics"/>
    <s v="Retail"/>
    <n v="44"/>
    <x v="0"/>
    <n v="128"/>
    <n v="0.57333333333333336"/>
  </r>
  <r>
    <s v="ORD-00875"/>
    <d v="2024-12-28T00:00:00"/>
    <s v="CUST-0105"/>
    <x v="16"/>
    <s v="R029"/>
    <n v="5"/>
    <n v="3450"/>
    <n v="13.4"/>
    <n v="14938.5"/>
    <s v="Pending"/>
    <s v="Chennai"/>
    <s v="Beauty"/>
    <s v="SMB"/>
    <n v="51"/>
    <x v="2"/>
    <n v="2420"/>
    <n v="0.29855072463768118"/>
  </r>
  <r>
    <s v="ORD-00876"/>
    <d v="2024-04-15T00:00:00"/>
    <s v="CUST-0161"/>
    <x v="0"/>
    <s v="R027"/>
    <n v="7"/>
    <n v="3620"/>
    <n v="19.2"/>
    <n v="20474.72"/>
    <s v="Completed"/>
    <s v="Chennai"/>
    <s v="Apparel"/>
    <s v="Retail"/>
    <n v="38"/>
    <x v="2"/>
    <n v="2509"/>
    <n v="0.3069060773480663"/>
  </r>
  <r>
    <s v="ORD-00877"/>
    <d v="2024-08-01T00:00:00"/>
    <s v="CUST-0275"/>
    <x v="10"/>
    <s v="R010"/>
    <n v="10"/>
    <n v="2270"/>
    <n v="20.5"/>
    <n v="18046.5"/>
    <s v="Completed"/>
    <s v="Mumbai"/>
    <s v="Grocery"/>
    <s v="Retail"/>
    <n v="36"/>
    <x v="1"/>
    <n v="1203"/>
    <n v="0.47004405286343615"/>
  </r>
  <r>
    <s v="ORD-00878"/>
    <d v="2024-04-04T00:00:00"/>
    <s v="CUST-0049"/>
    <x v="20"/>
    <s v="R024"/>
    <n v="5"/>
    <n v="2720"/>
    <n v="29.3"/>
    <n v="9615.2000000000007"/>
    <s v="Completed"/>
    <s v="Mumbai"/>
    <s v="Apparel"/>
    <s v="Corporate"/>
    <n v="42"/>
    <x v="2"/>
    <n v="1962"/>
    <n v="0.2786764705882353"/>
  </r>
  <r>
    <s v="ORD-00879"/>
    <d v="2024-07-26T00:00:00"/>
    <s v="CUST-0235"/>
    <x v="31"/>
    <s v="R022"/>
    <n v="9"/>
    <n v="3780"/>
    <n v="2.2999999999999998"/>
    <n v="33237.54"/>
    <s v="Completed"/>
    <s v="Chennai"/>
    <s v="Grocery"/>
    <s v="Retail"/>
    <n v="31"/>
    <x v="3"/>
    <n v="2436"/>
    <n v="0.35555555555555557"/>
  </r>
  <r>
    <s v="ORD-00880"/>
    <d v="2024-12-10T00:00:00"/>
    <s v="CUST-0220"/>
    <x v="46"/>
    <s v="R014"/>
    <n v="9"/>
    <n v="4060"/>
    <n v="11.5"/>
    <n v="32337.9"/>
    <s v="Completed"/>
    <s v="Chennai"/>
    <s v="Grocery"/>
    <s v="Retail"/>
    <n v="34"/>
    <x v="1"/>
    <n v="2911"/>
    <n v="0.28300492610837441"/>
  </r>
  <r>
    <s v="ORD-00881"/>
    <d v="2024-08-13T00:00:00"/>
    <s v="CUST-0298"/>
    <x v="28"/>
    <s v="R012"/>
    <n v="10"/>
    <n v="2760"/>
    <n v="3.9"/>
    <n v="26523.599999999999"/>
    <s v="Refunded"/>
    <s v="Delhi"/>
    <s v="Grocery"/>
    <s v="Retail"/>
    <n v="44"/>
    <x v="1"/>
    <n v="1435"/>
    <n v="0.48007246376811596"/>
  </r>
  <r>
    <s v="ORD-00882"/>
    <d v="2024-10-28T00:00:00"/>
    <s v="CUST-0222"/>
    <x v="18"/>
    <s v="R021"/>
    <n v="10"/>
    <n v="1080"/>
    <n v="21.4"/>
    <n v="8488.7999999999993"/>
    <s v="Completed"/>
    <s v="Chennai"/>
    <s v="Home"/>
    <s v="Retail"/>
    <n v="37"/>
    <x v="3"/>
    <n v="519"/>
    <n v="0.51944444444444449"/>
  </r>
  <r>
    <s v="ORD-00883"/>
    <d v="2024-07-24T00:00:00"/>
    <s v="CUST-0049"/>
    <x v="54"/>
    <s v="R023"/>
    <n v="6"/>
    <n v="5080"/>
    <n v="29.8"/>
    <n v="21396.959999999999"/>
    <s v="Pending"/>
    <s v="Mumbai"/>
    <s v="Home"/>
    <s v="Corporate"/>
    <n v="42"/>
    <x v="3"/>
    <n v="2459"/>
    <n v="0.51594488188976373"/>
  </r>
  <r>
    <s v="ORD-00884"/>
    <d v="2024-01-02T00:00:00"/>
    <s v="CUST-0147"/>
    <x v="24"/>
    <s v="R030"/>
    <n v="1"/>
    <n v="4880"/>
    <n v="28.2"/>
    <n v="3503.84"/>
    <s v="Completed"/>
    <s v="Pune"/>
    <s v="Beauty"/>
    <s v="Retail"/>
    <n v="56"/>
    <x v="2"/>
    <n v="2768"/>
    <n v="0.43278688524590164"/>
  </r>
  <r>
    <s v="ORD-00885"/>
    <d v="2024-09-27T00:00:00"/>
    <s v="CUST-0177"/>
    <x v="34"/>
    <s v="R027"/>
    <n v="1"/>
    <n v="2270"/>
    <n v="27.8"/>
    <n v="1638.94"/>
    <s v="Completed"/>
    <s v="Mumbai"/>
    <s v="Grocery"/>
    <s v="SMB"/>
    <n v="36"/>
    <x v="2"/>
    <n v="1412"/>
    <n v="0.37797356828193834"/>
  </r>
  <r>
    <s v="ORD-00886"/>
    <d v="2024-12-12T00:00:00"/>
    <s v="CUST-0121"/>
    <x v="53"/>
    <s v="R019"/>
    <n v="9"/>
    <n v="3970"/>
    <n v="7"/>
    <n v="33228.9"/>
    <s v="Completed"/>
    <s v="Delhi"/>
    <s v="Electronics"/>
    <s v="SMB"/>
    <n v="55"/>
    <x v="3"/>
    <n v="2865"/>
    <n v="0.27833753148614609"/>
  </r>
  <r>
    <s v="ORD-00887"/>
    <d v="2024-04-26T00:00:00"/>
    <s v="CUST-0262"/>
    <x v="26"/>
    <s v="R003"/>
    <n v="9"/>
    <n v="5100"/>
    <n v="9.6999999999999993"/>
    <n v="41447.699999999997"/>
    <s v="Completed"/>
    <s v="Mumbai"/>
    <s v="Beauty"/>
    <s v="Retail"/>
    <n v="52"/>
    <x v="0"/>
    <n v="2237"/>
    <n v="0.56137254901960787"/>
  </r>
  <r>
    <s v="ORD-00888"/>
    <d v="2024-07-25T00:00:00"/>
    <s v="CUST-0246"/>
    <x v="14"/>
    <s v="R005"/>
    <n v="8"/>
    <n v="190"/>
    <n v="10.199999999999999"/>
    <n v="1364.96"/>
    <s v="Completed"/>
    <s v="Delhi"/>
    <s v="Sports"/>
    <s v="SMB"/>
    <n v="29"/>
    <x v="0"/>
    <n v="147"/>
    <n v="0.22631578947368422"/>
  </r>
  <r>
    <s v="ORD-00889"/>
    <d v="2024-12-23T00:00:00"/>
    <s v="CUST-0070"/>
    <x v="33"/>
    <s v="R026"/>
    <n v="1"/>
    <n v="6080"/>
    <n v="5.6"/>
    <n v="5739.52"/>
    <s v="Completed"/>
    <s v="Mumbai"/>
    <s v="Beauty"/>
    <s v="Retail"/>
    <n v="42"/>
    <x v="2"/>
    <n v="2617"/>
    <n v="0.56957236842105263"/>
  </r>
  <r>
    <s v="ORD-00890"/>
    <d v="2024-07-11T00:00:00"/>
    <s v="CUST-0218"/>
    <x v="6"/>
    <s v="R020"/>
    <n v="6"/>
    <n v="960"/>
    <n v="1.9"/>
    <n v="5650.56"/>
    <s v="Completed"/>
    <s v="Mumbai"/>
    <s v="Sports"/>
    <s v="Retail"/>
    <n v="39"/>
    <x v="3"/>
    <n v="705"/>
    <n v="0.265625"/>
  </r>
  <r>
    <s v="ORD-00891"/>
    <d v="2024-01-25T00:00:00"/>
    <s v="CUST-0068"/>
    <x v="36"/>
    <s v="R004"/>
    <n v="7"/>
    <n v="1540"/>
    <n v="7.1"/>
    <n v="10014.620000000001"/>
    <s v="Completed"/>
    <s v="Delhi"/>
    <s v="Beauty"/>
    <s v="SMB"/>
    <n v="48"/>
    <x v="0"/>
    <n v="647"/>
    <n v="0.57987012987012987"/>
  </r>
  <r>
    <s v="ORD-00892"/>
    <d v="2024-02-06T00:00:00"/>
    <s v="CUST-0261"/>
    <x v="42"/>
    <s v="R011"/>
    <n v="10"/>
    <n v="300"/>
    <n v="12.8"/>
    <n v="2616"/>
    <s v="Cancelled"/>
    <s v="Delhi"/>
    <s v="Electronics"/>
    <s v="Retail"/>
    <n v="54"/>
    <x v="1"/>
    <n v="128"/>
    <n v="0.57333333333333336"/>
  </r>
  <r>
    <s v="ORD-00893"/>
    <d v="2024-06-13T00:00:00"/>
    <s v="CUST-0077"/>
    <x v="24"/>
    <s v="R011"/>
    <n v="4"/>
    <n v="4880"/>
    <n v="26.5"/>
    <n v="14347.2"/>
    <s v="Completed"/>
    <s v="Hyderabad"/>
    <s v="Beauty"/>
    <s v="SMB"/>
    <n v="48"/>
    <x v="1"/>
    <n v="2768"/>
    <n v="0.43278688524590164"/>
  </r>
  <r>
    <s v="ORD-00894"/>
    <d v="2024-10-24T00:00:00"/>
    <s v="CUST-0188"/>
    <x v="5"/>
    <s v="R003"/>
    <n v="2"/>
    <n v="370"/>
    <n v="26.5"/>
    <n v="543.9"/>
    <s v="Completed"/>
    <s v="Bengaluru"/>
    <s v="Home"/>
    <s v="Retail"/>
    <n v="54"/>
    <x v="0"/>
    <n v="288"/>
    <n v="0.22162162162162163"/>
  </r>
  <r>
    <s v="ORD-00895"/>
    <d v="2024-10-28T00:00:00"/>
    <s v="CUST-0145"/>
    <x v="39"/>
    <s v="R002"/>
    <n v="3"/>
    <n v="4610"/>
    <n v="29.7"/>
    <n v="9722.49"/>
    <s v="Completed"/>
    <s v="Bengaluru"/>
    <s v="Home"/>
    <s v="SMB"/>
    <n v="44"/>
    <x v="0"/>
    <n v="1850"/>
    <n v="0.59869848156182215"/>
  </r>
  <r>
    <s v="ORD-00896"/>
    <d v="2024-09-04T00:00:00"/>
    <s v="CUST-0036"/>
    <x v="12"/>
    <s v="R013"/>
    <n v="5"/>
    <n v="2600"/>
    <n v="21.4"/>
    <n v="10218"/>
    <s v="Completed"/>
    <s v="Mumbai"/>
    <s v="Electronics"/>
    <s v="Retail"/>
    <n v="35"/>
    <x v="1"/>
    <n v="1052"/>
    <n v="0.5953846153846154"/>
  </r>
  <r>
    <s v="ORD-00600"/>
    <d v="2024-05-24T00:00:00"/>
    <s v="CUST-0269"/>
    <x v="38"/>
    <s v="R025"/>
    <n v="10"/>
    <n v="1220"/>
    <n v="24.3"/>
    <n v="9235.4"/>
    <s v="Completed"/>
    <s v="Pune"/>
    <s v="Electronics"/>
    <s v="Retail"/>
    <n v="48"/>
    <x v="2"/>
    <n v="517"/>
    <n v="0.57622950819672136"/>
  </r>
  <r>
    <s v="ORD-00898"/>
    <d v="2024-12-20T00:00:00"/>
    <s v="CUST-9607"/>
    <x v="7"/>
    <s v="R015"/>
    <n v="10"/>
    <n v="1430"/>
    <n v="5.0999999999999996"/>
    <n v="13570.7"/>
    <s v="Cancelled"/>
    <s v="Chennai"/>
    <s v="Electronics"/>
    <s v=""/>
    <s v=""/>
    <x v="1"/>
    <n v="861"/>
    <n v="0.39790209790209791"/>
  </r>
  <r>
    <s v="ORD-00899"/>
    <d v="2024-07-05T00:00:00"/>
    <s v="CUST-0189"/>
    <x v="24"/>
    <s v="R030"/>
    <n v="10"/>
    <n v="4880"/>
    <n v="25.5"/>
    <n v="36356"/>
    <s v="Cancelled"/>
    <s v="Chennai"/>
    <s v="Beauty"/>
    <s v="Retail"/>
    <n v="41"/>
    <x v="2"/>
    <n v="2768"/>
    <n v="0.43278688524590164"/>
  </r>
  <r>
    <s v="ORD-00900"/>
    <d v="2024-08-14T00:00:00"/>
    <s v="CUST-0199"/>
    <x v="33"/>
    <s v="R028"/>
    <n v="6"/>
    <n v="6080"/>
    <n v="21.6"/>
    <n v="28600.32"/>
    <s v="Completed"/>
    <s v="Hyderabad"/>
    <s v="Beauty"/>
    <s v="SMB"/>
    <n v="31"/>
    <x v="2"/>
    <n v="2617"/>
    <n v="0.56957236842105263"/>
  </r>
  <r>
    <s v="ORD-00901"/>
    <d v="2024-01-28T00:00:00"/>
    <s v="CUST-0277"/>
    <x v="40"/>
    <s v="R013"/>
    <n v="3"/>
    <n v="3020"/>
    <n v="20.7"/>
    <n v="7184.58"/>
    <s v="Completed"/>
    <s v="Chennai"/>
    <s v="Beauty"/>
    <s v="Corporate"/>
    <n v="34"/>
    <x v="1"/>
    <n v="1626"/>
    <n v="0.46158940397350995"/>
  </r>
  <r>
    <s v="ORD-00902"/>
    <d v="2024-06-02T00:00:00"/>
    <s v="CUST-0108"/>
    <x v="20"/>
    <s v="R013"/>
    <n v="9"/>
    <n v="2720"/>
    <n v="21.4"/>
    <n v="19241.28"/>
    <s v="Completed"/>
    <s v="Bengaluru"/>
    <s v="Apparel"/>
    <s v="Corporate"/>
    <n v="59"/>
    <x v="1"/>
    <n v="1962"/>
    <n v="0.2786764705882353"/>
  </r>
  <r>
    <s v="ORD-00903"/>
    <d v="2024-05-05T00:00:00"/>
    <s v="CUST-0203"/>
    <x v="25"/>
    <s v="R025"/>
    <n v="10"/>
    <n v="3570"/>
    <n v="4.4000000000000004"/>
    <n v="34129.199999999997"/>
    <s v="Completed"/>
    <s v="Chennai"/>
    <s v="Electronics"/>
    <s v="SMB"/>
    <n v="55"/>
    <x v="2"/>
    <n v="1665"/>
    <n v="0.53361344537815125"/>
  </r>
  <r>
    <s v="ORD-00904"/>
    <d v="2024-01-18T00:00:00"/>
    <s v="CUST-0272"/>
    <x v="18"/>
    <s v="R014"/>
    <n v="8"/>
    <n v="1080"/>
    <n v="23.8"/>
    <n v="6583.68"/>
    <s v="Completed"/>
    <s v="Mumbai"/>
    <s v="Home"/>
    <s v="SMB"/>
    <n v="47"/>
    <x v="1"/>
    <n v="519"/>
    <n v="0.51944444444444449"/>
  </r>
  <r>
    <s v="ORD-00905"/>
    <d v="2024-03-16T00:00:00"/>
    <s v="CUST-0039"/>
    <x v="57"/>
    <s v="R011"/>
    <n v="8"/>
    <n v="1090"/>
    <n v="17.5"/>
    <n v="7194"/>
    <s v="Completed"/>
    <s v="Bengaluru"/>
    <s v="Home"/>
    <s v="Retail"/>
    <n v="37"/>
    <x v="1"/>
    <n v="464"/>
    <n v="0.57431192660550456"/>
  </r>
  <r>
    <s v="ORD-00906"/>
    <d v="2024-11-19T00:00:00"/>
    <s v="CUST-0105"/>
    <x v="59"/>
    <s v="R027"/>
    <n v="7"/>
    <n v="3560"/>
    <n v="11.1"/>
    <n v="22153.88"/>
    <s v="Completed"/>
    <s v="Chennai"/>
    <s v="Apparel"/>
    <s v="SMB"/>
    <n v="51"/>
    <x v="2"/>
    <n v="2629"/>
    <n v="0.26151685393258428"/>
  </r>
  <r>
    <s v="ORD-00907"/>
    <d v="2024-07-26T00:00:00"/>
    <s v="CUST-0095"/>
    <x v="14"/>
    <s v="R022"/>
    <n v="6"/>
    <n v="190"/>
    <n v="17.100000000000001"/>
    <n v="945.06"/>
    <s v="Cancelled"/>
    <s v="Mumbai"/>
    <s v="Sports"/>
    <s v="SMB"/>
    <n v="54"/>
    <x v="3"/>
    <n v="147"/>
    <n v="0.22631578947368422"/>
  </r>
  <r>
    <s v="ORD-00908"/>
    <d v="2024-03-05T00:00:00"/>
    <s v="CUST-0138"/>
    <x v="46"/>
    <s v="R025"/>
    <n v="7"/>
    <n v="4060"/>
    <n v="0.6"/>
    <n v="28249.48"/>
    <s v="Completed"/>
    <s v="Chennai"/>
    <s v="Grocery"/>
    <s v="Retail"/>
    <n v="24"/>
    <x v="2"/>
    <n v="2911"/>
    <n v="0.28300492610837441"/>
  </r>
  <r>
    <s v="ORD-00909"/>
    <d v="2024-02-24T00:00:00"/>
    <s v="CUST-0155"/>
    <x v="39"/>
    <s v="R021"/>
    <n v="4"/>
    <n v="4610"/>
    <n v="1.9"/>
    <n v="18089.64"/>
    <s v="Pending"/>
    <s v="Pune"/>
    <s v="Home"/>
    <s v="Corporate"/>
    <n v="40"/>
    <x v="3"/>
    <n v="1850"/>
    <n v="0.59869848156182215"/>
  </r>
  <r>
    <s v="ORD-00910"/>
    <d v="2024-12-14T00:00:00"/>
    <s v="CUST-0198"/>
    <x v="37"/>
    <s v="R020"/>
    <n v="4"/>
    <n v="4070"/>
    <n v="26.8"/>
    <n v="11916.96"/>
    <s v="Completed"/>
    <s v="Chennai"/>
    <s v="Grocery"/>
    <s v="Corporate"/>
    <n v="22"/>
    <x v="3"/>
    <n v="2027"/>
    <n v="0.50196560196560192"/>
  </r>
  <r>
    <s v="ORD-00911"/>
    <d v="2024-12-07T00:00:00"/>
    <s v="CUST-0267"/>
    <x v="0"/>
    <s v="R004"/>
    <n v="4"/>
    <n v="3620"/>
    <n v="11.7"/>
    <n v="12785.84"/>
    <s v="Completed"/>
    <s v="Hyderabad"/>
    <s v="Apparel"/>
    <s v="Retail"/>
    <n v="27"/>
    <x v="0"/>
    <n v="2509"/>
    <n v="0.3069060773480663"/>
  </r>
  <r>
    <s v="ORD-00912"/>
    <d v="2024-05-18T00:00:00"/>
    <s v="CUST-0248"/>
    <x v="53"/>
    <s v="R030"/>
    <n v="3"/>
    <n v="3970"/>
    <n v="24.7"/>
    <n v="8968.23"/>
    <s v="Completed"/>
    <s v="Chennai"/>
    <s v="Electronics"/>
    <s v="SMB"/>
    <n v="57"/>
    <x v="2"/>
    <n v="2865"/>
    <n v="0.27833753148614609"/>
  </r>
  <r>
    <s v="ORD-00913"/>
    <d v="2024-03-04T00:00:00"/>
    <s v="CUST-0114"/>
    <x v="9"/>
    <s v="R028"/>
    <n v="4"/>
    <n v="970"/>
    <n v="0.4"/>
    <n v="3864.48"/>
    <s v="Completed"/>
    <s v="Bengaluru"/>
    <s v="Grocery"/>
    <s v="Corporate"/>
    <n v="42"/>
    <x v="2"/>
    <n v="434"/>
    <n v="0.5525773195876289"/>
  </r>
  <r>
    <s v="ORD-00914"/>
    <d v="2024-03-28T00:00:00"/>
    <s v="CUST-0129"/>
    <x v="6"/>
    <s v="R023"/>
    <n v="2"/>
    <n v="960"/>
    <n v="1.4"/>
    <n v="1893.12"/>
    <s v="Completed"/>
    <s v="Hyderabad"/>
    <s v="Sports"/>
    <s v="Retail"/>
    <n v="29"/>
    <x v="3"/>
    <n v="705"/>
    <n v="0.265625"/>
  </r>
  <r>
    <s v="ORD-00915"/>
    <d v="2024-03-24T00:00:00"/>
    <s v="CUST-0182"/>
    <x v="42"/>
    <s v="R016"/>
    <n v="7"/>
    <n v="300"/>
    <n v="20.399999999999999"/>
    <n v="1671.6"/>
    <s v="Completed"/>
    <s v="Mumbai"/>
    <s v="Electronics"/>
    <s v="Retail"/>
    <n v="54"/>
    <x v="1"/>
    <n v="128"/>
    <n v="0.57333333333333336"/>
  </r>
  <r>
    <s v="ORD-00916"/>
    <d v="2024-04-15T00:00:00"/>
    <s v="CUST-0020"/>
    <x v="12"/>
    <s v="R014"/>
    <n v="8"/>
    <n v="2600"/>
    <n v="2.2000000000000002"/>
    <n v="20342.400000000001"/>
    <s v="Cancelled"/>
    <s v="Hyderabad"/>
    <s v="Electronics"/>
    <s v="Retail"/>
    <n v="46"/>
    <x v="1"/>
    <n v="1052"/>
    <n v="0.5953846153846154"/>
  </r>
  <r>
    <s v="ORD-00917"/>
    <d v="2024-10-06T00:00:00"/>
    <s v="CUST-0163"/>
    <x v="5"/>
    <s v="R008"/>
    <n v="2"/>
    <n v="370"/>
    <n v="17.7"/>
    <n v="609.02"/>
    <s v="Completed"/>
    <s v="Pune"/>
    <s v="Home"/>
    <s v="Retail"/>
    <n v="49"/>
    <x v="0"/>
    <n v="288"/>
    <n v="0.22162162162162163"/>
  </r>
  <r>
    <s v="ORD-00918"/>
    <d v="2024-06-12T00:00:00"/>
    <s v="CUST-0142"/>
    <x v="16"/>
    <s v="R026"/>
    <n v="4"/>
    <n v="3450"/>
    <n v="9.8000000000000007"/>
    <n v="12447.6"/>
    <s v="Cancelled"/>
    <s v="Chennai"/>
    <s v="Beauty"/>
    <s v="Corporate"/>
    <n v="55"/>
    <x v="2"/>
    <n v="2420"/>
    <n v="0.29855072463768118"/>
  </r>
  <r>
    <s v="ORD-00919"/>
    <d v="2024-07-13T00:00:00"/>
    <s v="CUST-0221"/>
    <x v="19"/>
    <s v="R020"/>
    <n v="1"/>
    <n v="2480"/>
    <n v="5.8"/>
    <n v="2336.16"/>
    <s v="Completed"/>
    <s v="Delhi"/>
    <s v="Apparel"/>
    <s v="SMB"/>
    <n v="29"/>
    <x v="3"/>
    <n v="1173"/>
    <n v="0.52701612903225803"/>
  </r>
  <r>
    <s v="ORD-00920"/>
    <d v="2024-02-07T00:00:00"/>
    <s v="CUST-0079"/>
    <x v="3"/>
    <s v="R019"/>
    <n v="5"/>
    <n v="3660"/>
    <n v="4.7"/>
    <n v="17439.900000000001"/>
    <s v="Pending"/>
    <s v="Mumbai"/>
    <s v="Grocery"/>
    <s v="Corporate"/>
    <n v="60"/>
    <x v="3"/>
    <n v="2214"/>
    <n v="0.39508196721311473"/>
  </r>
  <r>
    <s v="ORD-00921"/>
    <d v="2024-01-24T00:00:00"/>
    <s v="CUST-0133"/>
    <x v="21"/>
    <s v="R023"/>
    <n v="7"/>
    <n v="1650"/>
    <n v="8.6"/>
    <n v="10556.7"/>
    <s v="Completed"/>
    <s v="Chennai"/>
    <s v="Beauty"/>
    <s v="Retail"/>
    <n v="26"/>
    <x v="3"/>
    <n v="1222"/>
    <n v="0.2593939393939394"/>
  </r>
  <r>
    <s v="ORD-00922"/>
    <d v="2024-06-30T00:00:00"/>
    <s v="CUST-0086"/>
    <x v="14"/>
    <s v="R025"/>
    <n v="6"/>
    <n v="190"/>
    <n v="14.6"/>
    <n v="973.56"/>
    <s v="Completed"/>
    <s v="Hyderabad"/>
    <s v="Sports"/>
    <s v="Corporate"/>
    <n v="56"/>
    <x v="2"/>
    <n v="147"/>
    <n v="0.22631578947368422"/>
  </r>
  <r>
    <s v="ORD-00923"/>
    <d v="2024-09-11T00:00:00"/>
    <s v="CUST-0155"/>
    <x v="34"/>
    <s v="R001"/>
    <n v="5"/>
    <n v="2270"/>
    <n v="5.9"/>
    <n v="10680.35"/>
    <s v="Completed"/>
    <s v="Pune"/>
    <s v="Grocery"/>
    <s v="Corporate"/>
    <n v="40"/>
    <x v="0"/>
    <n v="1412"/>
    <n v="0.37797356828193834"/>
  </r>
  <r>
    <s v="ORD-00924"/>
    <d v="2024-11-29T00:00:00"/>
    <s v="CUST-0244"/>
    <x v="10"/>
    <s v="R011"/>
    <n v="1"/>
    <n v="2270"/>
    <n v="14.9"/>
    <n v="1931.77"/>
    <s v="Completed"/>
    <s v="Bengaluru"/>
    <s v="Grocery"/>
    <s v="Retail"/>
    <n v="61"/>
    <x v="1"/>
    <n v="1203"/>
    <n v="0.47004405286343615"/>
  </r>
  <r>
    <s v="ORD-00925"/>
    <d v="2024-10-14T00:00:00"/>
    <s v="CUST-0262"/>
    <x v="55"/>
    <s v="R018"/>
    <n v="4"/>
    <n v="3450"/>
    <n v="11.7"/>
    <n v="12185.4"/>
    <s v="Cancelled"/>
    <s v="Mumbai"/>
    <s v="Apparel"/>
    <s v="Retail"/>
    <n v="52"/>
    <x v="3"/>
    <n v="1748"/>
    <n v="0.49333333333333335"/>
  </r>
  <r>
    <s v="ORD-00926"/>
    <d v="2024-02-01T00:00:00"/>
    <s v="CUST-0251"/>
    <x v="40"/>
    <s v="R028"/>
    <n v="7"/>
    <n v="3020"/>
    <n v="18.8"/>
    <n v="17165.68"/>
    <s v="Completed"/>
    <s v="Mumbai"/>
    <s v="Beauty"/>
    <s v="Retail"/>
    <n v="44"/>
    <x v="2"/>
    <n v="1626"/>
    <n v="0.46158940397350995"/>
  </r>
  <r>
    <s v="ORD-00927"/>
    <d v="2024-11-17T00:00:00"/>
    <s v="CUST-0007"/>
    <x v="44"/>
    <s v="R016"/>
    <n v="4"/>
    <n v="2030"/>
    <n v="25.7"/>
    <n v="6033.16"/>
    <s v="Completed"/>
    <s v="Bengaluru"/>
    <s v="Home"/>
    <s v="Retail"/>
    <n v="47"/>
    <x v="1"/>
    <n v="1143"/>
    <n v="0.43694581280788175"/>
  </r>
  <r>
    <s v="ORD-00928"/>
    <d v="2024-03-11T00:00:00"/>
    <s v="CUST-0161"/>
    <x v="55"/>
    <s v="R014"/>
    <n v="4"/>
    <n v="3450"/>
    <n v="3.9"/>
    <n v="13261.8"/>
    <s v="Completed"/>
    <s v="Chennai"/>
    <s v="Apparel"/>
    <s v="Retail"/>
    <n v="38"/>
    <x v="1"/>
    <n v="1748"/>
    <n v="0.49333333333333335"/>
  </r>
  <r>
    <s v="ORD-00929"/>
    <d v="2024-02-25T00:00:00"/>
    <s v="CUST-0251"/>
    <x v="51"/>
    <s v="R028"/>
    <n v="5"/>
    <n v="960"/>
    <n v="8"/>
    <n v="4416"/>
    <s v="Completed"/>
    <s v="Mumbai"/>
    <s v="Beauty"/>
    <s v="Retail"/>
    <n v="44"/>
    <x v="2"/>
    <n v="675"/>
    <n v="0.296875"/>
  </r>
  <r>
    <s v="ORD-00930"/>
    <d v="2024-09-15T00:00:00"/>
    <s v="CUST-0098"/>
    <x v="53"/>
    <s v="R001"/>
    <n v="7"/>
    <n v="3970"/>
    <n v="11.7"/>
    <n v="24538.57"/>
    <s v="Completed"/>
    <s v="Delhi"/>
    <s v="Electronics"/>
    <s v="Retail"/>
    <n v="52"/>
    <x v="0"/>
    <n v="2865"/>
    <n v="0.27833753148614609"/>
  </r>
  <r>
    <s v="ORD-00931"/>
    <d v="2024-09-19T00:00:00"/>
    <s v="CUST-0200"/>
    <x v="48"/>
    <s v="R026"/>
    <n v="3"/>
    <n v="5410"/>
    <n v="10"/>
    <n v="14607"/>
    <s v="Completed"/>
    <s v="Hyderabad"/>
    <s v="Sports"/>
    <s v="Corporate"/>
    <n v="46"/>
    <x v="2"/>
    <n v="2265"/>
    <n v="0.58133086876155271"/>
  </r>
  <r>
    <s v="ORD-00932"/>
    <d v="2024-05-16T00:00:00"/>
    <s v="CUST-0228"/>
    <x v="25"/>
    <s v="R007"/>
    <n v="8"/>
    <n v="3570"/>
    <n v="8.5"/>
    <n v="26132.400000000001"/>
    <s v="Completed"/>
    <s v="Pune"/>
    <s v="Electronics"/>
    <s v="Corporate"/>
    <n v="37"/>
    <x v="0"/>
    <n v="1665"/>
    <n v="0.53361344537815125"/>
  </r>
  <r>
    <s v="ORD-00933"/>
    <d v="2024-08-13T00:00:00"/>
    <s v="CUST-0095"/>
    <x v="12"/>
    <s v="R014"/>
    <n v="7"/>
    <n v="2600"/>
    <n v="27.1"/>
    <n v="13267.8"/>
    <s v="Completed"/>
    <s v="Mumbai"/>
    <s v="Electronics"/>
    <s v="SMB"/>
    <n v="54"/>
    <x v="1"/>
    <n v="1052"/>
    <n v="0.5953846153846154"/>
  </r>
  <r>
    <s v="ORD-00934"/>
    <d v="2024-05-30T00:00:00"/>
    <s v="CUST-0175"/>
    <x v="2"/>
    <s v="R026"/>
    <n v="6"/>
    <n v="470"/>
    <n v="2.4"/>
    <n v="2752.32"/>
    <s v="Pending"/>
    <s v="Delhi"/>
    <s v="Sports"/>
    <s v="Corporate"/>
    <n v="55"/>
    <x v="2"/>
    <n v="302"/>
    <n v="0.35744680851063831"/>
  </r>
  <r>
    <s v="ORD-00935"/>
    <d v="2024-03-20T00:00:00"/>
    <s v="CUST-0270"/>
    <x v="2"/>
    <s v="R025"/>
    <n v="3"/>
    <n v="470"/>
    <n v="6.3"/>
    <n v="1321.17"/>
    <s v="Completed"/>
    <s v="Bengaluru"/>
    <s v="Sports"/>
    <s v="Retail"/>
    <n v="29"/>
    <x v="2"/>
    <n v="302"/>
    <n v="0.35744680851063831"/>
  </r>
  <r>
    <s v="ORD-00936"/>
    <d v="2024-09-05T00:00:00"/>
    <s v="CUST-0105"/>
    <x v="56"/>
    <s v="R004"/>
    <n v="3"/>
    <n v="3780"/>
    <n v="19.399999999999999"/>
    <n v="9140.0400000000009"/>
    <s v="Pending"/>
    <s v="Chennai"/>
    <s v="Sports"/>
    <s v="SMB"/>
    <n v="51"/>
    <x v="0"/>
    <n v="1860"/>
    <n v="0.50793650793650791"/>
  </r>
  <r>
    <s v="ORD-00937"/>
    <d v="2024-04-10T00:00:00"/>
    <s v="CUST-0147"/>
    <x v="58"/>
    <s v="R019"/>
    <n v="5"/>
    <n v="6940"/>
    <n v="12.6"/>
    <n v="30327.8"/>
    <s v="Completed"/>
    <s v="Pune"/>
    <s v="Sports"/>
    <s v="Retail"/>
    <n v="56"/>
    <x v="3"/>
    <n v="2827"/>
    <n v="0.5926512968299712"/>
  </r>
  <r>
    <s v="ORD-00938"/>
    <d v="2024-04-04T00:00:00"/>
    <s v="CUST-0106"/>
    <x v="35"/>
    <s v="R030"/>
    <n v="2"/>
    <n v="3870"/>
    <n v="10.5"/>
    <n v="6927.3"/>
    <s v="Completed"/>
    <s v="Pune"/>
    <s v="Electronics"/>
    <s v="Retail"/>
    <n v="22"/>
    <x v="2"/>
    <n v="1559"/>
    <n v="0.59715762273901807"/>
  </r>
  <r>
    <s v="ORD-00939"/>
    <d v="2024-08-12T00:00:00"/>
    <s v="CUST-0130"/>
    <x v="48"/>
    <s v="R014"/>
    <n v="8"/>
    <n v="5410"/>
    <n v="28.4"/>
    <n v="30988.48"/>
    <s v="Pending"/>
    <s v="Bengaluru"/>
    <s v="Sports"/>
    <s v="Corporate"/>
    <n v="41"/>
    <x v="1"/>
    <n v="2265"/>
    <n v="0.58133086876155271"/>
  </r>
  <r>
    <s v="ORD-00940"/>
    <d v="2024-11-22T00:00:00"/>
    <s v="CUST-0241"/>
    <x v="53"/>
    <s v="R030"/>
    <n v="7"/>
    <n v="3970"/>
    <n v="12.3"/>
    <n v="24371.83"/>
    <s v="Completed"/>
    <s v="Pune"/>
    <s v="Electronics"/>
    <s v="Corporate"/>
    <n v="47"/>
    <x v="2"/>
    <n v="2865"/>
    <n v="0.27833753148614609"/>
  </r>
  <r>
    <s v="ORD-00941"/>
    <d v="2024-11-14T00:00:00"/>
    <s v="CUST-0151"/>
    <x v="58"/>
    <s v="R001"/>
    <n v="5"/>
    <n v="6940"/>
    <n v="1.5"/>
    <n v="34179.5"/>
    <s v="Completed"/>
    <s v="Mumbai"/>
    <s v="Sports"/>
    <s v="Retail"/>
    <n v="53"/>
    <x v="0"/>
    <n v="2827"/>
    <n v="0.5926512968299712"/>
  </r>
  <r>
    <s v="ORD-00942"/>
    <d v="2024-09-06T00:00:00"/>
    <s v="CUST-0022"/>
    <x v="4"/>
    <s v="R006"/>
    <n v="7"/>
    <n v="3160"/>
    <n v="2.4"/>
    <n v="21589.119999999999"/>
    <s v="Refunded"/>
    <s v="Bengaluru"/>
    <s v="Apparel"/>
    <s v="Corporate"/>
    <n v="55"/>
    <x v="0"/>
    <n v="1886"/>
    <n v="0.4031645569620253"/>
  </r>
  <r>
    <s v="ORD-00943"/>
    <d v="2024-07-24T00:00:00"/>
    <s v="CUST-0030"/>
    <x v="1"/>
    <s v="R024"/>
    <n v="2"/>
    <n v="820"/>
    <n v="8.1"/>
    <n v="1507.16"/>
    <s v="Completed"/>
    <s v="Bengaluru"/>
    <s v="Apparel"/>
    <s v="Corporate"/>
    <n v="43"/>
    <x v="2"/>
    <n v="391"/>
    <n v="0.52317073170731709"/>
  </r>
  <r>
    <s v="ORD-00944"/>
    <d v="2024-10-02T00:00:00"/>
    <s v="CUST-0176"/>
    <x v="36"/>
    <s v="R030"/>
    <n v="2"/>
    <n v="1540"/>
    <n v="17.7"/>
    <n v="2534.84"/>
    <s v="Completed"/>
    <s v="Bengaluru"/>
    <s v="Beauty"/>
    <s v="SMB"/>
    <n v="34"/>
    <x v="2"/>
    <n v="647"/>
    <n v="0.57987012987012987"/>
  </r>
  <r>
    <s v="ORD-00945"/>
    <d v="2024-06-08T00:00:00"/>
    <s v="CUST-0270"/>
    <x v="35"/>
    <s v="R001"/>
    <n v="10"/>
    <n v="3870"/>
    <n v="12.2"/>
    <n v="33978.6"/>
    <s v="Refunded"/>
    <s v="Bengaluru"/>
    <s v="Electronics"/>
    <s v="Retail"/>
    <n v="29"/>
    <x v="0"/>
    <n v="1559"/>
    <n v="0.59715762273901807"/>
  </r>
  <r>
    <s v="ORD-00946"/>
    <d v="2024-07-15T00:00:00"/>
    <s v="CUST-0216"/>
    <x v="41"/>
    <s v="R002"/>
    <n v="7"/>
    <n v="2660"/>
    <n v="4.7"/>
    <n v="17744.86"/>
    <s v="Completed"/>
    <s v="Mumbai"/>
    <s v="Electronics"/>
    <s v="Retail"/>
    <n v="50"/>
    <x v="0"/>
    <n v="1259"/>
    <n v="0.52669172932330832"/>
  </r>
  <r>
    <s v="ORD-00947"/>
    <d v="2024-05-19T00:00:00"/>
    <s v="CUST-0187"/>
    <x v="25"/>
    <s v="R009"/>
    <n v="4"/>
    <n v="3570"/>
    <n v="19.3"/>
    <n v="11523.96"/>
    <s v="Completed"/>
    <s v="Chennai"/>
    <s v="Electronics"/>
    <s v="SMB"/>
    <n v="51"/>
    <x v="1"/>
    <n v="1665"/>
    <n v="0.53361344537815125"/>
  </r>
  <r>
    <s v="ORD-00948"/>
    <d v="2024-04-11T00:00:00"/>
    <s v="CUST-0143"/>
    <x v="44"/>
    <s v="R002"/>
    <n v="2"/>
    <n v="2030"/>
    <n v="2.6"/>
    <n v="3954.44"/>
    <s v="Completed"/>
    <s v="Chennai"/>
    <s v="Home"/>
    <s v="SMB"/>
    <n v="52"/>
    <x v="0"/>
    <n v="1143"/>
    <n v="0.43694581280788175"/>
  </r>
  <r>
    <s v="ORD-00949"/>
    <d v="2024-05-15T00:00:00"/>
    <s v="CUST-0104"/>
    <x v="4"/>
    <s v="R013"/>
    <n v="6"/>
    <n v="3160"/>
    <n v="25.8"/>
    <n v="14068.32"/>
    <s v="Completed"/>
    <s v="Hyderabad"/>
    <s v="Apparel"/>
    <s v="Corporate"/>
    <n v="43"/>
    <x v="1"/>
    <n v="1886"/>
    <n v="0.4031645569620253"/>
  </r>
  <r>
    <s v="ORD-00950"/>
    <d v="2024-10-26T00:00:00"/>
    <s v="CUST-0121"/>
    <x v="54"/>
    <s v="R014"/>
    <n v="4"/>
    <n v="5080"/>
    <n v="2"/>
    <n v="19913.599999999999"/>
    <s v="Completed"/>
    <s v=" Delhi "/>
    <s v="Home"/>
    <s v="SMB"/>
    <n v="55"/>
    <x v="1"/>
    <n v="2459"/>
    <n v="0.51594488188976373"/>
  </r>
  <r>
    <s v="ORD-00951"/>
    <d v="2024-02-05T00:00:00"/>
    <s v="CUST-0228"/>
    <x v="16"/>
    <s v="R010"/>
    <n v="6"/>
    <n v="3450"/>
    <n v="1.8"/>
    <n v="20327.400000000001"/>
    <s v="Cancelled"/>
    <s v="Pune"/>
    <s v="Beauty"/>
    <s v="Corporate"/>
    <n v="37"/>
    <x v="1"/>
    <n v="2420"/>
    <n v="0.29855072463768118"/>
  </r>
  <r>
    <s v="ORD-00952"/>
    <d v="2024-10-10T00:00:00"/>
    <s v="CUST-0218"/>
    <x v="17"/>
    <s v="R016"/>
    <n v="3"/>
    <n v="3450"/>
    <n v="4.7"/>
    <n v="9863.5499999999993"/>
    <s v="Pending"/>
    <s v="Mumbai"/>
    <s v="Sports"/>
    <s v="Retail"/>
    <n v="39"/>
    <x v="1"/>
    <n v="2467"/>
    <n v="0.28492753623188405"/>
  </r>
  <r>
    <s v="ORD-00953"/>
    <d v="2024-03-16T00:00:00"/>
    <s v="CUST-0118"/>
    <x v="49"/>
    <s v="R027"/>
    <n v="7"/>
    <n v="5330"/>
    <n v="16.399999999999999"/>
    <n v="31191.16"/>
    <s v="Completed"/>
    <s v="Hyderabad"/>
    <s v="Electronics"/>
    <s v="Retail"/>
    <n v="26"/>
    <x v="2"/>
    <n v="2405"/>
    <n v="0.54878048780487809"/>
  </r>
  <r>
    <s v="ORD-00954"/>
    <d v="2024-08-18T00:00:00"/>
    <s v="CUST-0262"/>
    <x v="45"/>
    <s v="R003"/>
    <n v="6"/>
    <n v="2210"/>
    <n v="13.1"/>
    <n v="11522.94"/>
    <s v="Completed"/>
    <s v="Mumbai"/>
    <s v="Grocery"/>
    <s v="Retail"/>
    <n v="52"/>
    <x v="0"/>
    <n v="1010"/>
    <n v="0.54298642533936647"/>
  </r>
  <r>
    <s v="ORD-00955"/>
    <d v="2024-10-14T00:00:00"/>
    <s v="CUST-0137"/>
    <x v="18"/>
    <s v="R026"/>
    <n v="8"/>
    <n v="1080"/>
    <n v="8.6999999999999993"/>
    <n v="7888.32"/>
    <s v="Completed"/>
    <s v="Mumbai"/>
    <s v="Home"/>
    <s v="Retail"/>
    <n v="41"/>
    <x v="2"/>
    <n v="519"/>
    <n v="0.51944444444444449"/>
  </r>
  <r>
    <s v="ORD-00956"/>
    <d v="2024-07-22T00:00:00"/>
    <s v="CUST-0145"/>
    <x v="0"/>
    <s v="R015"/>
    <n v="5"/>
    <n v="3620"/>
    <n v="16.100000000000001"/>
    <n v="15185.9"/>
    <s v="Completed"/>
    <s v="Bengaluru"/>
    <s v="Apparel"/>
    <s v="SMB"/>
    <n v="44"/>
    <x v="1"/>
    <n v="2509"/>
    <n v="0.3069060773480663"/>
  </r>
  <r>
    <s v="ORD-00957"/>
    <d v="2024-07-10T00:00:00"/>
    <s v="CUST-0275"/>
    <x v="59"/>
    <s v="R011"/>
    <n v="7"/>
    <n v="3560"/>
    <n v="8.5"/>
    <n v="22801.8"/>
    <s v="Completed"/>
    <s v="Mumbai"/>
    <s v="Apparel"/>
    <s v="Retail"/>
    <n v="36"/>
    <x v="1"/>
    <n v="2629"/>
    <n v="0.26151685393258428"/>
  </r>
  <r>
    <s v="ORD-00958"/>
    <d v="2024-07-23T00:00:00"/>
    <s v="CUST-0189"/>
    <x v="44"/>
    <s v="R025"/>
    <n v="8"/>
    <n v="2030"/>
    <n v="18.100000000000001"/>
    <n v="13300.56"/>
    <s v="Completed"/>
    <s v="Chennai"/>
    <s v="Home"/>
    <s v="Retail"/>
    <n v="41"/>
    <x v="2"/>
    <n v="1143"/>
    <n v="0.43694581280788175"/>
  </r>
  <r>
    <s v="ORD-00959"/>
    <d v="2024-02-28T00:00:00"/>
    <s v="CUST-0105"/>
    <x v="21"/>
    <s v="R011"/>
    <n v="10"/>
    <n v="1650"/>
    <n v="7.1"/>
    <n v="15328.5"/>
    <s v="Completed"/>
    <s v="Chennai"/>
    <s v="Beauty"/>
    <s v="SMB"/>
    <n v="51"/>
    <x v="1"/>
    <n v="1222"/>
    <n v="0.2593939393939394"/>
  </r>
  <r>
    <s v="ORD-00960"/>
    <d v="2024-08-13T00:00:00"/>
    <s v="CUST-0284"/>
    <x v="28"/>
    <s v="R017"/>
    <n v="4"/>
    <n v="2760"/>
    <n v="17.600000000000001"/>
    <n v="9096.9599999999991"/>
    <s v="Cancelled"/>
    <s v="Hyderabad"/>
    <s v="Grocery"/>
    <s v="SMB"/>
    <n v="65"/>
    <x v="3"/>
    <n v="1435"/>
    <n v="0.48007246376811596"/>
  </r>
  <r>
    <s v="ORD-00961"/>
    <d v="2024-06-17T00:00:00"/>
    <s v="CUST-0296"/>
    <x v="53"/>
    <s v="R009"/>
    <n v="4"/>
    <n v="3970"/>
    <n v="4.3"/>
    <n v="15197.16"/>
    <s v="Completed"/>
    <s v="Delhi"/>
    <s v="Electronics"/>
    <s v="Corporate"/>
    <n v="47"/>
    <x v="1"/>
    <n v="2865"/>
    <n v="0.27833753148614609"/>
  </r>
  <r>
    <s v="ORD-00962"/>
    <d v="2024-08-05T00:00:00"/>
    <s v="CUST-0087"/>
    <x v="33"/>
    <s v="R010"/>
    <n v="2"/>
    <n v="6080"/>
    <n v="23.8"/>
    <n v="9265.92"/>
    <s v="Completed"/>
    <s v="Pune"/>
    <s v="Beauty"/>
    <s v="SMB"/>
    <n v="49"/>
    <x v="1"/>
    <n v="2617"/>
    <n v="0.56957236842105263"/>
  </r>
  <r>
    <s v="ORD-00963"/>
    <d v="2024-11-06T00:00:00"/>
    <s v="CUST-0012"/>
    <x v="10"/>
    <s v="R004"/>
    <n v="4"/>
    <n v="2270"/>
    <n v="28.9"/>
    <n v="6455.88"/>
    <s v="Completed"/>
    <s v="Pune"/>
    <s v="Grocery"/>
    <s v="Retail"/>
    <n v="43"/>
    <x v="0"/>
    <n v="1203"/>
    <n v="0.47004405286343615"/>
  </r>
  <r>
    <s v="ORD-00964"/>
    <d v="2024-05-29T00:00:00"/>
    <s v="CUST-0241"/>
    <x v="53"/>
    <s v="R004"/>
    <n v="10"/>
    <n v="3970"/>
    <n v="26.2"/>
    <n v="29298.6"/>
    <s v="Completed"/>
    <s v="Pune"/>
    <s v="Electronics"/>
    <s v="Corporate"/>
    <n v="47"/>
    <x v="0"/>
    <n v="2865"/>
    <n v="0.27833753148614609"/>
  </r>
  <r>
    <s v="ORD-00965"/>
    <d v="2024-03-27T00:00:00"/>
    <s v="CUST-0133"/>
    <x v="26"/>
    <s v="R013"/>
    <n v="4"/>
    <n v="5100"/>
    <n v="2.1"/>
    <n v="19971.599999999999"/>
    <s v="Completed"/>
    <s v="Chennai"/>
    <s v="Beauty"/>
    <s v="Retail"/>
    <n v="26"/>
    <x v="1"/>
    <n v="2237"/>
    <n v="0.56137254901960787"/>
  </r>
  <r>
    <s v="ORD-00966"/>
    <d v="2024-05-16T00:00:00"/>
    <s v="CUST-0230"/>
    <x v="40"/>
    <s v="R024"/>
    <n v="5"/>
    <n v="3020"/>
    <n v="17.3"/>
    <n v="12487.7"/>
    <s v="Completed"/>
    <s v="Pune"/>
    <s v="Beauty"/>
    <s v="Corporate"/>
    <n v="33"/>
    <x v="2"/>
    <n v="1626"/>
    <n v="0.46158940397350995"/>
  </r>
  <r>
    <s v="ORD-00967"/>
    <d v="2024-08-17T00:00:00"/>
    <s v="CUST-0126"/>
    <x v="6"/>
    <s v="R016"/>
    <n v="8"/>
    <n v="960"/>
    <n v="1.3"/>
    <n v="7580.16"/>
    <s v="Cancelled"/>
    <s v="Mumbai"/>
    <s v="Sports"/>
    <s v="Retail"/>
    <n v="37"/>
    <x v="1"/>
    <n v="705"/>
    <n v="0.265625"/>
  </r>
  <r>
    <s v="ORD-00968"/>
    <d v="2024-11-16T00:00:00"/>
    <s v="CUST-0233"/>
    <x v="19"/>
    <s v="R008"/>
    <n v="9"/>
    <n v="2480"/>
    <n v="15.6"/>
    <n v="18838.080000000002"/>
    <s v="Completed"/>
    <s v="Mumbai"/>
    <s v="Apparel"/>
    <s v="SMB"/>
    <n v="65"/>
    <x v="0"/>
    <n v="1173"/>
    <n v="0.52701612903225803"/>
  </r>
  <r>
    <s v="ORD-00969"/>
    <d v="2024-10-01T00:00:00"/>
    <s v="CUST-9555"/>
    <x v="9"/>
    <s v="R012"/>
    <n v="1"/>
    <n v="970"/>
    <n v="24.9"/>
    <n v="728.47"/>
    <s v="Completed"/>
    <s v="Bengaluru"/>
    <s v="Grocery"/>
    <s v=""/>
    <s v=""/>
    <x v="1"/>
    <n v="434"/>
    <n v="0.5525773195876289"/>
  </r>
  <r>
    <s v="ORD-00970"/>
    <d v="2024-11-10T00:00:00"/>
    <s v="CUST-0150"/>
    <x v="50"/>
    <s v="R022"/>
    <n v="4"/>
    <n v="2380"/>
    <n v="9.5"/>
    <n v="8615.6"/>
    <s v="Cancelled"/>
    <s v="Pune"/>
    <s v="Grocery"/>
    <s v="SMB"/>
    <n v="53"/>
    <x v="3"/>
    <n v="1182"/>
    <n v="0.50336134453781511"/>
  </r>
  <r>
    <s v="ORD-00971"/>
    <d v="2024-05-11T00:00:00"/>
    <s v="CUST-0204"/>
    <x v="48"/>
    <s v="R005"/>
    <n v="4"/>
    <n v="5410"/>
    <n v="18.7"/>
    <n v="17593.32"/>
    <s v="Completed"/>
    <s v="Hyderabad"/>
    <s v="Sports"/>
    <s v="Retail"/>
    <n v="60"/>
    <x v="0"/>
    <n v="2265"/>
    <n v="0.58133086876155271"/>
  </r>
  <r>
    <s v="ORD-00972"/>
    <d v="2024-10-08T00:00:00"/>
    <s v="CUST-0040"/>
    <x v="54"/>
    <s v="R022"/>
    <n v="7"/>
    <n v="5080"/>
    <n v="6.5"/>
    <n v="33248.6"/>
    <s v="Completed"/>
    <s v="Chennai"/>
    <s v="Home"/>
    <s v="Retail"/>
    <n v="28"/>
    <x v="3"/>
    <n v="2459"/>
    <n v="0.51594488188976373"/>
  </r>
  <r>
    <s v="ORD-00973"/>
    <d v="2024-02-17T00:00:00"/>
    <s v="CUST-0060"/>
    <x v="7"/>
    <s v="R025"/>
    <n v="5"/>
    <n v="1430"/>
    <n v="19.8"/>
    <n v="5734.3"/>
    <s v="Completed"/>
    <s v="Pune"/>
    <s v="Electronics"/>
    <s v="Retail"/>
    <n v="39"/>
    <x v="2"/>
    <n v="861"/>
    <n v="0.39790209790209791"/>
  </r>
  <r>
    <s v="ORD-00974"/>
    <d v="2024-11-15T00:00:00"/>
    <s v="CUST-0017"/>
    <x v="29"/>
    <s v="R011"/>
    <n v="7"/>
    <n v="660"/>
    <n v="17.3"/>
    <n v="3820.74"/>
    <s v="Completed"/>
    <s v="Delhi"/>
    <s v="Home"/>
    <s v="SMB"/>
    <n v="38"/>
    <x v="1"/>
    <n v="329"/>
    <n v="0.50151515151515147"/>
  </r>
  <r>
    <s v="ORD-00975"/>
    <d v="2024-08-01T00:00:00"/>
    <s v="CUST-0093"/>
    <x v="36"/>
    <s v="R004"/>
    <n v="10"/>
    <n v="1540"/>
    <n v="17.5"/>
    <n v="12705"/>
    <s v="Completed"/>
    <s v="Pune"/>
    <s v="Beauty"/>
    <s v="Retail"/>
    <n v="36"/>
    <x v="0"/>
    <n v="647"/>
    <n v="0.57987012987012987"/>
  </r>
  <r>
    <s v="ORD-01662"/>
    <d v="2024-03-07T00:00:00"/>
    <s v="CUST-0068"/>
    <x v="45"/>
    <s v="R003"/>
    <n v="10"/>
    <n v="2210"/>
    <n v="24.1"/>
    <n v="16773.900000000001"/>
    <s v="Pending"/>
    <s v="Delhi"/>
    <s v="Grocery"/>
    <s v="SMB"/>
    <n v="48"/>
    <x v="0"/>
    <n v="1010"/>
    <n v="0.54298642533936647"/>
  </r>
  <r>
    <s v="ORD-00977"/>
    <d v="2024-08-15T00:00:00"/>
    <s v="CUST-0251"/>
    <x v="6"/>
    <s v="R022"/>
    <n v="4"/>
    <n v="960"/>
    <n v="13.4"/>
    <n v="3325.44"/>
    <s v="Completed"/>
    <s v="Mumbai"/>
    <s v="Sports"/>
    <s v="Retail"/>
    <n v="44"/>
    <x v="3"/>
    <n v="705"/>
    <n v="0.265625"/>
  </r>
  <r>
    <s v="ORD-00978"/>
    <d v="2024-12-02T00:00:00"/>
    <s v="CUST-0076"/>
    <x v="16"/>
    <s v="R022"/>
    <n v="8"/>
    <n v="3450"/>
    <n v="3.7"/>
    <n v="26578.799999999999"/>
    <s v="Completed"/>
    <s v="Mumbai"/>
    <s v="Beauty"/>
    <s v="Retail"/>
    <n v="38"/>
    <x v="3"/>
    <n v="2420"/>
    <n v="0.29855072463768118"/>
  </r>
  <r>
    <s v="ORD-00979"/>
    <d v="2024-07-08T00:00:00"/>
    <s v="CUST-9927"/>
    <x v="44"/>
    <s v="R005"/>
    <n v="6"/>
    <n v="2030"/>
    <n v="9.5"/>
    <n v="11022.9"/>
    <s v="Completed"/>
    <s v="Mumbai"/>
    <s v="Home"/>
    <s v=""/>
    <s v=""/>
    <x v="0"/>
    <n v="1143"/>
    <n v="0.43694581280788175"/>
  </r>
  <r>
    <s v="ORD-00980"/>
    <d v="2024-04-17T00:00:00"/>
    <s v="CUST-0135"/>
    <x v="55"/>
    <s v="R009"/>
    <n v="7"/>
    <n v="3450"/>
    <n v="28.2"/>
    <n v="17339.7"/>
    <s v="Completed"/>
    <s v="Pune"/>
    <s v="Apparel"/>
    <s v="SMB"/>
    <n v="24"/>
    <x v="1"/>
    <n v="1748"/>
    <n v="0.49333333333333335"/>
  </r>
  <r>
    <s v="ORD-00981"/>
    <d v="2024-08-27T00:00:00"/>
    <s v="CUST-0163"/>
    <x v="31"/>
    <s v="R011"/>
    <n v="7"/>
    <n v="3780"/>
    <n v="15.1"/>
    <n v="22464.54"/>
    <s v="Completed"/>
    <s v="Pune"/>
    <s v="Grocery"/>
    <s v="Retail"/>
    <n v="49"/>
    <x v="1"/>
    <n v="2436"/>
    <n v="0.35555555555555557"/>
  </r>
  <r>
    <s v="ORD-00947"/>
    <d v="2024-05-05T00:00:00"/>
    <s v="CUST-0107"/>
    <x v="28"/>
    <s v="R002"/>
    <n v="4"/>
    <n v="2760"/>
    <n v="14.8"/>
    <n v="9406.08"/>
    <s v="Completed"/>
    <s v="Pune"/>
    <s v="Grocery"/>
    <s v="Retail"/>
    <n v="50"/>
    <x v="0"/>
    <n v="1435"/>
    <n v="0.48007246376811596"/>
  </r>
  <r>
    <s v="ORD-00983"/>
    <d v="2024-02-05T00:00:00"/>
    <s v="CUST-0209"/>
    <x v="36"/>
    <s v="R029"/>
    <n v="4"/>
    <n v="1540"/>
    <n v="13.9"/>
    <n v="5303.76"/>
    <s v="Completed"/>
    <s v="Pune"/>
    <s v="Beauty"/>
    <s v="Retail"/>
    <n v="31"/>
    <x v="2"/>
    <n v="647"/>
    <n v="0.57987012987012987"/>
  </r>
  <r>
    <s v="ORD-00984"/>
    <d v="2024-05-26T00:00:00"/>
    <s v="CUST-0074"/>
    <x v="30"/>
    <s v="R007"/>
    <n v="2"/>
    <n v="3730"/>
    <n v="15.7"/>
    <n v="6288.78"/>
    <s v="Cancelled"/>
    <s v="Bengaluru"/>
    <s v="Home"/>
    <s v="Retail"/>
    <n v="27"/>
    <x v="0"/>
    <n v="2135"/>
    <n v="0.42761394101876676"/>
  </r>
  <r>
    <s v="ORD-00985"/>
    <d v="2024-10-12T00:00:00"/>
    <s v="CUST-0037"/>
    <x v="30"/>
    <s v="R027"/>
    <n v="4"/>
    <n v="3730"/>
    <n v="2.1"/>
    <n v="14606.68"/>
    <s v="Completed"/>
    <s v="Bengaluru"/>
    <s v="Home"/>
    <s v="Retail"/>
    <n v="52"/>
    <x v="2"/>
    <n v="2135"/>
    <n v="0.42761394101876676"/>
  </r>
  <r>
    <s v="ORD-00986"/>
    <d v="2024-06-14T00:00:00"/>
    <s v="CUST-0026"/>
    <x v="4"/>
    <s v="R013"/>
    <n v="1"/>
    <n v="3160"/>
    <n v="29.8"/>
    <n v="2218.3200000000002"/>
    <s v="Completed"/>
    <s v="Pune"/>
    <s v="Apparel"/>
    <s v="Retail"/>
    <n v="62"/>
    <x v="1"/>
    <n v="1886"/>
    <n v="0.4031645569620253"/>
  </r>
  <r>
    <s v="ORD-00987"/>
    <d v="2024-09-09T00:00:00"/>
    <s v="CUST-0151"/>
    <x v="52"/>
    <s v="R022"/>
    <n v="9"/>
    <n v="2290"/>
    <n v="8.3000000000000007"/>
    <n v="18899.37"/>
    <s v="Pending"/>
    <s v="Mumbai"/>
    <s v="Beauty"/>
    <s v="Retail"/>
    <n v="53"/>
    <x v="3"/>
    <n v="1219"/>
    <n v="0.46768558951965067"/>
  </r>
  <r>
    <s v="ORD-00988"/>
    <d v="2024-12-06T00:00:00"/>
    <s v="CUST-0210"/>
    <x v="35"/>
    <s v="R013"/>
    <n v="2"/>
    <n v="3870"/>
    <n v="5.2"/>
    <n v="7337.52"/>
    <s v="Completed"/>
    <s v="Pune"/>
    <s v="Electronics"/>
    <s v="Corporate"/>
    <n v="48"/>
    <x v="1"/>
    <n v="1559"/>
    <n v="0.59715762273901807"/>
  </r>
  <r>
    <s v="ORD-00989"/>
    <d v="2024-06-22T00:00:00"/>
    <s v="CUST-0192"/>
    <x v="25"/>
    <s v="R007"/>
    <n v="5"/>
    <n v="3570"/>
    <n v="19.899999999999999"/>
    <n v="14297.85"/>
    <s v="Completed"/>
    <s v="Bengaluru"/>
    <s v="Electronics"/>
    <s v="Retail"/>
    <n v="55"/>
    <x v="0"/>
    <n v="1665"/>
    <n v="0.53361344537815125"/>
  </r>
  <r>
    <s v="ORD-00990"/>
    <d v="2024-02-20T00:00:00"/>
    <s v="CUST-0161"/>
    <x v="23"/>
    <s v="R001"/>
    <n v="5"/>
    <n v="1010"/>
    <n v="2.2000000000000002"/>
    <n v="4938.8999999999996"/>
    <s v="Completed"/>
    <s v="Chennai"/>
    <s v="Sports"/>
    <s v="Retail"/>
    <n v="38"/>
    <x v="0"/>
    <n v="516"/>
    <n v="0.4891089108910891"/>
  </r>
  <r>
    <s v="ORD-00991"/>
    <d v="2024-01-18T00:00:00"/>
    <s v="CUST-0255"/>
    <x v="52"/>
    <s v="R004"/>
    <n v="10"/>
    <n v="2290"/>
    <n v="16.8"/>
    <n v="19052.8"/>
    <s v="Cancelled"/>
    <s v="Chennai"/>
    <s v="Beauty"/>
    <s v="Corporate"/>
    <n v="51"/>
    <x v="0"/>
    <n v="1219"/>
    <n v="0.46768558951965067"/>
  </r>
  <r>
    <s v="ORD-00992"/>
    <d v="2024-07-20T00:00:00"/>
    <s v="CUST-0027"/>
    <x v="39"/>
    <s v="R019"/>
    <n v="3"/>
    <n v="4610"/>
    <n v="13.2"/>
    <n v="12004.44"/>
    <s v="Pending"/>
    <s v="Hyderabad"/>
    <s v="Home"/>
    <s v="Corporate"/>
    <n v="52"/>
    <x v="3"/>
    <n v="1850"/>
    <n v="0.59869848156182215"/>
  </r>
  <r>
    <s v="ORD-00993"/>
    <d v="2024-03-05T00:00:00"/>
    <s v="CUST-0228"/>
    <x v="47"/>
    <s v="R003"/>
    <n v="1"/>
    <n v="2510"/>
    <n v="16.899999999999999"/>
    <n v="2085.81"/>
    <s v="Completed"/>
    <s v="Pune"/>
    <s v="Apparel"/>
    <s v="Corporate"/>
    <n v="37"/>
    <x v="0"/>
    <n v="1075"/>
    <n v="0.57171314741035861"/>
  </r>
  <r>
    <s v="ORD-00994"/>
    <d v="2024-03-16T00:00:00"/>
    <s v="CUST-0183"/>
    <x v="40"/>
    <s v="R009"/>
    <n v="1"/>
    <n v="3020"/>
    <n v="26.7"/>
    <n v="2213.66"/>
    <s v="Completed"/>
    <s v="Mumbai"/>
    <s v="Beauty"/>
    <s v="SMB"/>
    <n v="27"/>
    <x v="1"/>
    <n v="1626"/>
    <n v="0.46158940397350995"/>
  </r>
  <r>
    <s v="ORD-00995"/>
    <d v="2024-01-22T00:00:00"/>
    <s v="CUST-0026"/>
    <x v="14"/>
    <s v="R012"/>
    <n v="6"/>
    <n v="190"/>
    <n v="7.1"/>
    <n v="1059.06"/>
    <s v="Completed"/>
    <s v="Pune"/>
    <s v="Sports"/>
    <s v="Retail"/>
    <n v="62"/>
    <x v="1"/>
    <n v="147"/>
    <n v="0.22631578947368422"/>
  </r>
  <r>
    <s v="ORD-00996"/>
    <d v="2024-08-25T00:00:00"/>
    <s v="CUST-0211"/>
    <x v="44"/>
    <s v="R002"/>
    <n v="6"/>
    <n v="2030"/>
    <n v="13.5"/>
    <n v="10535.7"/>
    <s v="Cancelled"/>
    <s v="Bengaluru"/>
    <s v="Home"/>
    <s v="Retail"/>
    <n v="36"/>
    <x v="0"/>
    <n v="1143"/>
    <n v="0.43694581280788175"/>
  </r>
  <r>
    <s v="ORD-00997"/>
    <d v="2024-09-12T00:00:00"/>
    <s v="CUST-0190"/>
    <x v="13"/>
    <s v="R012"/>
    <n v="10"/>
    <n v="3250"/>
    <n v="8.6999999999999993"/>
    <n v="29672.5"/>
    <s v="Completed"/>
    <s v="Hyderabad"/>
    <s v="Home"/>
    <s v="Retail"/>
    <n v="52"/>
    <x v="1"/>
    <n v="1556"/>
    <n v="0.52123076923076928"/>
  </r>
  <r>
    <s v="ORD-00998"/>
    <d v="2024-01-08T00:00:00"/>
    <s v="CUST-0172"/>
    <x v="44"/>
    <s v="R029"/>
    <n v="9"/>
    <n v="2030"/>
    <n v="29.3"/>
    <n v="12916.89"/>
    <s v="Completed"/>
    <s v="Pune"/>
    <s v="Home"/>
    <s v="Retail"/>
    <n v="65"/>
    <x v="2"/>
    <n v="1143"/>
    <n v="0.43694581280788175"/>
  </r>
  <r>
    <s v="ORD-00999"/>
    <d v="2024-03-29T00:00:00"/>
    <s v="CUST-0272"/>
    <x v="50"/>
    <s v="R025"/>
    <n v="1"/>
    <n v="2380"/>
    <n v="12.9"/>
    <n v="2072.98"/>
    <s v="Completed"/>
    <s v="Mumbai"/>
    <s v="Grocery"/>
    <s v="SMB"/>
    <n v="47"/>
    <x v="2"/>
    <n v="1182"/>
    <n v="0.50336134453781511"/>
  </r>
  <r>
    <s v="ORD-01000"/>
    <d v="2024-08-17T00:00:00"/>
    <s v="CUST-0232"/>
    <x v="55"/>
    <s v="R024"/>
    <n v="10"/>
    <n v="3450"/>
    <n v="18.5"/>
    <n v="28117.5"/>
    <s v="Completed"/>
    <s v="Hyderabad"/>
    <s v="Apparel"/>
    <s v="Retail"/>
    <n v="38"/>
    <x v="2"/>
    <n v="1748"/>
    <n v="0.49333333333333335"/>
  </r>
  <r>
    <s v="ORD-01001"/>
    <d v="2024-07-27T00:00:00"/>
    <s v="CUST-0282"/>
    <x v="4"/>
    <s v="R002"/>
    <n v="10"/>
    <n v="3160"/>
    <n v="26.3"/>
    <n v="23289.200000000001"/>
    <s v="Completed"/>
    <s v="Hyderabad"/>
    <s v="Apparel"/>
    <s v="Corporate"/>
    <n v="29"/>
    <x v="0"/>
    <n v="1886"/>
    <n v="0.4031645569620253"/>
  </r>
  <r>
    <s v="ORD-01002"/>
    <d v="2024-08-27T00:00:00"/>
    <s v="CUST-0164"/>
    <x v="8"/>
    <s v="R026"/>
    <n v="10"/>
    <n v="5490"/>
    <n v="22.7"/>
    <n v="42437.7"/>
    <s v="Completed"/>
    <s v="Chennai"/>
    <s v="Home"/>
    <s v="Retail"/>
    <n v="60"/>
    <x v="2"/>
    <n v="2549"/>
    <n v="0.53570127504553733"/>
  </r>
  <r>
    <s v="ORD-01003"/>
    <d v="2024-09-28T00:00:00"/>
    <s v="CUST-0212"/>
    <x v="27"/>
    <s v="R006"/>
    <n v="8"/>
    <n v="2860"/>
    <n v="14.3"/>
    <n v="19608.16"/>
    <s v="Completed"/>
    <s v="Chennai"/>
    <s v="Sports"/>
    <s v="SMB"/>
    <n v="46"/>
    <x v="0"/>
    <n v="2028"/>
    <n v="0.29090909090909089"/>
  </r>
  <r>
    <s v="ORD-01004"/>
    <d v="2024-05-04T00:00:00"/>
    <s v="CUST-0234"/>
    <x v="51"/>
    <s v="R011"/>
    <n v="1"/>
    <n v="960"/>
    <n v="11.9"/>
    <n v="845.76"/>
    <s v="Completed"/>
    <s v="Bengaluru"/>
    <s v="Beauty"/>
    <s v="Retail"/>
    <n v="34"/>
    <x v="1"/>
    <n v="675"/>
    <n v="0.296875"/>
  </r>
  <r>
    <s v="ORD-01005"/>
    <d v="2024-05-18T00:00:00"/>
    <s v="CUST-0292"/>
    <x v="18"/>
    <s v="R007"/>
    <n v="3"/>
    <n v="1080"/>
    <n v="26"/>
    <n v="2397.6"/>
    <s v="Completed"/>
    <s v="Bengaluru"/>
    <s v="Home"/>
    <s v="Retail"/>
    <n v="32"/>
    <x v="0"/>
    <n v="519"/>
    <n v="0.51944444444444449"/>
  </r>
  <r>
    <s v="ORD-01006"/>
    <d v="2024-10-20T00:00:00"/>
    <s v="CUST-0018"/>
    <x v="27"/>
    <s v="R001"/>
    <n v="10"/>
    <n v="2860"/>
    <n v="13.1"/>
    <n v="24853.4"/>
    <s v="Refunded"/>
    <s v="Pune"/>
    <s v="Sports"/>
    <s v="SMB"/>
    <n v="54"/>
    <x v="0"/>
    <n v="2028"/>
    <n v="0.29090909090909089"/>
  </r>
  <r>
    <s v="ORD-01007"/>
    <d v="2024-12-04T00:00:00"/>
    <s v="CUST-0220"/>
    <x v="32"/>
    <s v="R001"/>
    <n v="3"/>
    <n v="3640"/>
    <n v="18.2"/>
    <n v="8932.56"/>
    <s v="Completed"/>
    <s v="Chennai"/>
    <s v="Apparel"/>
    <s v="Retail"/>
    <n v="34"/>
    <x v="0"/>
    <n v="2611"/>
    <n v="0.28269230769230769"/>
  </r>
  <r>
    <s v="ORD-01008"/>
    <d v="2024-04-23T00:00:00"/>
    <s v="CUST-0064"/>
    <x v="20"/>
    <s v="R018"/>
    <n v="3"/>
    <n v="2720"/>
    <n v="3.6"/>
    <n v="7866.24"/>
    <s v="Completed"/>
    <s v="Hyderabad"/>
    <s v="Apparel"/>
    <s v="SMB"/>
    <n v="40"/>
    <x v="3"/>
    <n v="1962"/>
    <n v="0.2786764705882353"/>
  </r>
  <r>
    <s v="ORD-01009"/>
    <d v="2024-12-04T00:00:00"/>
    <s v="CUST-0077"/>
    <x v="10"/>
    <s v="R008"/>
    <n v="4"/>
    <n v="2270"/>
    <n v="18.399999999999999"/>
    <n v="7409.28"/>
    <s v="Completed"/>
    <s v="Hyderabad"/>
    <s v="Grocery"/>
    <s v="SMB"/>
    <n v="48"/>
    <x v="0"/>
    <n v="1203"/>
    <n v="0.47004405286343615"/>
  </r>
  <r>
    <s v="ORD-01010"/>
    <d v="2024-07-10T00:00:00"/>
    <s v="CUST-0229"/>
    <x v="38"/>
    <s v="R029"/>
    <n v="5"/>
    <n v="1220"/>
    <n v="13.9"/>
    <n v="5252.1"/>
    <s v="Completed"/>
    <s v="Hyderabad"/>
    <s v="Electronics"/>
    <s v="SMB"/>
    <n v="25"/>
    <x v="2"/>
    <n v="517"/>
    <n v="0.57622950819672136"/>
  </r>
  <r>
    <s v="ORD-01011"/>
    <d v="2024-08-26T00:00:00"/>
    <s v="CUST-0129"/>
    <x v="11"/>
    <s v="R015"/>
    <n v="8"/>
    <n v="2640"/>
    <n v="17.3"/>
    <n v="17466.240000000002"/>
    <s v="Completed"/>
    <s v="Hyderabad"/>
    <s v="Electronics"/>
    <s v="Retail"/>
    <n v="29"/>
    <x v="1"/>
    <n v="1149"/>
    <n v="0.56477272727272732"/>
  </r>
  <r>
    <s v="ORD-01012"/>
    <d v="2024-07-27T00:00:00"/>
    <s v="CUST-0145"/>
    <x v="9"/>
    <s v="R015"/>
    <n v="1"/>
    <n v="970"/>
    <n v="28"/>
    <n v="698.4"/>
    <s v="Cancelled"/>
    <s v="Bengaluru"/>
    <s v="Grocery"/>
    <s v="SMB"/>
    <n v="44"/>
    <x v="1"/>
    <n v="434"/>
    <n v="0.5525773195876289"/>
  </r>
  <r>
    <s v="ORD-01013"/>
    <d v="2024-03-07T00:00:00"/>
    <s v="CUST-0258"/>
    <x v="30"/>
    <s v="R025"/>
    <n v="8"/>
    <n v="3730"/>
    <n v="2.1"/>
    <n v="29213.360000000001"/>
    <s v="Refunded"/>
    <s v="Pune"/>
    <s v="Home"/>
    <s v="Retail"/>
    <n v="44"/>
    <x v="2"/>
    <n v="2135"/>
    <n v="0.42761394101876676"/>
  </r>
  <r>
    <s v="ORD-01014"/>
    <d v="2024-11-02T00:00:00"/>
    <s v="CUST-0209"/>
    <x v="9"/>
    <s v="R024"/>
    <n v="7"/>
    <n v="970"/>
    <n v="25.5"/>
    <n v="5058.55"/>
    <s v="Completed"/>
    <s v="Pune"/>
    <s v="Grocery"/>
    <s v="Retail"/>
    <n v="31"/>
    <x v="2"/>
    <n v="434"/>
    <n v="0.5525773195876289"/>
  </r>
  <r>
    <s v="ORD-01015"/>
    <d v="2024-01-27T00:00:00"/>
    <s v="CUST-0131"/>
    <x v="25"/>
    <s v="R022"/>
    <n v="6"/>
    <n v="3570"/>
    <n v="9.9"/>
    <n v="19299.419999999998"/>
    <s v="Completed"/>
    <s v="Delhi"/>
    <s v="Electronics"/>
    <s v="SMB"/>
    <n v="28"/>
    <x v="3"/>
    <n v="1665"/>
    <n v="0.53361344537815125"/>
  </r>
  <r>
    <s v="ORD-01016"/>
    <d v="2024-08-20T00:00:00"/>
    <s v="CUST-0276"/>
    <x v="9"/>
    <s v="R016"/>
    <n v="6"/>
    <n v="970"/>
    <n v="19.600000000000001"/>
    <n v="4679.28"/>
    <s v="Completed"/>
    <s v="Chennai"/>
    <s v="Grocery"/>
    <s v="Retail"/>
    <n v="26"/>
    <x v="1"/>
    <n v="434"/>
    <n v="0.5525773195876289"/>
  </r>
  <r>
    <s v="ORD-01017"/>
    <d v="2024-09-19T00:00:00"/>
    <s v="CUST-0283"/>
    <x v="56"/>
    <s v="R011"/>
    <n v="8"/>
    <n v="3780"/>
    <n v="26.5"/>
    <n v="22226.400000000001"/>
    <s v="Completed"/>
    <s v="Delhi"/>
    <s v="Sports"/>
    <s v="SMB"/>
    <n v="50"/>
    <x v="1"/>
    <n v="1860"/>
    <n v="0.50793650793650791"/>
  </r>
  <r>
    <s v="ORD-01018"/>
    <d v="2024-08-24T00:00:00"/>
    <s v="CUST-0195"/>
    <x v="15"/>
    <s v="R011"/>
    <n v="6"/>
    <n v="2400"/>
    <n v="1.4"/>
    <n v="14198.4"/>
    <s v="Completed"/>
    <s v="Bengaluru"/>
    <s v="Sports"/>
    <s v="Retail"/>
    <n v="28"/>
    <x v="1"/>
    <n v="974"/>
    <n v="0.59416666666666662"/>
  </r>
  <r>
    <s v="ORD-01019"/>
    <d v="2024-07-13T00:00:00"/>
    <s v="CUST-0181"/>
    <x v="13"/>
    <s v="R021"/>
    <n v="10"/>
    <n v="3250"/>
    <n v="19.3"/>
    <n v="26227.5"/>
    <s v="Completed"/>
    <s v="Delhi"/>
    <s v="Home"/>
    <s v="SMB"/>
    <n v="38"/>
    <x v="3"/>
    <n v="1556"/>
    <n v="0.52123076923076928"/>
  </r>
  <r>
    <s v="ORD-01020"/>
    <d v="2024-02-14T00:00:00"/>
    <s v="CUST-0149"/>
    <x v="28"/>
    <s v="R014"/>
    <n v="7"/>
    <n v="2760"/>
    <n v="23.6"/>
    <n v="14760.48"/>
    <s v="Pending"/>
    <s v="Hyderabad"/>
    <s v="Grocery"/>
    <s v="Retail"/>
    <n v="44"/>
    <x v="1"/>
    <n v="1435"/>
    <n v="0.48007246376811596"/>
  </r>
  <r>
    <s v="ORD-01021"/>
    <d v="2024-06-20T00:00:00"/>
    <s v="CUST-0152"/>
    <x v="25"/>
    <s v="R001"/>
    <n v="3"/>
    <n v="3570"/>
    <n v="26.3"/>
    <n v="7893.27"/>
    <s v="Completed"/>
    <s v="Bengaluru"/>
    <s v="Electronics"/>
    <s v="SMB"/>
    <n v="64"/>
    <x v="0"/>
    <n v="1665"/>
    <n v="0.53361344537815125"/>
  </r>
  <r>
    <s v="ORD-01022"/>
    <d v="2024-04-10T00:00:00"/>
    <s v="CUST-0085"/>
    <x v="31"/>
    <s v="R015"/>
    <n v="4"/>
    <n v="3780"/>
    <n v="10.1"/>
    <n v="13592.88"/>
    <s v="Completed"/>
    <s v="Chennai"/>
    <s v="Grocery"/>
    <s v="Retail"/>
    <n v="26"/>
    <x v="1"/>
    <n v="2436"/>
    <n v="0.35555555555555557"/>
  </r>
  <r>
    <s v="ORD-01023"/>
    <d v="2024-11-04T00:00:00"/>
    <s v="CUST-0231"/>
    <x v="7"/>
    <s v="R019"/>
    <n v="10"/>
    <n v="1430"/>
    <n v="3.7"/>
    <n v="13770.9"/>
    <s v="Completed"/>
    <s v="Chennai"/>
    <s v="Electronics"/>
    <s v="Retail"/>
    <n v="61"/>
    <x v="3"/>
    <n v="861"/>
    <n v="0.39790209790209791"/>
  </r>
  <r>
    <s v="ORD-01024"/>
    <d v="2024-04-29T00:00:00"/>
    <s v="CUST-0044"/>
    <x v="34"/>
    <s v="R011"/>
    <n v="6"/>
    <n v="2270"/>
    <n v="7.9"/>
    <n v="12544.02"/>
    <s v="Refunded"/>
    <s v="Hyderabad"/>
    <s v="Grocery"/>
    <s v="SMB"/>
    <n v="29"/>
    <x v="1"/>
    <n v="1412"/>
    <n v="0.37797356828193834"/>
  </r>
  <r>
    <s v="ORD-01025"/>
    <d v="2024-04-24T00:00:00"/>
    <s v="CUST-0027"/>
    <x v="23"/>
    <s v="R013"/>
    <n v="1"/>
    <n v="1010"/>
    <n v="6.9"/>
    <n v="940.31"/>
    <s v="Pending"/>
    <s v="Hyderabad"/>
    <s v="Sports"/>
    <s v="Corporate"/>
    <n v="52"/>
    <x v="1"/>
    <n v="516"/>
    <n v="0.4891089108910891"/>
  </r>
  <r>
    <s v="ORD-01026"/>
    <d v="2024-04-29T00:00:00"/>
    <s v="CUST-0101"/>
    <x v="27"/>
    <s v="R014"/>
    <n v="2"/>
    <n v="2860"/>
    <n v="20.100000000000001"/>
    <n v="4570.28"/>
    <s v="Completed"/>
    <s v="Hyderabad"/>
    <s v="Sports"/>
    <s v="SMB"/>
    <n v="40"/>
    <x v="1"/>
    <n v="2028"/>
    <n v="0.29090909090909089"/>
  </r>
  <r>
    <s v="ORD-01027"/>
    <d v="2024-06-18T00:00:00"/>
    <s v="CUST-0123"/>
    <x v="12"/>
    <s v="R019"/>
    <n v="9"/>
    <n v="2600"/>
    <n v="15.9"/>
    <n v="19679.400000000001"/>
    <s v="Cancelled"/>
    <s v="Chennai"/>
    <s v="Electronics"/>
    <s v="Corporate"/>
    <n v="44"/>
    <x v="3"/>
    <n v="1052"/>
    <n v="0.5953846153846154"/>
  </r>
  <r>
    <s v="ORD-01028"/>
    <d v="2024-04-27T00:00:00"/>
    <s v="CUST-0124"/>
    <x v="2"/>
    <s v="R024"/>
    <n v="10"/>
    <n v="470"/>
    <n v="23.1"/>
    <n v="3614.3"/>
    <s v="Pending"/>
    <s v="Pune"/>
    <s v="Sports"/>
    <s v="Retail"/>
    <n v="57"/>
    <x v="2"/>
    <n v="302"/>
    <n v="0.35744680851063831"/>
  </r>
  <r>
    <s v="ORD-01029"/>
    <d v="2024-07-22T00:00:00"/>
    <s v="CUST-0159"/>
    <x v="29"/>
    <s v="R013"/>
    <n v="10"/>
    <n v="660"/>
    <n v="9.4"/>
    <n v="5979.6"/>
    <s v="Completed"/>
    <s v="Hyderabad"/>
    <s v="Home"/>
    <s v="Retail"/>
    <n v="32"/>
    <x v="1"/>
    <n v="329"/>
    <n v="0.50151515151515147"/>
  </r>
  <r>
    <s v="ORD-01030"/>
    <d v="2024-01-16T00:00:00"/>
    <s v="CUST-0087"/>
    <x v="38"/>
    <s v="R023"/>
    <n v="5"/>
    <n v="1220"/>
    <n v="23.3"/>
    <n v="4678.7"/>
    <s v="Completed"/>
    <s v="Pune"/>
    <s v="Electronics"/>
    <s v="SMB"/>
    <n v="49"/>
    <x v="3"/>
    <n v="517"/>
    <n v="0.57622950819672136"/>
  </r>
  <r>
    <s v="ORD-01031"/>
    <d v="2024-01-03T00:00:00"/>
    <s v="CUST-0295"/>
    <x v="13"/>
    <s v="R011"/>
    <n v="9"/>
    <n v="3250"/>
    <n v="19.600000000000001"/>
    <n v="23517"/>
    <s v="Pending"/>
    <s v="Delhi"/>
    <s v="Home"/>
    <s v="SMB"/>
    <n v="48"/>
    <x v="1"/>
    <n v="1556"/>
    <n v="0.52123076923076928"/>
  </r>
  <r>
    <s v="ORD-01032"/>
    <d v="2024-09-07T00:00:00"/>
    <s v="CUST-0211"/>
    <x v="43"/>
    <s v="R018"/>
    <n v="7"/>
    <n v="620"/>
    <n v="29"/>
    <n v="3081.4"/>
    <s v="Completed"/>
    <s v="Bengaluru"/>
    <s v="Apparel"/>
    <s v="Retail"/>
    <n v="36"/>
    <x v="3"/>
    <n v="396"/>
    <n v="0.36129032258064514"/>
  </r>
  <r>
    <s v="ORD-01033"/>
    <d v="2024-06-10T00:00:00"/>
    <s v="CUST-0265"/>
    <x v="37"/>
    <s v="R006"/>
    <n v="9"/>
    <n v="4070"/>
    <n v="16.2"/>
    <n v="30695.94"/>
    <s v="Completed"/>
    <s v="Chennai"/>
    <s v="Grocery"/>
    <s v="Retail"/>
    <n v="49"/>
    <x v="0"/>
    <n v="2027"/>
    <n v="0.50196560196560192"/>
  </r>
  <r>
    <s v="ORD-01034"/>
    <d v="2024-02-29T00:00:00"/>
    <s v="CUST-0252"/>
    <x v="4"/>
    <s v="R007"/>
    <n v="8"/>
    <n v="3160"/>
    <n v="23.8"/>
    <n v="19263.36"/>
    <s v="Completed"/>
    <s v="Bengaluru"/>
    <s v="Apparel"/>
    <s v="Retail"/>
    <n v="27"/>
    <x v="0"/>
    <n v="1886"/>
    <n v="0.4031645569620253"/>
  </r>
  <r>
    <s v="ORD-01035"/>
    <d v="2024-05-10T00:00:00"/>
    <s v="CUST-0180"/>
    <x v="45"/>
    <s v="R022"/>
    <n v="3"/>
    <n v="2210"/>
    <n v="29.7"/>
    <n v="4660.8900000000003"/>
    <s v="Completed"/>
    <s v="Chennai"/>
    <s v="Grocery"/>
    <s v="Retail"/>
    <n v="36"/>
    <x v="3"/>
    <n v="1010"/>
    <n v="0.54298642533936647"/>
  </r>
  <r>
    <s v="ORD-01036"/>
    <d v="2024-03-10T00:00:00"/>
    <s v="CUST-0231"/>
    <x v="2"/>
    <s v="R025"/>
    <n v="9"/>
    <n v="470"/>
    <n v="27.1"/>
    <n v="3083.67"/>
    <s v="Completed"/>
    <s v="Chennai"/>
    <s v="Sports"/>
    <s v="Retail"/>
    <n v="61"/>
    <x v="2"/>
    <n v="302"/>
    <n v="0.35744680851063831"/>
  </r>
  <r>
    <s v="ORD-01037"/>
    <d v="2024-11-26T00:00:00"/>
    <s v="CUST-0161"/>
    <x v="5"/>
    <s v="R020"/>
    <n v="6"/>
    <n v="370"/>
    <n v="5.4"/>
    <n v="2100.12"/>
    <s v="Completed"/>
    <s v="Chennai"/>
    <s v="Home"/>
    <s v="Retail"/>
    <n v="38"/>
    <x v="3"/>
    <n v="288"/>
    <n v="0.22162162162162163"/>
  </r>
  <r>
    <s v="ORD-01038"/>
    <d v="2024-07-23T00:00:00"/>
    <s v="CUST-0249"/>
    <x v="56"/>
    <s v="R018"/>
    <n v="10"/>
    <n v="3780"/>
    <n v="21.5"/>
    <n v="29673"/>
    <s v="Pending"/>
    <s v="Mumbai"/>
    <s v="Sports"/>
    <s v="Retail"/>
    <n v="44"/>
    <x v="3"/>
    <n v="1860"/>
    <n v="0.50793650793650791"/>
  </r>
  <r>
    <s v="ORD-01039"/>
    <d v="2024-10-13T00:00:00"/>
    <s v="CUST-0048"/>
    <x v="58"/>
    <s v="R009"/>
    <n v="4"/>
    <n v="6940"/>
    <n v="3.9"/>
    <n v="26677.360000000001"/>
    <s v="Cancelled"/>
    <s v="Delhi"/>
    <s v="Sports"/>
    <s v="Retail"/>
    <n v="59"/>
    <x v="1"/>
    <n v="2827"/>
    <n v="0.5926512968299712"/>
  </r>
  <r>
    <s v="ORD-01040"/>
    <d v="2024-07-03T00:00:00"/>
    <s v="CUST-0068"/>
    <x v="30"/>
    <s v="R022"/>
    <n v="3"/>
    <n v="3730"/>
    <n v="20.7"/>
    <n v="8873.67"/>
    <s v="Completed"/>
    <s v="Delhi"/>
    <s v="Home"/>
    <s v="SMB"/>
    <n v="48"/>
    <x v="3"/>
    <n v="2135"/>
    <n v="0.42761394101876676"/>
  </r>
  <r>
    <s v="ORD-01041"/>
    <d v="2024-01-09T00:00:00"/>
    <s v="CUST-0213"/>
    <x v="54"/>
    <s v="R025"/>
    <n v="8"/>
    <n v="5080"/>
    <n v="6.2"/>
    <n v="38120.32"/>
    <s v="Completed"/>
    <s v="Mumbai"/>
    <s v="Home"/>
    <s v="Retail"/>
    <n v="37"/>
    <x v="2"/>
    <n v="2459"/>
    <n v="0.51594488188976373"/>
  </r>
  <r>
    <s v="ORD-01042"/>
    <d v="2024-06-12T00:00:00"/>
    <s v="CUST-0159"/>
    <x v="48"/>
    <s v="R001"/>
    <n v="5"/>
    <n v="5410"/>
    <n v="5.2"/>
    <n v="25643.4"/>
    <s v="Completed"/>
    <s v="Hyderabad"/>
    <s v="Sports"/>
    <s v="Retail"/>
    <n v="32"/>
    <x v="0"/>
    <n v="2265"/>
    <n v="0.58133086876155271"/>
  </r>
  <r>
    <s v="ORD-01043"/>
    <d v="2024-04-22T00:00:00"/>
    <s v="CUST-0298"/>
    <x v="20"/>
    <s v="R026"/>
    <n v="6"/>
    <n v="2720"/>
    <n v="29.8"/>
    <n v="11456.64"/>
    <s v="Pending"/>
    <s v="Delhi"/>
    <s v="Apparel"/>
    <s v="Retail"/>
    <n v="44"/>
    <x v="2"/>
    <n v="1962"/>
    <n v="0.2786764705882353"/>
  </r>
  <r>
    <s v="ORD-01044"/>
    <d v="2024-06-25T00:00:00"/>
    <s v="CUST-0145"/>
    <x v="38"/>
    <s v="R010"/>
    <n v="1"/>
    <n v="1220"/>
    <n v="22.6"/>
    <n v="944.28"/>
    <s v="Completed"/>
    <s v="Bengaluru"/>
    <s v="Electronics"/>
    <s v="SMB"/>
    <n v="44"/>
    <x v="1"/>
    <n v="517"/>
    <n v="0.57622950819672136"/>
  </r>
  <r>
    <s v="ORD-01045"/>
    <d v="2024-12-14T00:00:00"/>
    <s v="CUST-0015"/>
    <x v="24"/>
    <s v="R008"/>
    <n v="10"/>
    <n v="4880"/>
    <n v="7.3"/>
    <n v="45237.599999999999"/>
    <s v="Completed"/>
    <s v="Chennai"/>
    <s v="Beauty"/>
    <s v="Retail"/>
    <n v="31"/>
    <x v="0"/>
    <n v="2768"/>
    <n v="0.43278688524590164"/>
  </r>
  <r>
    <s v="ORD-01046"/>
    <d v="2024-06-07T00:00:00"/>
    <s v="CUST-0054"/>
    <x v="34"/>
    <s v="R021"/>
    <n v="10"/>
    <n v="2270"/>
    <n v="1.6"/>
    <n v="22336.799999999999"/>
    <s v="Completed"/>
    <s v="Mumbai"/>
    <s v="Grocery"/>
    <s v="Corporate"/>
    <n v="62"/>
    <x v="3"/>
    <n v="1412"/>
    <n v="0.37797356828193834"/>
  </r>
  <r>
    <s v="ORD-01047"/>
    <d v="2024-10-24T00:00:00"/>
    <s v="CUST-0150"/>
    <x v="9"/>
    <s v="R003"/>
    <n v="8"/>
    <n v="970"/>
    <n v="13.1"/>
    <n v="6743.44"/>
    <s v="Completed"/>
    <s v="Pune"/>
    <s v="Grocery"/>
    <s v="SMB"/>
    <n v="53"/>
    <x v="0"/>
    <n v="434"/>
    <n v="0.5525773195876289"/>
  </r>
  <r>
    <s v="ORD-01048"/>
    <d v="2024-12-20T00:00:00"/>
    <s v="CUST-0096"/>
    <x v="50"/>
    <s v="R012"/>
    <n v="7"/>
    <n v="2380"/>
    <n v="10.6"/>
    <n v="14894.04"/>
    <s v="Cancelled"/>
    <s v="Delhi"/>
    <s v="Grocery"/>
    <s v="Corporate"/>
    <n v="27"/>
    <x v="1"/>
    <n v="1182"/>
    <n v="0.50336134453781511"/>
  </r>
  <r>
    <s v="ORD-01049"/>
    <d v="2024-07-15T00:00:00"/>
    <s v="CUST-0288"/>
    <x v="0"/>
    <s v="R016"/>
    <n v="6"/>
    <n v="3620"/>
    <n v="21.3"/>
    <n v="17093.64"/>
    <s v="Cancelled"/>
    <s v="Hyderabad"/>
    <s v="Apparel"/>
    <s v="Corporate"/>
    <n v="25"/>
    <x v="1"/>
    <n v="2509"/>
    <n v="0.3069060773480663"/>
  </r>
  <r>
    <s v="ORD-01050"/>
    <d v="2024-09-20T00:00:00"/>
    <s v="CUST-0048"/>
    <x v="37"/>
    <s v="R027"/>
    <n v="3"/>
    <n v="4070"/>
    <n v="8.1999999999999993"/>
    <n v="11208.78"/>
    <s v="Cancelled"/>
    <s v="Delhi"/>
    <s v="Grocery"/>
    <s v="Retail"/>
    <n v="59"/>
    <x v="2"/>
    <n v="2027"/>
    <n v="0.50196560196560192"/>
  </r>
  <r>
    <s v="ORD-01051"/>
    <d v="2024-10-13T00:00:00"/>
    <s v="CUST-0104"/>
    <x v="26"/>
    <s v="R026"/>
    <n v="8"/>
    <n v="5100"/>
    <n v="26.9"/>
    <n v="29824.799999999999"/>
    <s v="Completed"/>
    <s v="Hyderabad"/>
    <s v="Beauty"/>
    <s v="Corporate"/>
    <n v="43"/>
    <x v="2"/>
    <n v="2237"/>
    <n v="0.56137254901960787"/>
  </r>
  <r>
    <s v="ORD-01052"/>
    <d v="2024-01-05T00:00:00"/>
    <s v="CUST-0054"/>
    <x v="40"/>
    <s v="R017"/>
    <n v="3"/>
    <n v="3020"/>
    <n v="18.5"/>
    <n v="7383.9"/>
    <s v="Cancelled"/>
    <s v="Mumbai"/>
    <s v="Beauty"/>
    <s v="Corporate"/>
    <n v="62"/>
    <x v="3"/>
    <n v="1626"/>
    <n v="0.46158940397350995"/>
  </r>
  <r>
    <s v="ORD-01053"/>
    <d v="2024-09-29T00:00:00"/>
    <s v="CUST-0158"/>
    <x v="51"/>
    <s v="R002"/>
    <n v="8"/>
    <n v="960"/>
    <n v="7.1"/>
    <n v="7134.72"/>
    <s v="Completed"/>
    <s v="Pune"/>
    <s v="Beauty"/>
    <s v="Corporate"/>
    <n v="42"/>
    <x v="0"/>
    <n v="675"/>
    <n v="0.296875"/>
  </r>
  <r>
    <s v="ORD-01054"/>
    <d v="2024-04-01T00:00:00"/>
    <s v="CUST-0231"/>
    <x v="54"/>
    <s v="R015"/>
    <n v="8"/>
    <n v="5080"/>
    <n v="6.2"/>
    <n v="38120.32"/>
    <s v="Completed"/>
    <s v="Chennai"/>
    <s v="Home"/>
    <s v="Retail"/>
    <n v="61"/>
    <x v="1"/>
    <n v="2459"/>
    <n v="0.51594488188976373"/>
  </r>
  <r>
    <s v="ORD-01055"/>
    <d v="2024-05-24T00:00:00"/>
    <s v="CUST-0277"/>
    <x v="33"/>
    <s v="R010"/>
    <n v="6"/>
    <n v="6080"/>
    <n v="25.8"/>
    <n v="27068.16"/>
    <s v="Completed"/>
    <s v="Chennai"/>
    <s v="Beauty"/>
    <s v="Corporate"/>
    <n v="34"/>
    <x v="1"/>
    <n v="2617"/>
    <n v="0.56957236842105263"/>
  </r>
  <r>
    <s v="ORD-01056"/>
    <d v="2024-09-09T00:00:00"/>
    <s v="CUST-0232"/>
    <x v="36"/>
    <s v="R010"/>
    <n v="5"/>
    <n v="1540"/>
    <n v="24.6"/>
    <n v="5805.8"/>
    <s v="Completed"/>
    <s v="Hyderabad"/>
    <s v="Beauty"/>
    <s v="Retail"/>
    <n v="38"/>
    <x v="1"/>
    <n v="647"/>
    <n v="0.57987012987012987"/>
  </r>
  <r>
    <s v="ORD-01057"/>
    <d v="2024-04-22T00:00:00"/>
    <s v="CUST-0074"/>
    <x v="23"/>
    <s v="R024"/>
    <n v="4"/>
    <n v="1010"/>
    <n v="2.9"/>
    <n v="3922.84"/>
    <s v="Pending"/>
    <s v="Bengaluru"/>
    <s v="Sports"/>
    <s v="Retail"/>
    <n v="27"/>
    <x v="2"/>
    <n v="516"/>
    <n v="0.4891089108910891"/>
  </r>
  <r>
    <s v="ORD-01058"/>
    <d v="2024-10-21T00:00:00"/>
    <s v="CUST-0068"/>
    <x v="51"/>
    <s v="R026"/>
    <n v="5"/>
    <n v="960"/>
    <n v="11.4"/>
    <n v="4252.8"/>
    <s v="Completed"/>
    <s v="Delhi"/>
    <s v="Beauty"/>
    <s v="SMB"/>
    <n v="48"/>
    <x v="2"/>
    <n v="675"/>
    <n v="0.296875"/>
  </r>
  <r>
    <s v="ORD-01059"/>
    <d v="2024-08-20T00:00:00"/>
    <s v="CUST-0152"/>
    <x v="36"/>
    <s v="R010"/>
    <n v="1"/>
    <n v="1540"/>
    <n v="5.6"/>
    <n v="1453.76"/>
    <s v="Completed"/>
    <s v="Bengaluru"/>
    <s v="Beauty"/>
    <s v="SMB"/>
    <n v="64"/>
    <x v="1"/>
    <n v="647"/>
    <n v="0.57987012987012987"/>
  </r>
  <r>
    <s v="ORD-01060"/>
    <d v="2024-04-15T00:00:00"/>
    <s v="CUST-0046"/>
    <x v="22"/>
    <s v="R019"/>
    <n v="9"/>
    <n v="3350"/>
    <n v="2.1"/>
    <n v="29516.85"/>
    <s v="Completed"/>
    <s v="Delhi"/>
    <s v="Beauty"/>
    <s v="SMB"/>
    <n v="45"/>
    <x v="3"/>
    <n v="1728"/>
    <n v="0.48417910447761192"/>
  </r>
  <r>
    <s v="ORD-01061"/>
    <d v="2024-02-14T00:00:00"/>
    <s v="CUST-0201"/>
    <x v="17"/>
    <s v="R021"/>
    <n v="7"/>
    <n v="3450"/>
    <n v="4.7"/>
    <n v="23014.95"/>
    <s v="Completed"/>
    <s v="Hyderabad"/>
    <s v="Sports"/>
    <s v="Retail"/>
    <n v="31"/>
    <x v="3"/>
    <n v="2467"/>
    <n v="0.28492753623188405"/>
  </r>
  <r>
    <s v="ORD-01062"/>
    <d v="2024-10-29T00:00:00"/>
    <s v="CUST-0191"/>
    <x v="6"/>
    <s v="R019"/>
    <n v="10"/>
    <n v="960"/>
    <n v="17.899999999999999"/>
    <n v="7881.6"/>
    <s v="Completed"/>
    <s v="Hyderabad"/>
    <s v="Sports"/>
    <s v="SMB"/>
    <n v="43"/>
    <x v="3"/>
    <n v="705"/>
    <n v="0.265625"/>
  </r>
  <r>
    <s v="ORD-01063"/>
    <d v="2024-11-21T00:00:00"/>
    <s v="CUST-0192"/>
    <x v="32"/>
    <s v="R014"/>
    <n v="1"/>
    <n v="3640"/>
    <n v="8.8000000000000007"/>
    <n v="3319.68"/>
    <s v="Completed"/>
    <s v="Bengaluru"/>
    <s v="Apparel"/>
    <s v="Retail"/>
    <n v="55"/>
    <x v="1"/>
    <n v="2611"/>
    <n v="0.28269230769230769"/>
  </r>
  <r>
    <s v="ORD-01064"/>
    <d v="2024-03-27T00:00:00"/>
    <s v="CUST-0074"/>
    <x v="45"/>
    <s v="R017"/>
    <n v="1"/>
    <n v="2210"/>
    <n v="10.7"/>
    <n v="1973.53"/>
    <s v="Completed"/>
    <s v="Bengaluru"/>
    <s v="Grocery"/>
    <s v="Retail"/>
    <n v="27"/>
    <x v="3"/>
    <n v="1010"/>
    <n v="0.54298642533936647"/>
  </r>
  <r>
    <s v="ORD-01065"/>
    <d v="2024-01-27T00:00:00"/>
    <s v="CUST-0071"/>
    <x v="30"/>
    <s v="R005"/>
    <n v="2"/>
    <n v="3730"/>
    <n v="13.9"/>
    <n v="6423.06"/>
    <s v="Completed"/>
    <s v="Delhi"/>
    <s v="Home"/>
    <s v="Corporate"/>
    <n v="46"/>
    <x v="0"/>
    <n v="2135"/>
    <n v="0.42761394101876676"/>
  </r>
  <r>
    <s v="ORD-01066"/>
    <d v="2024-09-07T00:00:00"/>
    <s v="CUST-0210"/>
    <x v="48"/>
    <s v="R010"/>
    <n v="7"/>
    <n v="5410"/>
    <n v="23.6"/>
    <n v="28932.68"/>
    <s v="Completed"/>
    <s v="Pune"/>
    <s v="Sports"/>
    <s v="Corporate"/>
    <n v="48"/>
    <x v="1"/>
    <n v="2265"/>
    <n v="0.58133086876155271"/>
  </r>
  <r>
    <s v="ORD-01067"/>
    <d v="2024-11-22T00:00:00"/>
    <s v="CUST-0054"/>
    <x v="31"/>
    <s v="R018"/>
    <n v="7"/>
    <n v="3780"/>
    <n v="8.5"/>
    <n v="24210.9"/>
    <s v="Cancelled"/>
    <s v="Mumbai"/>
    <s v="Grocery"/>
    <s v="Corporate"/>
    <n v="62"/>
    <x v="3"/>
    <n v="2436"/>
    <n v="0.35555555555555557"/>
  </r>
  <r>
    <s v="ORD-01068"/>
    <d v="2024-09-20T00:00:00"/>
    <s v="CUST-0194"/>
    <x v="39"/>
    <s v="R016"/>
    <n v="9"/>
    <n v="4610"/>
    <n v="26.6"/>
    <n v="30453.66"/>
    <s v="Completed"/>
    <s v="Delhi"/>
    <s v="Home"/>
    <s v="SMB"/>
    <n v="55"/>
    <x v="1"/>
    <n v="1850"/>
    <n v="0.59869848156182215"/>
  </r>
  <r>
    <s v="ORD-01069"/>
    <d v="2024-03-22T00:00:00"/>
    <s v="CUST-0231"/>
    <x v="11"/>
    <s v="R025"/>
    <n v="5"/>
    <n v="2640"/>
    <n v="1.5"/>
    <n v="13002"/>
    <s v="Completed"/>
    <s v="Chennai"/>
    <s v="Electronics"/>
    <s v="Retail"/>
    <n v="61"/>
    <x v="2"/>
    <n v="1149"/>
    <n v="0.56477272727272732"/>
  </r>
  <r>
    <s v="ORD-01070"/>
    <d v="2024-08-11T00:00:00"/>
    <s v="CUST-0053"/>
    <x v="0"/>
    <s v="R010"/>
    <n v="3"/>
    <n v="3620"/>
    <n v="3.1"/>
    <n v="10523.34"/>
    <s v="Completed"/>
    <s v="Delhi"/>
    <s v="Apparel"/>
    <s v="Retail"/>
    <n v="53"/>
    <x v="1"/>
    <n v="2509"/>
    <n v="0.3069060773480663"/>
  </r>
  <r>
    <s v="ORD-01071"/>
    <d v="2024-08-26T00:00:00"/>
    <s v="CUST-0290"/>
    <x v="2"/>
    <s v="R018"/>
    <n v="5"/>
    <n v="470"/>
    <n v="10.6"/>
    <n v="2100.9"/>
    <s v="Cancelled"/>
    <s v="Delhi"/>
    <s v="Sports"/>
    <s v="Retail"/>
    <n v="63"/>
    <x v="3"/>
    <n v="302"/>
    <n v="0.35744680851063831"/>
  </r>
  <r>
    <s v="ORD-01072"/>
    <d v="2024-06-20T00:00:00"/>
    <s v="CUST-0261"/>
    <x v="49"/>
    <s v="R009"/>
    <n v="7"/>
    <n v="5330"/>
    <n v="25"/>
    <n v="27982.5"/>
    <s v="Cancelled"/>
    <s v="Delhi"/>
    <s v="Electronics"/>
    <s v="Retail"/>
    <n v="54"/>
    <x v="1"/>
    <n v="2405"/>
    <n v="0.54878048780487809"/>
  </r>
  <r>
    <s v="ORD-01073"/>
    <d v="2024-01-01T00:00:00"/>
    <s v="CUST-0045"/>
    <x v="33"/>
    <s v="R014"/>
    <n v="1"/>
    <n v="6080"/>
    <n v="27.8"/>
    <n v="4389.76"/>
    <s v="Completed"/>
    <s v="Chennai"/>
    <s v="Beauty"/>
    <s v="SMB"/>
    <n v="39"/>
    <x v="1"/>
    <n v="2617"/>
    <n v="0.56957236842105263"/>
  </r>
  <r>
    <s v="ORD-01074"/>
    <d v="2024-02-25T00:00:00"/>
    <s v="CUST-0064"/>
    <x v="22"/>
    <s v="R024"/>
    <n v="6"/>
    <n v="3350"/>
    <n v="12"/>
    <n v="17688"/>
    <s v="Completed"/>
    <s v="Hyderabad"/>
    <s v="Beauty"/>
    <s v="SMB"/>
    <n v="40"/>
    <x v="2"/>
    <n v="1728"/>
    <n v="0.48417910447761192"/>
  </r>
  <r>
    <s v="ORD-01075"/>
    <d v="2024-10-27T00:00:00"/>
    <s v="CUST-9754"/>
    <x v="58"/>
    <s v="R027"/>
    <n v="6"/>
    <n v="6940"/>
    <n v="20"/>
    <n v="33312"/>
    <s v="Completed"/>
    <s v="Chennai"/>
    <s v="Sports"/>
    <s v=""/>
    <s v=""/>
    <x v="2"/>
    <n v="2827"/>
    <n v="0.5926512968299712"/>
  </r>
  <r>
    <s v="ORD-01076"/>
    <d v="2024-12-10T00:00:00"/>
    <s v="CUST-0200"/>
    <x v="5"/>
    <s v="R007"/>
    <n v="1"/>
    <n v="370"/>
    <n v="10"/>
    <n v="333"/>
    <s v="Completed"/>
    <s v="Hyderabad"/>
    <s v="Home"/>
    <s v="Corporate"/>
    <n v="46"/>
    <x v="0"/>
    <n v="288"/>
    <n v="0.22162162162162163"/>
  </r>
  <r>
    <s v="ORD-01077"/>
    <d v="2024-05-20T00:00:00"/>
    <s v="CUST-0058"/>
    <x v="8"/>
    <s v="R020"/>
    <n v="2"/>
    <n v="5490"/>
    <n v="27.9"/>
    <n v="7916.58"/>
    <s v="Completed"/>
    <s v="Bengaluru"/>
    <s v="Home"/>
    <s v="SMB"/>
    <n v="49"/>
    <x v="3"/>
    <n v="2549"/>
    <n v="0.53570127504553733"/>
  </r>
  <r>
    <s v="ORD-01078"/>
    <d v="2024-07-06T00:00:00"/>
    <s v="CUST-0156"/>
    <x v="3"/>
    <s v="R009"/>
    <n v="5"/>
    <n v="3660"/>
    <n v="4.5999999999999996"/>
    <n v="17458.2"/>
    <s v="Completed"/>
    <s v="Mumbai"/>
    <s v="Grocery"/>
    <s v="Retail"/>
    <n v="33"/>
    <x v="1"/>
    <n v="2214"/>
    <n v="0.39508196721311473"/>
  </r>
  <r>
    <s v="ORD-01079"/>
    <d v="2024-09-28T00:00:00"/>
    <s v="CUST-0107"/>
    <x v="42"/>
    <s v="R029"/>
    <n v="6"/>
    <n v="300"/>
    <n v="9"/>
    <n v="1638"/>
    <s v="Completed"/>
    <s v="Pune"/>
    <s v="Electronics"/>
    <s v="Retail"/>
    <n v="50"/>
    <x v="2"/>
    <n v="128"/>
    <n v="0.57333333333333336"/>
  </r>
  <r>
    <s v="ORD-01080"/>
    <d v="2024-08-19T00:00:00"/>
    <s v="CUST-0184"/>
    <x v="42"/>
    <s v="R012"/>
    <n v="3"/>
    <n v="300"/>
    <n v="19.2"/>
    <n v="727.2"/>
    <s v="Completed"/>
    <s v="Pune"/>
    <s v="Electronics"/>
    <s v="Retail"/>
    <n v="63"/>
    <x v="1"/>
    <n v="128"/>
    <n v="0.57333333333333336"/>
  </r>
  <r>
    <s v="ORD-01081"/>
    <d v="2024-09-02T00:00:00"/>
    <s v="CUST-0202"/>
    <x v="51"/>
    <s v="R014"/>
    <n v="6"/>
    <n v="960"/>
    <n v="29.3"/>
    <n v="4072.32"/>
    <s v="Cancelled"/>
    <s v="Chennai"/>
    <s v="Beauty"/>
    <s v="Retail"/>
    <n v="39"/>
    <x v="1"/>
    <n v="675"/>
    <n v="0.296875"/>
  </r>
  <r>
    <s v="ORD-01082"/>
    <d v="2024-04-01T00:00:00"/>
    <s v="CUST-0137"/>
    <x v="34"/>
    <s v="R025"/>
    <n v="1"/>
    <n v="2270"/>
    <n v="12.4"/>
    <n v="1988.52"/>
    <s v="Completed"/>
    <s v="Mumbai"/>
    <s v="Grocery"/>
    <s v="Retail"/>
    <n v="41"/>
    <x v="2"/>
    <n v="1412"/>
    <n v="0.37797356828193834"/>
  </r>
  <r>
    <s v="ORD-01083"/>
    <d v="2024-09-06T00:00:00"/>
    <s v="CUST-0108"/>
    <x v="44"/>
    <s v="R027"/>
    <n v="10"/>
    <n v="2030"/>
    <n v="4"/>
    <n v="19488"/>
    <s v="Completed"/>
    <s v="Bengaluru"/>
    <s v="Home"/>
    <s v="Corporate"/>
    <n v="59"/>
    <x v="2"/>
    <n v="1143"/>
    <n v="0.43694581280788175"/>
  </r>
  <r>
    <s v="ORD-01084"/>
    <d v="2024-11-13T00:00:00"/>
    <s v="CUST-0126"/>
    <x v="18"/>
    <s v="R021"/>
    <n v="9"/>
    <n v="1080"/>
    <n v="19.2"/>
    <n v="7853.76"/>
    <s v="Pending"/>
    <s v="Mumbai"/>
    <s v="Home"/>
    <s v="Retail"/>
    <n v="37"/>
    <x v="3"/>
    <n v="519"/>
    <n v="0.51944444444444449"/>
  </r>
  <r>
    <s v="ORD-01085"/>
    <d v="2024-06-20T00:00:00"/>
    <s v="CUST-0107"/>
    <x v="27"/>
    <s v="R025"/>
    <n v="5"/>
    <n v="2860"/>
    <n v="25"/>
    <n v="10725"/>
    <s v="Pending"/>
    <s v="Pune"/>
    <s v="Sports"/>
    <s v="Retail"/>
    <n v="50"/>
    <x v="2"/>
    <n v="2028"/>
    <n v="0.29090909090909089"/>
  </r>
  <r>
    <s v="ORD-01086"/>
    <d v="2024-10-23T00:00:00"/>
    <s v="CUST-0071"/>
    <x v="10"/>
    <s v="R012"/>
    <n v="6"/>
    <n v="2270"/>
    <n v="9.3000000000000007"/>
    <n v="12353.34"/>
    <s v="Completed"/>
    <s v="Delhi"/>
    <s v="Grocery"/>
    <s v="Corporate"/>
    <n v="46"/>
    <x v="1"/>
    <n v="1203"/>
    <n v="0.47004405286343615"/>
  </r>
  <r>
    <s v="ORD-01087"/>
    <d v="2024-02-06T00:00:00"/>
    <s v="CUST-0238"/>
    <x v="20"/>
    <s v="R024"/>
    <n v="1"/>
    <n v="2720"/>
    <n v="15.2"/>
    <n v="2306.56"/>
    <s v="Completed"/>
    <s v="Delhi"/>
    <s v="Apparel"/>
    <s v="Retail"/>
    <n v="49"/>
    <x v="2"/>
    <n v="1962"/>
    <n v="0.2786764705882353"/>
  </r>
  <r>
    <s v="ORD-01088"/>
    <d v="2024-12-12T00:00:00"/>
    <s v="CUST-0022"/>
    <x v="35"/>
    <s v="R005"/>
    <n v="10"/>
    <n v="3870"/>
    <n v="4.9000000000000004"/>
    <n v="36803.699999999997"/>
    <s v="Cancelled"/>
    <s v="Bengaluru"/>
    <s v="Electronics"/>
    <s v="Corporate"/>
    <n v="55"/>
    <x v="0"/>
    <n v="1559"/>
    <n v="0.59715762273901807"/>
  </r>
  <r>
    <s v="ORD-01089"/>
    <d v="2024-02-10T00:00:00"/>
    <s v="CUST-0100"/>
    <x v="55"/>
    <s v="R019"/>
    <n v="8"/>
    <n v="3450"/>
    <n v="20.6"/>
    <n v="21914.400000000001"/>
    <s v="Completed"/>
    <s v="Hyderabad"/>
    <s v="Apparel"/>
    <s v="Corporate"/>
    <n v="60"/>
    <x v="3"/>
    <n v="1748"/>
    <n v="0.49333333333333335"/>
  </r>
  <r>
    <s v="ORD-01090"/>
    <d v="2024-04-24T00:00:00"/>
    <s v="CUST-0263"/>
    <x v="2"/>
    <s v="R002"/>
    <n v="1"/>
    <n v="470"/>
    <n v="5.4"/>
    <n v="444.62"/>
    <s v="Refunded"/>
    <s v="Mumbai"/>
    <s v="Sports"/>
    <s v="Retail"/>
    <n v="40"/>
    <x v="0"/>
    <n v="302"/>
    <n v="0.35744680851063831"/>
  </r>
  <r>
    <s v="ORD-01091"/>
    <d v="2024-04-23T00:00:00"/>
    <s v="CUST-0032"/>
    <x v="53"/>
    <s v="R009"/>
    <n v="5"/>
    <n v="3970"/>
    <n v="5.8"/>
    <n v="18698.7"/>
    <s v="Completed"/>
    <s v="Hyderabad"/>
    <s v="Electronics"/>
    <s v="Retail"/>
    <n v="28"/>
    <x v="1"/>
    <n v="2865"/>
    <n v="0.27833753148614609"/>
  </r>
  <r>
    <s v="ORD-01092"/>
    <d v="2024-06-26T00:00:00"/>
    <s v="CUST-0227"/>
    <x v="26"/>
    <s v="R012"/>
    <n v="2"/>
    <n v="5100"/>
    <n v="19.899999999999999"/>
    <n v="8170.2"/>
    <s v="Completed"/>
    <s v="Bengaluru"/>
    <s v="Beauty"/>
    <s v="SMB"/>
    <n v="44"/>
    <x v="1"/>
    <n v="2237"/>
    <n v="0.56137254901960787"/>
  </r>
  <r>
    <s v="ORD-01093"/>
    <d v="2024-12-30T00:00:00"/>
    <s v="CUST-0124"/>
    <x v="16"/>
    <s v="R001"/>
    <n v="6"/>
    <n v="3450"/>
    <n v="13"/>
    <n v="18009"/>
    <s v="Completed"/>
    <s v="Pune"/>
    <s v="Beauty"/>
    <s v="Retail"/>
    <n v="57"/>
    <x v="0"/>
    <n v="2420"/>
    <n v="0.29855072463768118"/>
  </r>
  <r>
    <s v="ORD-01094"/>
    <d v="2024-12-27T00:00:00"/>
    <s v="CUST-0276"/>
    <x v="30"/>
    <s v="R012"/>
    <n v="9"/>
    <n v="3730"/>
    <n v="15.5"/>
    <n v="28366.65"/>
    <s v="Completed"/>
    <s v="Chennai"/>
    <s v="Home"/>
    <s v="Retail"/>
    <n v="26"/>
    <x v="1"/>
    <n v="2135"/>
    <n v="0.42761394101876676"/>
  </r>
  <r>
    <s v="ORD-01095"/>
    <d v="2024-05-28T00:00:00"/>
    <s v="CUST-0100"/>
    <x v="51"/>
    <s v="R020"/>
    <n v="5"/>
    <n v="960"/>
    <n v="9.3000000000000007"/>
    <n v="4353.6000000000004"/>
    <s v="Completed"/>
    <s v="Hyderabad"/>
    <s v="Beauty"/>
    <s v="Corporate"/>
    <n v="60"/>
    <x v="3"/>
    <n v="675"/>
    <n v="0.296875"/>
  </r>
  <r>
    <s v="ORD-01096"/>
    <d v="2024-08-07T00:00:00"/>
    <s v="CUST-0221"/>
    <x v="54"/>
    <s v="R008"/>
    <n v="3"/>
    <n v="5080"/>
    <n v="17.399999999999999"/>
    <n v="12588.24"/>
    <s v="Cancelled"/>
    <s v="Delhi"/>
    <s v="Home"/>
    <s v="SMB"/>
    <n v="29"/>
    <x v="0"/>
    <n v="2459"/>
    <n v="0.51594488188976373"/>
  </r>
  <r>
    <s v="ORD-01097"/>
    <d v="2024-01-09T00:00:00"/>
    <s v="CUST-0266"/>
    <x v="35"/>
    <s v="R003"/>
    <n v="4"/>
    <n v="3870"/>
    <n v="20.5"/>
    <n v="12306.6"/>
    <s v="Pending"/>
    <s v="Pune"/>
    <s v="Electronics"/>
    <s v="Retail"/>
    <n v="65"/>
    <x v="0"/>
    <n v="1559"/>
    <n v="0.59715762273901807"/>
  </r>
  <r>
    <s v="ORD-01098"/>
    <d v="2024-08-24T00:00:00"/>
    <s v="CUST-0210"/>
    <x v="56"/>
    <s v="R024"/>
    <n v="1"/>
    <n v="3780"/>
    <n v="21.5"/>
    <n v="2967.3"/>
    <s v="Completed"/>
    <s v="Pune"/>
    <s v="Sports"/>
    <s v="Corporate"/>
    <n v="48"/>
    <x v="2"/>
    <n v="1860"/>
    <n v="0.50793650793650791"/>
  </r>
  <r>
    <s v="ORD-01099"/>
    <d v="2024-11-26T00:00:00"/>
    <s v="CUST-0293"/>
    <x v="35"/>
    <s v="R017"/>
    <n v="3"/>
    <n v="3870"/>
    <n v="21.9"/>
    <n v="9067.41"/>
    <s v="Pending"/>
    <s v="Bengaluru"/>
    <s v="Electronics"/>
    <s v="Retail"/>
    <n v="27"/>
    <x v="3"/>
    <n v="1559"/>
    <n v="0.59715762273901807"/>
  </r>
  <r>
    <s v="ORD-01100"/>
    <d v="2024-06-20T00:00:00"/>
    <s v="CUST-0291"/>
    <x v="44"/>
    <s v="R009"/>
    <n v="4"/>
    <n v="2030"/>
    <n v="23.4"/>
    <n v="6219.92"/>
    <s v="Completed"/>
    <s v="Pune"/>
    <s v="Home"/>
    <s v="SMB"/>
    <n v="29"/>
    <x v="1"/>
    <n v="1143"/>
    <n v="0.43694581280788175"/>
  </r>
  <r>
    <s v="ORD-01101"/>
    <d v="2024-04-25T00:00:00"/>
    <s v="CUST-0295"/>
    <x v="45"/>
    <s v="R003"/>
    <n v="6"/>
    <n v="2210"/>
    <n v="9.1"/>
    <n v="12053.34"/>
    <s v="Completed"/>
    <s v="Delhi"/>
    <s v="Grocery"/>
    <s v="SMB"/>
    <n v="48"/>
    <x v="0"/>
    <n v="1010"/>
    <n v="0.54298642533936647"/>
  </r>
  <r>
    <s v="ORD-01102"/>
    <d v="2024-12-01T00:00:00"/>
    <s v="CUST-0123"/>
    <x v="36"/>
    <s v="R017"/>
    <n v="5"/>
    <n v="1540"/>
    <n v="18.100000000000001"/>
    <n v="6306.3"/>
    <s v="Completed"/>
    <s v="Chennai"/>
    <s v="Beauty"/>
    <s v="Corporate"/>
    <n v="44"/>
    <x v="3"/>
    <n v="647"/>
    <n v="0.57987012987012987"/>
  </r>
  <r>
    <s v="ORD-01103"/>
    <d v="2024-04-11T00:00:00"/>
    <s v="CUST-0167"/>
    <x v="23"/>
    <s v="R011"/>
    <n v="1"/>
    <n v="1010"/>
    <n v="7.3"/>
    <n v="936.27"/>
    <s v="Completed"/>
    <s v="Delhi"/>
    <s v="Sports"/>
    <s v="Retail"/>
    <n v="43"/>
    <x v="1"/>
    <n v="516"/>
    <n v="0.4891089108910891"/>
  </r>
  <r>
    <s v="ORD-01104"/>
    <d v="2024-03-09T00:00:00"/>
    <s v="CUST-0247"/>
    <x v="49"/>
    <s v="R015"/>
    <n v="10"/>
    <n v="5330"/>
    <n v="27.3"/>
    <n v="38749.1"/>
    <s v="Completed"/>
    <s v="Pune"/>
    <s v="Electronics"/>
    <s v="SMB"/>
    <n v="35"/>
    <x v="1"/>
    <n v="2405"/>
    <n v="0.54878048780487809"/>
  </r>
  <r>
    <s v="ORD-01105"/>
    <d v="2024-09-13T00:00:00"/>
    <s v="CUST-0224"/>
    <x v="25"/>
    <s v="R022"/>
    <n v="7"/>
    <n v="3570"/>
    <n v="24.3"/>
    <n v="18917.43"/>
    <s v="Completed"/>
    <s v="Chennai"/>
    <s v="Electronics"/>
    <s v="Corporate"/>
    <n v="24"/>
    <x v="3"/>
    <n v="1665"/>
    <n v="0.53361344537815125"/>
  </r>
  <r>
    <s v="ORD-01106"/>
    <d v="2024-10-04T00:00:00"/>
    <s v="CUST-0102"/>
    <x v="22"/>
    <s v="R017"/>
    <n v="1"/>
    <n v="3350"/>
    <n v="14.9"/>
    <n v="2850.85"/>
    <s v="Completed"/>
    <s v="Chennai"/>
    <s v="Beauty"/>
    <s v="SMB"/>
    <n v="62"/>
    <x v="3"/>
    <n v="1728"/>
    <n v="0.48417910447761192"/>
  </r>
  <r>
    <s v="ORD-01107"/>
    <d v="2024-09-06T00:00:00"/>
    <s v="CUST-0151"/>
    <x v="47"/>
    <s v="R023"/>
    <n v="2"/>
    <n v="2510"/>
    <n v="10.6"/>
    <n v="4487.88"/>
    <s v="Completed"/>
    <s v="Mumbai"/>
    <s v="Apparel"/>
    <s v="Retail"/>
    <n v="53"/>
    <x v="3"/>
    <n v="1075"/>
    <n v="0.57171314741035861"/>
  </r>
  <r>
    <s v="ORD-01108"/>
    <d v="2024-03-18T00:00:00"/>
    <s v="CUST-0182"/>
    <x v="9"/>
    <s v="R025"/>
    <n v="5"/>
    <n v="970"/>
    <n v="6.8"/>
    <n v="4520.2"/>
    <s v="Pending"/>
    <s v="Mumbai"/>
    <s v="Grocery"/>
    <s v="Retail"/>
    <n v="54"/>
    <x v="2"/>
    <n v="434"/>
    <n v="0.5525773195876289"/>
  </r>
  <r>
    <s v="ORD-01109"/>
    <d v="2024-08-15T00:00:00"/>
    <s v="CUST-0152"/>
    <x v="31"/>
    <s v="R002"/>
    <n v="5"/>
    <n v="3780"/>
    <n v="16.600000000000001"/>
    <n v="15762.6"/>
    <s v="Completed"/>
    <s v="Bengaluru"/>
    <s v="Grocery"/>
    <s v="SMB"/>
    <n v="64"/>
    <x v="0"/>
    <n v="2436"/>
    <n v="0.35555555555555557"/>
  </r>
  <r>
    <s v="ORD-01110"/>
    <d v="2024-03-28T00:00:00"/>
    <s v="CUST-0247"/>
    <x v="47"/>
    <s v="R007"/>
    <n v="3"/>
    <n v="2510"/>
    <n v="24.9"/>
    <n v="5655.03"/>
    <s v="Cancelled"/>
    <s v="Pune"/>
    <s v="Apparel"/>
    <s v="SMB"/>
    <n v="35"/>
    <x v="0"/>
    <n v="1075"/>
    <n v="0.57171314741035861"/>
  </r>
  <r>
    <s v="ORD-01111"/>
    <d v="2024-09-13T00:00:00"/>
    <s v="CUST-0220"/>
    <x v="44"/>
    <s v="R008"/>
    <n v="3"/>
    <n v="2030"/>
    <n v="3.8"/>
    <n v="5858.58"/>
    <s v="Completed"/>
    <s v="Chennai"/>
    <s v="Home"/>
    <s v="Retail"/>
    <n v="34"/>
    <x v="0"/>
    <n v="1143"/>
    <n v="0.43694581280788175"/>
  </r>
  <r>
    <s v="ORD-01112"/>
    <d v="2024-07-05T00:00:00"/>
    <s v="CUST-0206"/>
    <x v="14"/>
    <s v="R014"/>
    <n v="9"/>
    <n v="190"/>
    <n v="5.4"/>
    <n v="1617.66"/>
    <s v="Completed"/>
    <s v="Mumbai"/>
    <s v="Sports"/>
    <s v="Retail"/>
    <n v="40"/>
    <x v="1"/>
    <n v="147"/>
    <n v="0.22631578947368422"/>
  </r>
  <r>
    <s v="ORD-01113"/>
    <d v="2024-02-16T00:00:00"/>
    <s v="CUST-0219"/>
    <x v="45"/>
    <s v="R020"/>
    <n v="6"/>
    <n v="2210"/>
    <n v="29.4"/>
    <n v="9361.56"/>
    <s v="Completed"/>
    <s v="Chennai"/>
    <s v="Grocery"/>
    <s v="Corporate"/>
    <n v="38"/>
    <x v="3"/>
    <n v="1010"/>
    <n v="0.54298642533936647"/>
  </r>
  <r>
    <s v="ORD-01114"/>
    <d v="2024-09-11T00:00:00"/>
    <s v="CUST-0298"/>
    <x v="32"/>
    <s v="R005"/>
    <n v="4"/>
    <n v="3640"/>
    <n v="0.6"/>
    <n v="14472.64"/>
    <s v="Completed"/>
    <s v="Delhi"/>
    <s v="Apparel"/>
    <s v="Retail"/>
    <n v="44"/>
    <x v="0"/>
    <n v="2611"/>
    <n v="0.28269230769230769"/>
  </r>
  <r>
    <s v="ORD-01115"/>
    <d v="2024-11-30T00:00:00"/>
    <s v="CUST-0254"/>
    <x v="38"/>
    <s v="R009"/>
    <n v="9"/>
    <n v="1220"/>
    <n v="24.1"/>
    <n v="8333.82"/>
    <s v="Completed"/>
    <s v="Bengaluru"/>
    <s v="Electronics"/>
    <s v="Retail"/>
    <n v="35"/>
    <x v="1"/>
    <n v="517"/>
    <n v="0.57622950819672136"/>
  </r>
  <r>
    <s v="ORD-01116"/>
    <d v="2024-04-20T00:00:00"/>
    <s v="CUST-0085"/>
    <x v="58"/>
    <s v="R009"/>
    <n v="2"/>
    <n v="6940"/>
    <n v="27"/>
    <n v="10132.4"/>
    <s v="Completed"/>
    <s v="Chennai"/>
    <s v="Sports"/>
    <s v="Retail"/>
    <n v="26"/>
    <x v="1"/>
    <n v="2827"/>
    <n v="0.5926512968299712"/>
  </r>
  <r>
    <s v="ORD-01117"/>
    <d v="2024-11-08T00:00:00"/>
    <s v="CUST-0181"/>
    <x v="27"/>
    <s v="R010"/>
    <n v="6"/>
    <n v="2860"/>
    <n v="6.6"/>
    <n v="16027.44"/>
    <s v="Completed"/>
    <s v="Delhi"/>
    <s v="Sports"/>
    <s v="SMB"/>
    <n v="38"/>
    <x v="1"/>
    <n v="2028"/>
    <n v="0.29090909090909089"/>
  </r>
  <r>
    <s v="ORD-01118"/>
    <d v="2024-09-10T00:00:00"/>
    <s v="CUST-0143"/>
    <x v="20"/>
    <s v="R018"/>
    <n v="5"/>
    <n v="2720"/>
    <n v="21.4"/>
    <n v="10689.6"/>
    <s v="Completed"/>
    <s v="Chennai"/>
    <s v="Apparel"/>
    <s v="SMB"/>
    <n v="52"/>
    <x v="3"/>
    <n v="1962"/>
    <n v="0.2786764705882353"/>
  </r>
  <r>
    <s v="ORD-01119"/>
    <d v="2024-06-02T00:00:00"/>
    <s v="CUST-0263"/>
    <x v="1"/>
    <s v="R006"/>
    <n v="5"/>
    <n v="820"/>
    <n v="28.6"/>
    <n v="2927.4"/>
    <s v="Completed"/>
    <s v="Mumbai"/>
    <s v="Apparel"/>
    <s v="Retail"/>
    <n v="40"/>
    <x v="0"/>
    <n v="391"/>
    <n v="0.52317073170731709"/>
  </r>
  <r>
    <s v="ORD-01120"/>
    <d v="2024-07-16T00:00:00"/>
    <s v="CUST-0105"/>
    <x v="52"/>
    <s v="R022"/>
    <n v="6"/>
    <n v="2290"/>
    <n v="18.8"/>
    <n v="11156.88"/>
    <s v="Completed"/>
    <s v="Chennai"/>
    <s v="Beauty"/>
    <s v="SMB"/>
    <n v="51"/>
    <x v="3"/>
    <n v="1219"/>
    <n v="0.46768558951965067"/>
  </r>
  <r>
    <s v="ORD-01121"/>
    <d v="2024-04-12T00:00:00"/>
    <s v="CUST-0256"/>
    <x v="16"/>
    <s v="R021"/>
    <n v="6"/>
    <n v="3450"/>
    <n v="28.4"/>
    <n v="14821.2"/>
    <s v="Completed"/>
    <s v="Hyderabad"/>
    <s v="Beauty"/>
    <s v="Retail"/>
    <n v="28"/>
    <x v="3"/>
    <n v="2420"/>
    <n v="0.29855072463768118"/>
  </r>
  <r>
    <s v="ORD-01122"/>
    <d v="2024-02-18T00:00:00"/>
    <s v="CUST-0260"/>
    <x v="44"/>
    <s v="R002"/>
    <n v="10"/>
    <n v="2030"/>
    <n v="8"/>
    <n v="18676"/>
    <s v="Completed"/>
    <s v="Bengaluru"/>
    <s v="Home"/>
    <s v="Retail"/>
    <n v="42"/>
    <x v="0"/>
    <n v="1143"/>
    <n v="0.43694581280788175"/>
  </r>
  <r>
    <s v="ORD-01123"/>
    <d v="2024-03-27T00:00:00"/>
    <s v="CUST-0233"/>
    <x v="15"/>
    <s v="R022"/>
    <n v="1"/>
    <n v="2400"/>
    <n v="9.6999999999999993"/>
    <n v="2167.1999999999998"/>
    <s v="Completed"/>
    <s v="Mumbai"/>
    <s v="Sports"/>
    <s v="SMB"/>
    <n v="65"/>
    <x v="3"/>
    <n v="974"/>
    <n v="0.59416666666666662"/>
  </r>
  <r>
    <s v="ORD-01124"/>
    <d v="2024-03-18T00:00:00"/>
    <s v="CUST-0183"/>
    <x v="44"/>
    <s v="R014"/>
    <n v="4"/>
    <n v="2030"/>
    <n v="24.8"/>
    <n v="6106.24"/>
    <s v="Pending"/>
    <s v="Mumbai"/>
    <s v="Home"/>
    <s v="SMB"/>
    <n v="27"/>
    <x v="1"/>
    <n v="1143"/>
    <n v="0.43694581280788175"/>
  </r>
  <r>
    <s v="ORD-01125"/>
    <d v="2024-08-09T00:00:00"/>
    <s v="CUST-0142"/>
    <x v="46"/>
    <s v="R002"/>
    <n v="5"/>
    <n v="4060"/>
    <n v="9.1"/>
    <n v="18452.7"/>
    <s v="Pending"/>
    <s v="Chennai"/>
    <s v="Grocery"/>
    <s v="Corporate"/>
    <n v="55"/>
    <x v="0"/>
    <n v="2911"/>
    <n v="0.28300492610837441"/>
  </r>
  <r>
    <s v="ORD-01126"/>
    <d v="2024-05-26T00:00:00"/>
    <s v="CUST-0150"/>
    <x v="44"/>
    <s v="R013"/>
    <n v="9"/>
    <n v="2030"/>
    <n v="15.9"/>
    <n v="15365.07"/>
    <s v="Pending"/>
    <s v="Pune"/>
    <s v="Home"/>
    <s v="SMB"/>
    <n v="53"/>
    <x v="1"/>
    <n v="1143"/>
    <n v="0.43694581280788175"/>
  </r>
  <r>
    <s v="ORD-01127"/>
    <d v="2024-08-25T00:00:00"/>
    <s v="CUST-0001"/>
    <x v="22"/>
    <s v="R014"/>
    <n v="1"/>
    <n v="3350"/>
    <n v="23.2"/>
    <n v="2572.8000000000002"/>
    <s v="Refunded"/>
    <s v="Pune"/>
    <s v="Beauty"/>
    <s v="Retail"/>
    <n v="36"/>
    <x v="1"/>
    <n v="1728"/>
    <n v="0.48417910447761192"/>
  </r>
  <r>
    <s v="ORD-01128"/>
    <d v="2024-12-08T00:00:00"/>
    <s v="CUST-0104"/>
    <x v="29"/>
    <s v="R006"/>
    <n v="4"/>
    <n v="660"/>
    <n v="27.1"/>
    <n v="1924.56"/>
    <s v="Completed"/>
    <s v="Hyderabad"/>
    <s v="Home"/>
    <s v="Corporate"/>
    <n v="43"/>
    <x v="0"/>
    <n v="329"/>
    <n v="0.50151515151515147"/>
  </r>
  <r>
    <s v="ORD-01129"/>
    <d v="2024-05-29T00:00:00"/>
    <s v="CUST-0261"/>
    <x v="40"/>
    <s v="R014"/>
    <n v="3"/>
    <n v="3020"/>
    <n v="7.2"/>
    <n v="8407.68"/>
    <s v="Completed"/>
    <s v="Delhi"/>
    <s v="Beauty"/>
    <s v="Retail"/>
    <n v="54"/>
    <x v="1"/>
    <n v="1626"/>
    <n v="0.46158940397350995"/>
  </r>
  <r>
    <s v="ORD-01130"/>
    <d v="2024-04-27T00:00:00"/>
    <s v="CUST-0010"/>
    <x v="41"/>
    <s v="R006"/>
    <n v="3"/>
    <n v="2660"/>
    <n v="0.2"/>
    <n v="7964.04"/>
    <s v="Completed"/>
    <s v="Mumbai"/>
    <s v="Electronics"/>
    <s v="SMB"/>
    <n v="61"/>
    <x v="0"/>
    <n v="1259"/>
    <n v="0.52669172932330832"/>
  </r>
  <r>
    <s v="ORD-01131"/>
    <d v="2024-12-24T00:00:00"/>
    <s v="CUST-0237"/>
    <x v="23"/>
    <s v="R006"/>
    <n v="4"/>
    <n v="1010"/>
    <n v="3.1"/>
    <n v="3914.76"/>
    <s v="Completed"/>
    <s v="Mumbai"/>
    <s v="Sports"/>
    <s v="Retail"/>
    <n v="49"/>
    <x v="0"/>
    <n v="516"/>
    <n v="0.4891089108910891"/>
  </r>
  <r>
    <s v="ORD-01132"/>
    <d v="2024-03-29T00:00:00"/>
    <s v="CUST-0128"/>
    <x v="8"/>
    <s v="R017"/>
    <n v="5"/>
    <n v="5490"/>
    <n v="3.6"/>
    <n v="26461.8"/>
    <s v="Completed"/>
    <s v="Hyderabad"/>
    <s v="Home"/>
    <s v="Retail"/>
    <n v="35"/>
    <x v="3"/>
    <n v="2549"/>
    <n v="0.53570127504553733"/>
  </r>
  <r>
    <s v="ORD-01133"/>
    <d v="2024-01-31T00:00:00"/>
    <s v="CUST-0182"/>
    <x v="15"/>
    <s v="R019"/>
    <n v="1"/>
    <n v="2400"/>
    <n v="24.3"/>
    <n v="1816.8"/>
    <s v="Completed"/>
    <s v="Mumbai"/>
    <s v="Sports"/>
    <s v="Retail"/>
    <n v="54"/>
    <x v="3"/>
    <n v="974"/>
    <n v="0.59416666666666662"/>
  </r>
  <r>
    <s v="ORD-01134"/>
    <d v="2024-08-28T00:00:00"/>
    <s v="CUST-0131"/>
    <x v="29"/>
    <s v="R009"/>
    <n v="8"/>
    <n v="660"/>
    <n v="19.8"/>
    <n v="4234.5600000000004"/>
    <s v="Completed"/>
    <s v="Delhi"/>
    <s v="Home"/>
    <s v="SMB"/>
    <n v="28"/>
    <x v="1"/>
    <n v="329"/>
    <n v="0.50151515151515147"/>
  </r>
  <r>
    <s v="ORD-01135"/>
    <d v="2024-07-31T00:00:00"/>
    <s v="CUST-0023"/>
    <x v="49"/>
    <s v="R016"/>
    <n v="9"/>
    <n v="5330"/>
    <n v="16.5"/>
    <n v="40054.949999999997"/>
    <s v="Completed"/>
    <s v="Chennai"/>
    <s v="Electronics"/>
    <s v="SMB"/>
    <n v="43"/>
    <x v="1"/>
    <n v="2405"/>
    <n v="0.54878048780487809"/>
  </r>
  <r>
    <s v="ORD-01136"/>
    <d v="2024-08-12T00:00:00"/>
    <s v="CUST-0171"/>
    <x v="12"/>
    <s v="R007"/>
    <n v="5"/>
    <n v="2600"/>
    <n v="0.3"/>
    <n v="12961"/>
    <s v="Completed"/>
    <s v="Chennai"/>
    <s v="Electronics"/>
    <s v="Corporate"/>
    <n v="30"/>
    <x v="0"/>
    <n v="1052"/>
    <n v="0.5953846153846154"/>
  </r>
  <r>
    <s v="ORD-01137"/>
    <d v="2024-06-19T00:00:00"/>
    <s v="CUST-0116"/>
    <x v="54"/>
    <s v="R018"/>
    <n v="4"/>
    <n v="5080"/>
    <n v="13.8"/>
    <n v="17515.84"/>
    <s v="Pending"/>
    <s v="Bengaluru"/>
    <s v="Home"/>
    <s v="Retail"/>
    <n v="53"/>
    <x v="3"/>
    <n v="2459"/>
    <n v="0.51594488188976373"/>
  </r>
  <r>
    <s v="ORD-01138"/>
    <d v="2024-11-01T00:00:00"/>
    <s v="CUST-0021"/>
    <x v="50"/>
    <s v="R002"/>
    <n v="7"/>
    <n v="2380"/>
    <n v="15.5"/>
    <n v="14077.7"/>
    <s v="Completed"/>
    <s v="Pune"/>
    <s v="Grocery"/>
    <s v="Retail"/>
    <n v="44"/>
    <x v="0"/>
    <n v="1182"/>
    <n v="0.50336134453781511"/>
  </r>
  <r>
    <s v="ORD-01139"/>
    <d v="2024-12-22T00:00:00"/>
    <s v="CUST-0234"/>
    <x v="24"/>
    <s v="R006"/>
    <n v="3"/>
    <n v="4880"/>
    <n v="6.1"/>
    <n v="13746.96"/>
    <s v="Completed"/>
    <s v="Bengaluru"/>
    <s v="Beauty"/>
    <s v="Retail"/>
    <n v="34"/>
    <x v="0"/>
    <n v="2768"/>
    <n v="0.43278688524590164"/>
  </r>
  <r>
    <s v="ORD-01140"/>
    <d v="2024-03-04T00:00:00"/>
    <s v="CUST-0225"/>
    <x v="22"/>
    <s v="R009"/>
    <n v="2"/>
    <n v="3350"/>
    <n v="17.2"/>
    <n v="5547.6"/>
    <s v="Completed"/>
    <s v="Chennai"/>
    <s v="Beauty"/>
    <s v="SMB"/>
    <n v="26"/>
    <x v="1"/>
    <n v="1728"/>
    <n v="0.48417910447761192"/>
  </r>
  <r>
    <s v="ORD-01141"/>
    <d v="2024-02-09T00:00:00"/>
    <s v="CUST-0268"/>
    <x v="9"/>
    <s v="R024"/>
    <n v="5"/>
    <n v="970"/>
    <n v="23.6"/>
    <n v="3705.4"/>
    <s v="Completed"/>
    <s v="Chennai"/>
    <s v="Grocery"/>
    <s v="Retail"/>
    <n v="35"/>
    <x v="2"/>
    <n v="434"/>
    <n v="0.5525773195876289"/>
  </r>
  <r>
    <s v="ORD-01142"/>
    <d v="2024-12-06T00:00:00"/>
    <s v="CUST-0248"/>
    <x v="42"/>
    <s v="R022"/>
    <n v="5"/>
    <n v="300"/>
    <n v="3.8"/>
    <n v="1443"/>
    <s v="Completed"/>
    <s v="Chennai"/>
    <s v="Electronics"/>
    <s v="SMB"/>
    <n v="57"/>
    <x v="3"/>
    <n v="128"/>
    <n v="0.57333333333333336"/>
  </r>
  <r>
    <s v="ORD-01143"/>
    <d v="2024-03-07T00:00:00"/>
    <s v="CUST-0026"/>
    <x v="53"/>
    <s v="R005"/>
    <n v="9"/>
    <n v="3970"/>
    <n v="0.8"/>
    <n v="35444.160000000003"/>
    <s v="Completed"/>
    <s v="Pune"/>
    <s v="Electronics"/>
    <s v="Retail"/>
    <n v="62"/>
    <x v="0"/>
    <n v="2865"/>
    <n v="0.27833753148614609"/>
  </r>
  <r>
    <s v="ORD-01144"/>
    <d v="2024-05-28T00:00:00"/>
    <s v="CUST-0257"/>
    <x v="20"/>
    <s v="R013"/>
    <n v="4"/>
    <n v="2720"/>
    <n v="12.7"/>
    <n v="9498.24"/>
    <s v="Completed"/>
    <s v="Mumbai"/>
    <s v="Apparel"/>
    <s v="Corporate"/>
    <n v="46"/>
    <x v="1"/>
    <n v="1962"/>
    <n v="0.2786764705882353"/>
  </r>
  <r>
    <s v="ORD-01145"/>
    <d v="2024-04-30T00:00:00"/>
    <s v="CUST-0258"/>
    <x v="43"/>
    <s v="R021"/>
    <n v="3"/>
    <n v="620"/>
    <n v="5.5"/>
    <n v="1757.7"/>
    <s v="Completed"/>
    <s v="Pune"/>
    <s v="Apparel"/>
    <s v="Retail"/>
    <n v="44"/>
    <x v="3"/>
    <n v="396"/>
    <n v="0.36129032258064514"/>
  </r>
  <r>
    <s v="ORD-01146"/>
    <d v="2024-07-06T00:00:00"/>
    <s v="CUST-0142"/>
    <x v="36"/>
    <s v="R024"/>
    <n v="2"/>
    <n v="1540"/>
    <n v="2.2000000000000002"/>
    <n v="3012.24"/>
    <s v="Pending"/>
    <s v="Chennai"/>
    <s v="Beauty"/>
    <s v="Corporate"/>
    <n v="55"/>
    <x v="2"/>
    <n v="647"/>
    <n v="0.57987012987012987"/>
  </r>
  <r>
    <s v="ORD-01147"/>
    <d v="2024-08-30T00:00:00"/>
    <s v="CUST-0020"/>
    <x v="52"/>
    <s v="R026"/>
    <n v="1"/>
    <n v="2290"/>
    <n v="24.4"/>
    <n v="1731.24"/>
    <s v="Cancelled"/>
    <s v="Hyderabad"/>
    <s v="Beauty"/>
    <s v="Retail"/>
    <n v="46"/>
    <x v="2"/>
    <n v="1219"/>
    <n v="0.46768558951965067"/>
  </r>
  <r>
    <s v="ORD-01148"/>
    <d v="2024-01-22T00:00:00"/>
    <s v="CUST-0016"/>
    <x v="20"/>
    <s v="R018"/>
    <n v="8"/>
    <n v="2720"/>
    <n v="1.7"/>
    <n v="21390.080000000002"/>
    <s v="Completed"/>
    <s v="Delhi"/>
    <s v="Apparel"/>
    <s v="SMB"/>
    <n v="26"/>
    <x v="3"/>
    <n v="1962"/>
    <n v="0.2786764705882353"/>
  </r>
  <r>
    <s v="ORD-01149"/>
    <d v="2024-04-08T00:00:00"/>
    <s v="CUST-0288"/>
    <x v="46"/>
    <s v="R023"/>
    <n v="4"/>
    <n v="4060"/>
    <n v="19.600000000000001"/>
    <n v="13056.96"/>
    <s v="Cancelled"/>
    <s v="Hyderabad"/>
    <s v="Grocery"/>
    <s v="Corporate"/>
    <n v="25"/>
    <x v="3"/>
    <n v="2911"/>
    <n v="0.28300492610837441"/>
  </r>
  <r>
    <s v="ORD-01150"/>
    <d v="2024-03-19T00:00:00"/>
    <s v="CUST-0133"/>
    <x v="25"/>
    <s v="R016"/>
    <n v="8"/>
    <n v="3570"/>
    <n v="10.8"/>
    <n v="25475.52"/>
    <s v="Completed"/>
    <s v="Chennai"/>
    <s v="Electronics"/>
    <s v="Retail"/>
    <n v="26"/>
    <x v="1"/>
    <n v="1665"/>
    <n v="0.53361344537815125"/>
  </r>
  <r>
    <s v="ORD-01151"/>
    <d v="2024-02-02T00:00:00"/>
    <s v="CUST-0192"/>
    <x v="17"/>
    <s v="R004"/>
    <n v="10"/>
    <n v="3450"/>
    <n v="13.5"/>
    <n v="29842.5"/>
    <s v="Pending"/>
    <s v="Bengaluru"/>
    <s v="Sports"/>
    <s v="Retail"/>
    <n v="55"/>
    <x v="0"/>
    <n v="2467"/>
    <n v="0.28492753623188405"/>
  </r>
  <r>
    <s v="ORD-01152"/>
    <d v="2024-06-26T00:00:00"/>
    <s v="CUST-0298"/>
    <x v="11"/>
    <s v="R007"/>
    <n v="10"/>
    <n v="2640"/>
    <n v="29.8"/>
    <n v="18532.8"/>
    <s v="Completed"/>
    <s v="Delhi"/>
    <s v="Electronics"/>
    <s v="Retail"/>
    <n v="44"/>
    <x v="0"/>
    <n v="1149"/>
    <n v="0.56477272727272732"/>
  </r>
  <r>
    <s v="ORD-01153"/>
    <d v="2024-11-23T00:00:00"/>
    <s v="CUST-0088"/>
    <x v="5"/>
    <s v="R009"/>
    <n v="3"/>
    <n v="370"/>
    <n v="25.5"/>
    <n v="826.95"/>
    <s v="Completed"/>
    <s v="Chennai"/>
    <s v="Home"/>
    <s v="Retail"/>
    <n v="24"/>
    <x v="1"/>
    <n v="288"/>
    <n v="0.22162162162162163"/>
  </r>
  <r>
    <s v="ORD-01154"/>
    <d v="2024-12-01T00:00:00"/>
    <s v="CUST-0274"/>
    <x v="38"/>
    <s v="R030"/>
    <n v="3"/>
    <n v="1220"/>
    <n v="7.7"/>
    <n v="3378.18"/>
    <s v="Pending"/>
    <s v="Bengaluru"/>
    <s v="Electronics"/>
    <s v="Corporate"/>
    <n v="36"/>
    <x v="2"/>
    <n v="517"/>
    <n v="0.57622950819672136"/>
  </r>
  <r>
    <s v="ORD-01155"/>
    <d v="2024-07-26T00:00:00"/>
    <s v="CUST-0165"/>
    <x v="11"/>
    <s v="R022"/>
    <n v="1"/>
    <n v="2640"/>
    <n v="23.6"/>
    <n v="2016.96"/>
    <s v="Completed"/>
    <s v="Pune"/>
    <s v="Electronics"/>
    <s v="Retail"/>
    <n v="29"/>
    <x v="3"/>
    <n v="1149"/>
    <n v="0.56477272727272732"/>
  </r>
  <r>
    <s v="ORD-01156"/>
    <d v="2024-09-28T00:00:00"/>
    <s v="CUST-0275"/>
    <x v="26"/>
    <s v="R011"/>
    <n v="9"/>
    <n v="5100"/>
    <n v="9.5"/>
    <n v="41539.5"/>
    <s v="Completed"/>
    <s v="Mumbai"/>
    <s v="Beauty"/>
    <s v="Retail"/>
    <n v="36"/>
    <x v="1"/>
    <n v="2237"/>
    <n v="0.56137254901960787"/>
  </r>
  <r>
    <s v="ORD-01157"/>
    <d v="2024-05-23T00:00:00"/>
    <s v="CUST-0225"/>
    <x v="33"/>
    <s v="R008"/>
    <n v="7"/>
    <n v="6080"/>
    <n v="17.5"/>
    <n v="35112"/>
    <s v="Completed"/>
    <s v="Chennai"/>
    <s v="Beauty"/>
    <s v="SMB"/>
    <n v="26"/>
    <x v="0"/>
    <n v="2617"/>
    <n v="0.56957236842105263"/>
  </r>
  <r>
    <s v="ORD-01158"/>
    <d v="2024-11-06T00:00:00"/>
    <s v="CUST-0059"/>
    <x v="42"/>
    <s v="R026"/>
    <n v="1"/>
    <n v="300"/>
    <n v="26.9"/>
    <n v="219.3"/>
    <s v="Completed"/>
    <s v="Pune"/>
    <s v="Electronics"/>
    <s v="Corporate"/>
    <n v="29"/>
    <x v="2"/>
    <n v="128"/>
    <n v="0.57333333333333336"/>
  </r>
  <r>
    <s v="ORD-01159"/>
    <d v="2024-12-24T00:00:00"/>
    <s v="CUST-0149"/>
    <x v="40"/>
    <s v="R020"/>
    <n v="6"/>
    <n v="3020"/>
    <n v="28.5"/>
    <n v="12955.8"/>
    <s v="Completed"/>
    <s v="Hyderabad"/>
    <s v="Beauty"/>
    <s v="Retail"/>
    <n v="44"/>
    <x v="3"/>
    <n v="1626"/>
    <n v="0.46158940397350995"/>
  </r>
  <r>
    <s v="ORD-01160"/>
    <d v="2024-01-03T00:00:00"/>
    <s v="CUST-0283"/>
    <x v="42"/>
    <s v="R018"/>
    <n v="8"/>
    <n v="300"/>
    <n v="1.2"/>
    <n v="2371.1999999999998"/>
    <s v="Completed"/>
    <s v="Delhi"/>
    <s v="Electronics"/>
    <s v="SMB"/>
    <n v="50"/>
    <x v="3"/>
    <n v="128"/>
    <n v="0.57333333333333336"/>
  </r>
  <r>
    <s v="ORD-01161"/>
    <d v="2024-08-19T00:00:00"/>
    <s v="CUST-0039"/>
    <x v="22"/>
    <s v="R011"/>
    <n v="9"/>
    <n v="3350"/>
    <n v="0.6"/>
    <n v="29969.1"/>
    <s v="Refunded"/>
    <s v="Bengaluru"/>
    <s v="Beauty"/>
    <s v="Retail"/>
    <n v="37"/>
    <x v="1"/>
    <n v="1728"/>
    <n v="0.48417910447761192"/>
  </r>
  <r>
    <s v="ORD-01162"/>
    <d v="2024-07-06T00:00:00"/>
    <s v="CUST-0046"/>
    <x v="37"/>
    <s v="R024"/>
    <n v="4"/>
    <n v="4070"/>
    <n v="10.1"/>
    <n v="14635.72"/>
    <s v="Completed"/>
    <s v="Delhi"/>
    <s v="Grocery"/>
    <s v="SMB"/>
    <n v="45"/>
    <x v="2"/>
    <n v="2027"/>
    <n v="0.50196560196560192"/>
  </r>
  <r>
    <s v="ORD-01163"/>
    <d v="2024-11-18T00:00:00"/>
    <s v="CUST-0105"/>
    <x v="56"/>
    <s v="R024"/>
    <n v="9"/>
    <n v="3780"/>
    <n v="27.8"/>
    <n v="24562.44"/>
    <s v="Cancelled"/>
    <s v="Chennai"/>
    <s v="Sports"/>
    <s v="SMB"/>
    <n v="51"/>
    <x v="2"/>
    <n v="1860"/>
    <n v="0.50793650793650791"/>
  </r>
  <r>
    <s v="ORD-01164"/>
    <d v="2024-04-25T00:00:00"/>
    <s v="CUST-0006"/>
    <x v="18"/>
    <s v="R030"/>
    <n v="6"/>
    <n v="1080"/>
    <n v="17.5"/>
    <n v="5346"/>
    <s v="Completed"/>
    <s v="Pune"/>
    <s v="Home"/>
    <s v="SMB"/>
    <n v="44"/>
    <x v="2"/>
    <n v="519"/>
    <n v="0.51944444444444449"/>
  </r>
  <r>
    <s v="ORD-01165"/>
    <d v="2024-11-07T00:00:00"/>
    <s v="CUST-0192"/>
    <x v="12"/>
    <s v="R023"/>
    <n v="3"/>
    <n v="2600"/>
    <n v="1.9"/>
    <n v="7651.8"/>
    <s v="Completed"/>
    <s v="Bengaluru"/>
    <s v="Electronics"/>
    <s v="Retail"/>
    <n v="55"/>
    <x v="3"/>
    <n v="1052"/>
    <n v="0.5953846153846154"/>
  </r>
  <r>
    <s v="ORD-01166"/>
    <d v="2024-03-24T00:00:00"/>
    <s v="CUST-0290"/>
    <x v="20"/>
    <s v="R008"/>
    <n v="5"/>
    <n v="2720"/>
    <n v="1.8"/>
    <n v="13355.2"/>
    <s v="Cancelled"/>
    <s v="Delhi"/>
    <s v="Apparel"/>
    <s v="Retail"/>
    <n v="63"/>
    <x v="0"/>
    <n v="1962"/>
    <n v="0.2786764705882353"/>
  </r>
  <r>
    <s v="ORD-01167"/>
    <d v="2024-07-12T00:00:00"/>
    <s v="CUST-0287"/>
    <x v="3"/>
    <s v="R012"/>
    <n v="8"/>
    <n v="3660"/>
    <n v="29.5"/>
    <n v="20642.400000000001"/>
    <s v="Completed"/>
    <s v="Chennai"/>
    <s v="Grocery"/>
    <s v="SMB"/>
    <n v="53"/>
    <x v="1"/>
    <n v="2214"/>
    <n v="0.39508196721311473"/>
  </r>
  <r>
    <s v="ORD-01168"/>
    <d v="2024-10-02T00:00:00"/>
    <s v="CUST-0025"/>
    <x v="21"/>
    <s v="R005"/>
    <n v="9"/>
    <n v="1650"/>
    <n v="19.8"/>
    <n v="11909.7"/>
    <s v="Refunded"/>
    <s v="Bengaluru"/>
    <s v="Beauty"/>
    <s v="Retail"/>
    <n v="23"/>
    <x v="0"/>
    <n v="1222"/>
    <n v="0.2593939393939394"/>
  </r>
  <r>
    <s v="ORD-01169"/>
    <d v="2024-07-29T00:00:00"/>
    <s v="CUST-0139"/>
    <x v="27"/>
    <s v="R019"/>
    <n v="3"/>
    <n v="2860"/>
    <n v="22.7"/>
    <n v="6632.34"/>
    <s v="Completed"/>
    <s v="Hyderabad"/>
    <s v="Sports"/>
    <s v="SMB"/>
    <n v="65"/>
    <x v="3"/>
    <n v="2028"/>
    <n v="0.29090909090909089"/>
  </r>
  <r>
    <s v="ORD-01170"/>
    <d v="2024-05-17T00:00:00"/>
    <s v="CUST-0278"/>
    <x v="17"/>
    <s v="R025"/>
    <n v="4"/>
    <n v="3450"/>
    <n v="9.1999999999999993"/>
    <n v="12530.4"/>
    <s v="Completed"/>
    <s v="Hyderabad"/>
    <s v="Sports"/>
    <s v="Retail"/>
    <n v="41"/>
    <x v="2"/>
    <n v="2467"/>
    <n v="0.28492753623188405"/>
  </r>
  <r>
    <s v="ORD-01171"/>
    <d v="2024-04-23T00:00:00"/>
    <s v="CUST-0258"/>
    <x v="44"/>
    <s v="R003"/>
    <n v="4"/>
    <n v="2030"/>
    <n v="17.100000000000001"/>
    <n v="6731.48"/>
    <s v="Completed"/>
    <s v="Pune"/>
    <s v="Home"/>
    <s v="Retail"/>
    <n v="44"/>
    <x v="0"/>
    <n v="1143"/>
    <n v="0.43694581280788175"/>
  </r>
  <r>
    <s v="ORD-01172"/>
    <d v="2024-04-19T00:00:00"/>
    <s v="CUST-0106"/>
    <x v="34"/>
    <s v="R016"/>
    <n v="4"/>
    <n v="2270"/>
    <n v="27.3"/>
    <n v="6601.16"/>
    <s v="Completed"/>
    <s v="Pune"/>
    <s v="Grocery"/>
    <s v="Retail"/>
    <n v="22"/>
    <x v="1"/>
    <n v="1412"/>
    <n v="0.37797356828193834"/>
  </r>
  <r>
    <s v="ORD-01173"/>
    <d v="2024-03-22T00:00:00"/>
    <s v="CUST-0009"/>
    <x v="54"/>
    <s v="R013"/>
    <n v="9"/>
    <n v="5080"/>
    <n v="10.9"/>
    <n v="40736.519999999997"/>
    <s v="Completed"/>
    <s v="Mumbai"/>
    <s v="Home"/>
    <s v="Retail"/>
    <n v="61"/>
    <x v="1"/>
    <n v="2459"/>
    <n v="0.51594488188976373"/>
  </r>
  <r>
    <s v="ORD-01174"/>
    <d v="2024-11-06T00:00:00"/>
    <s v="CUST-0209"/>
    <x v="37"/>
    <s v="R029"/>
    <n v="8"/>
    <n v="4070"/>
    <n v="17.7"/>
    <n v="26796.880000000001"/>
    <s v="Completed"/>
    <s v="Pune"/>
    <s v="Grocery"/>
    <s v="Retail"/>
    <n v="31"/>
    <x v="2"/>
    <n v="2027"/>
    <n v="0.50196560196560192"/>
  </r>
  <r>
    <s v="ORD-01175"/>
    <d v="2024-03-21T00:00:00"/>
    <s v="CUST-0111"/>
    <x v="36"/>
    <s v="R005"/>
    <n v="1"/>
    <n v="1540"/>
    <n v="0.9"/>
    <n v="1526.14"/>
    <s v="Completed"/>
    <s v="Chennai"/>
    <s v="Beauty"/>
    <s v="SMB"/>
    <n v="64"/>
    <x v="0"/>
    <n v="647"/>
    <n v="0.57987012987012987"/>
  </r>
  <r>
    <s v="ORD-01176"/>
    <d v="2024-05-04T00:00:00"/>
    <s v="CUST-0014"/>
    <x v="26"/>
    <s v="R024"/>
    <n v="10"/>
    <n v="5100"/>
    <n v="3"/>
    <n v="49470"/>
    <s v="Completed"/>
    <s v="Bengaluru"/>
    <s v="Beauty"/>
    <s v="Retail"/>
    <n v="48"/>
    <x v="2"/>
    <n v="2237"/>
    <n v="0.56137254901960787"/>
  </r>
  <r>
    <s v="ORD-01177"/>
    <d v="2024-12-30T00:00:00"/>
    <s v="CUST-0073"/>
    <x v="0"/>
    <s v="R006"/>
    <n v="6"/>
    <n v="3620"/>
    <n v="20.2"/>
    <n v="17332.560000000001"/>
    <s v="Completed"/>
    <s v="Pune"/>
    <s v="Apparel"/>
    <s v="Corporate"/>
    <n v="40"/>
    <x v="0"/>
    <n v="2509"/>
    <n v="0.3069060773480663"/>
  </r>
  <r>
    <s v="ORD-01178"/>
    <d v="2024-02-02T00:00:00"/>
    <s v="CUST-0147"/>
    <x v="24"/>
    <s v="R003"/>
    <n v="7"/>
    <n v="4880"/>
    <n v="5"/>
    <n v="32452"/>
    <s v="Completed"/>
    <s v="Pune"/>
    <s v="Beauty"/>
    <s v="Retail"/>
    <n v="56"/>
    <x v="0"/>
    <n v="2768"/>
    <n v="0.43278688524590164"/>
  </r>
  <r>
    <s v="ORD-01179"/>
    <d v="2024-06-29T00:00:00"/>
    <s v="CUST-0006"/>
    <x v="11"/>
    <s v="R024"/>
    <n v="1"/>
    <n v="2640"/>
    <n v="4.0999999999999996"/>
    <n v="2531.7600000000002"/>
    <s v="Completed"/>
    <s v="Pune"/>
    <s v="Electronics"/>
    <s v="SMB"/>
    <n v="44"/>
    <x v="2"/>
    <n v="1149"/>
    <n v="0.56477272727272732"/>
  </r>
  <r>
    <s v="ORD-01180"/>
    <d v="2024-08-04T00:00:00"/>
    <s v="CUST-0031"/>
    <x v="37"/>
    <s v="R020"/>
    <n v="9"/>
    <n v="4070"/>
    <n v="4.4000000000000004"/>
    <n v="35018.28"/>
    <s v="Completed"/>
    <s v="Hyderabad"/>
    <s v="Grocery"/>
    <s v="Retail"/>
    <n v="53"/>
    <x v="3"/>
    <n v="2027"/>
    <n v="0.50196560196560192"/>
  </r>
  <r>
    <s v="ORD-01181"/>
    <d v="2024-11-21T00:00:00"/>
    <s v="CUST-0084"/>
    <x v="25"/>
    <s v="R025"/>
    <n v="9"/>
    <n v="3570"/>
    <n v="24.8"/>
    <n v="24161.759999999998"/>
    <s v="Completed"/>
    <s v="Chennai"/>
    <s v="Electronics"/>
    <s v="Retail"/>
    <n v="28"/>
    <x v="2"/>
    <n v="1665"/>
    <n v="0.53361344537815125"/>
  </r>
  <r>
    <s v="ORD-01182"/>
    <d v="2024-06-27T00:00:00"/>
    <s v="CUST-0203"/>
    <x v="22"/>
    <s v="R005"/>
    <n v="10"/>
    <n v="3350"/>
    <n v="25.1"/>
    <n v="25091.5"/>
    <s v="Cancelled"/>
    <s v="Chennai"/>
    <s v="Beauty"/>
    <s v="SMB"/>
    <n v="55"/>
    <x v="0"/>
    <n v="1728"/>
    <n v="0.48417910447761192"/>
  </r>
  <r>
    <s v="ORD-01183"/>
    <d v="2024-01-16T00:00:00"/>
    <s v="CUST-0138"/>
    <x v="56"/>
    <s v="R025"/>
    <n v="3"/>
    <n v="3780"/>
    <n v="3.8"/>
    <n v="10909.08"/>
    <s v="Completed"/>
    <s v="Chennai"/>
    <s v="Sports"/>
    <s v="Retail"/>
    <n v="24"/>
    <x v="2"/>
    <n v="1860"/>
    <n v="0.50793650793650791"/>
  </r>
  <r>
    <s v="ORD-01184"/>
    <d v="2024-12-25T00:00:00"/>
    <s v="CUST-0157"/>
    <x v="25"/>
    <s v="R008"/>
    <n v="4"/>
    <n v="3570"/>
    <n v="0.9"/>
    <n v="14151.48"/>
    <s v="Pending"/>
    <s v="Pune"/>
    <s v="Electronics"/>
    <s v="Corporate"/>
    <n v="52"/>
    <x v="0"/>
    <n v="1665"/>
    <n v="0.53361344537815125"/>
  </r>
  <r>
    <s v="ORD-01185"/>
    <d v="2024-05-24T00:00:00"/>
    <s v="CUST-0298"/>
    <x v="27"/>
    <s v="R024"/>
    <n v="5"/>
    <n v="2860"/>
    <n v="20.100000000000001"/>
    <n v="11425.7"/>
    <s v="Completed"/>
    <s v="Delhi"/>
    <s v="Sports"/>
    <s v="Retail"/>
    <n v="44"/>
    <x v="2"/>
    <n v="2028"/>
    <n v="0.29090909090909089"/>
  </r>
  <r>
    <s v="ORD-01186"/>
    <d v="2024-08-14T00:00:00"/>
    <s v="CUST-0132"/>
    <x v="43"/>
    <s v="R003"/>
    <n v="1"/>
    <n v="620"/>
    <n v="1.1000000000000001"/>
    <n v="613.17999999999995"/>
    <s v="Cancelled"/>
    <s v="Delhi"/>
    <s v="Apparel"/>
    <s v="Retail"/>
    <n v="41"/>
    <x v="0"/>
    <n v="396"/>
    <n v="0.36129032258064514"/>
  </r>
  <r>
    <s v="ORD-01187"/>
    <d v="2024-05-20T00:00:00"/>
    <s v="CUST-0006"/>
    <x v="25"/>
    <s v="R012"/>
    <n v="1"/>
    <n v="3570"/>
    <n v="11.1"/>
    <n v="3173.73"/>
    <s v="Cancelled"/>
    <s v="Pune"/>
    <s v="Electronics"/>
    <s v="SMB"/>
    <n v="44"/>
    <x v="1"/>
    <n v="1665"/>
    <n v="0.53361344537815125"/>
  </r>
  <r>
    <s v="ORD-01188"/>
    <d v="2024-09-16T00:00:00"/>
    <s v="CUST-0011"/>
    <x v="49"/>
    <s v="R012"/>
    <n v="1"/>
    <n v="5330"/>
    <n v="3.5"/>
    <n v="5143.45"/>
    <s v="Completed"/>
    <s v="Chennai"/>
    <s v="Electronics"/>
    <s v="Corporate"/>
    <n v="41"/>
    <x v="1"/>
    <n v="2405"/>
    <n v="0.54878048780487809"/>
  </r>
  <r>
    <s v="ORD-01189"/>
    <d v="2024-02-26T00:00:00"/>
    <s v="CUST-0170"/>
    <x v="48"/>
    <s v="R018"/>
    <n v="7"/>
    <n v="5410"/>
    <n v="26.2"/>
    <n v="27948.06"/>
    <s v="Completed"/>
    <s v="Mumbai"/>
    <s v="Sports"/>
    <s v="SMB"/>
    <n v="22"/>
    <x v="3"/>
    <n v="2265"/>
    <n v="0.58133086876155271"/>
  </r>
  <r>
    <s v="ORD-01190"/>
    <d v="2024-03-23T00:00:00"/>
    <s v="CUST-0109"/>
    <x v="54"/>
    <s v="R016"/>
    <n v="10"/>
    <n v="5080"/>
    <n v="3.7"/>
    <n v="48920.4"/>
    <s v="Pending"/>
    <s v="Pune"/>
    <s v="Home"/>
    <s v="Retail"/>
    <n v="42"/>
    <x v="1"/>
    <n v="2459"/>
    <n v="0.51594488188976373"/>
  </r>
  <r>
    <s v="ORD-01191"/>
    <d v="2024-03-19T00:00:00"/>
    <s v="CUST-0066"/>
    <x v="25"/>
    <s v="R005"/>
    <n v="9"/>
    <n v="3570"/>
    <n v="5.6"/>
    <n v="30330.720000000001"/>
    <s v="Completed"/>
    <s v="Delhi"/>
    <s v="Electronics"/>
    <s v="Retail"/>
    <n v="24"/>
    <x v="0"/>
    <n v="1665"/>
    <n v="0.53361344537815125"/>
  </r>
  <r>
    <s v="ORD-01192"/>
    <d v="2024-12-30T00:00:00"/>
    <s v="CUST-0055"/>
    <x v="9"/>
    <s v="R022"/>
    <n v="9"/>
    <n v="970"/>
    <n v="19.5"/>
    <n v="7027.65"/>
    <s v="Completed"/>
    <s v="Bengaluru"/>
    <s v="Grocery"/>
    <s v="Retail"/>
    <n v="34"/>
    <x v="3"/>
    <n v="434"/>
    <n v="0.5525773195876289"/>
  </r>
  <r>
    <s v="ORD-01193"/>
    <d v="2024-03-06T00:00:00"/>
    <s v="CUST-0298"/>
    <x v="42"/>
    <s v="R009"/>
    <n v="10"/>
    <n v="300"/>
    <n v="23"/>
    <n v="2310"/>
    <s v="Cancelled"/>
    <s v="Delhi"/>
    <s v="Electronics"/>
    <s v="Retail"/>
    <n v="44"/>
    <x v="1"/>
    <n v="128"/>
    <n v="0.57333333333333336"/>
  </r>
  <r>
    <s v="ORD-01194"/>
    <d v="2024-07-06T00:00:00"/>
    <s v="CUST-0024"/>
    <x v="33"/>
    <s v="R003"/>
    <n v="10"/>
    <n v="6080"/>
    <n v="3.9"/>
    <n v="58428.800000000003"/>
    <s v="Completed"/>
    <s v="Chennai"/>
    <s v="Beauty"/>
    <s v="SMB"/>
    <n v="64"/>
    <x v="0"/>
    <n v="2617"/>
    <n v="0.56957236842105263"/>
  </r>
  <r>
    <s v="ORD-01195"/>
    <d v="2024-09-04T00:00:00"/>
    <s v="CUST-0008"/>
    <x v="26"/>
    <s v="R011"/>
    <n v="2"/>
    <n v="5100"/>
    <n v="11"/>
    <n v="9078"/>
    <s v="Completed"/>
    <s v="Pune"/>
    <s v="Beauty"/>
    <s v="SMB"/>
    <n v="39"/>
    <x v="1"/>
    <n v="2237"/>
    <n v="0.56137254901960787"/>
  </r>
  <r>
    <s v="ORD-01196"/>
    <d v="2024-04-12T00:00:00"/>
    <s v="CUST-0070"/>
    <x v="55"/>
    <s v="R019"/>
    <n v="9"/>
    <n v="3450"/>
    <n v="23.7"/>
    <n v="23691.15"/>
    <s v="Completed"/>
    <s v="Mumbai"/>
    <s v="Apparel"/>
    <s v="Retail"/>
    <n v="42"/>
    <x v="3"/>
    <n v="1748"/>
    <n v="0.49333333333333335"/>
  </r>
  <r>
    <s v="ORD-01197"/>
    <d v="2024-02-13T00:00:00"/>
    <s v="CUST-0270"/>
    <x v="19"/>
    <s v="R011"/>
    <n v="5"/>
    <n v="2480"/>
    <n v="20.399999999999999"/>
    <n v="9870.4"/>
    <s v="Completed"/>
    <s v="Bengaluru"/>
    <s v="Apparel"/>
    <s v="Retail"/>
    <n v="29"/>
    <x v="1"/>
    <n v="1173"/>
    <n v="0.52701612903225803"/>
  </r>
  <r>
    <s v="ORD-01198"/>
    <d v="2024-02-12T00:00:00"/>
    <s v="CUST-0175"/>
    <x v="14"/>
    <s v="R010"/>
    <n v="4"/>
    <n v="190"/>
    <n v="2.6"/>
    <n v="740.24"/>
    <s v="Completed"/>
    <s v="Delhi"/>
    <s v="Sports"/>
    <s v="Corporate"/>
    <n v="55"/>
    <x v="1"/>
    <n v="147"/>
    <n v="0.22631578947368422"/>
  </r>
  <r>
    <s v="ORD-01199"/>
    <d v="2024-01-09T00:00:00"/>
    <s v="CUST-0227"/>
    <x v="34"/>
    <s v="R020"/>
    <n v="4"/>
    <n v="2270"/>
    <n v="8.1"/>
    <n v="8344.52"/>
    <s v="Pending"/>
    <s v="Bengaluru"/>
    <s v="Grocery"/>
    <s v="SMB"/>
    <n v="44"/>
    <x v="3"/>
    <n v="1412"/>
    <n v="0.37797356828193834"/>
  </r>
  <r>
    <s v="ORD-01200"/>
    <d v="2024-04-18T00:00:00"/>
    <s v="CUST-0041"/>
    <x v="47"/>
    <s v="R028"/>
    <n v="7"/>
    <n v="2510"/>
    <n v="25.5"/>
    <n v="13089.65"/>
    <s v="Completed"/>
    <s v="Bengaluru"/>
    <s v="Apparel"/>
    <s v="SMB"/>
    <n v="26"/>
    <x v="2"/>
    <n v="1075"/>
    <n v="0.57171314741035861"/>
  </r>
  <r>
    <s v="ORD-01201"/>
    <d v="2024-05-11T00:00:00"/>
    <s v="CUST-0147"/>
    <x v="56"/>
    <s v="R004"/>
    <n v="3"/>
    <n v="3780"/>
    <n v="16.8"/>
    <n v="9434.8799999999992"/>
    <s v="Completed"/>
    <s v="Pune"/>
    <s v="Sports"/>
    <s v="Retail"/>
    <n v="56"/>
    <x v="0"/>
    <n v="1860"/>
    <n v="0.50793650793650791"/>
  </r>
  <r>
    <s v="ORD-01202"/>
    <d v="2024-08-14T00:00:00"/>
    <s v="CUST-0185"/>
    <x v="25"/>
    <s v="R010"/>
    <n v="7"/>
    <n v="3570"/>
    <n v="23.7"/>
    <n v="19067.37"/>
    <s v="Completed"/>
    <s v="Hyderabad"/>
    <s v="Electronics"/>
    <s v="SMB"/>
    <n v="43"/>
    <x v="1"/>
    <n v="1665"/>
    <n v="0.53361344537815125"/>
  </r>
  <r>
    <s v="ORD-01203"/>
    <d v="2024-09-24T00:00:00"/>
    <s v="CUST-0210"/>
    <x v="29"/>
    <s v="R011"/>
    <n v="4"/>
    <n v="660"/>
    <n v="3.6"/>
    <n v="2544.96"/>
    <s v="Completed"/>
    <s v="Pune"/>
    <s v="Home"/>
    <s v="Corporate"/>
    <n v="48"/>
    <x v="1"/>
    <n v="329"/>
    <n v="0.50151515151515147"/>
  </r>
  <r>
    <s v="ORD-01204"/>
    <d v="2024-07-28T00:00:00"/>
    <s v="CUST-0289"/>
    <x v="9"/>
    <s v="R010"/>
    <n v="7"/>
    <n v="970"/>
    <n v="23.7"/>
    <n v="5180.7700000000004"/>
    <s v="Completed"/>
    <s v="Mumbai"/>
    <s v="Grocery"/>
    <s v="Retail"/>
    <n v="54"/>
    <x v="1"/>
    <n v="434"/>
    <n v="0.5525773195876289"/>
  </r>
  <r>
    <s v="ORD-01205"/>
    <d v="2024-02-16T00:00:00"/>
    <s v="CUST-0017"/>
    <x v="10"/>
    <s v="R006"/>
    <n v="8"/>
    <n v="2270"/>
    <n v="6.8"/>
    <n v="16925.12"/>
    <s v="Completed"/>
    <s v="Delhi"/>
    <s v="Grocery"/>
    <s v="SMB"/>
    <n v="38"/>
    <x v="0"/>
    <n v="1203"/>
    <n v="0.47004405286343615"/>
  </r>
  <r>
    <s v="ORD-01206"/>
    <d v="2024-10-20T00:00:00"/>
    <s v="CUST-0115"/>
    <x v="15"/>
    <s v="R012"/>
    <n v="1"/>
    <n v="2400"/>
    <n v="26.5"/>
    <n v="1764"/>
    <s v="Completed"/>
    <s v="Mumbai"/>
    <s v="Sports"/>
    <s v="SMB"/>
    <n v="65"/>
    <x v="1"/>
    <n v="974"/>
    <n v="0.59416666666666662"/>
  </r>
  <r>
    <s v="ORD-01207"/>
    <d v="2024-08-21T00:00:00"/>
    <s v="CUST-0183"/>
    <x v="54"/>
    <s v="R010"/>
    <n v="5"/>
    <n v="5080"/>
    <n v="29.6"/>
    <n v="17881.599999999999"/>
    <s v="Completed"/>
    <s v="Mumbai"/>
    <s v="Home"/>
    <s v="SMB"/>
    <n v="27"/>
    <x v="1"/>
    <n v="2459"/>
    <n v="0.51594488188976373"/>
  </r>
  <r>
    <s v="ORD-01208"/>
    <d v="2024-02-29T00:00:00"/>
    <s v="CUST-0193"/>
    <x v="22"/>
    <s v="R014"/>
    <n v="9"/>
    <n v="3350"/>
    <n v="6.2"/>
    <n v="28280.7"/>
    <s v="Completed"/>
    <s v="Bengaluru"/>
    <s v="Beauty"/>
    <s v="Retail"/>
    <n v="42"/>
    <x v="1"/>
    <n v="1728"/>
    <n v="0.48417910447761192"/>
  </r>
  <r>
    <s v="ORD-01209"/>
    <d v="2024-09-25T00:00:00"/>
    <s v="CUST-0019"/>
    <x v="36"/>
    <s v="R001"/>
    <n v="4"/>
    <n v="1540"/>
    <n v="22.2"/>
    <n v="4792.4799999999996"/>
    <s v="Completed"/>
    <s v="Chennai"/>
    <s v="Beauty"/>
    <s v="Retail"/>
    <n v="22"/>
    <x v="0"/>
    <n v="647"/>
    <n v="0.57987012987012987"/>
  </r>
  <r>
    <s v="ORD-01210"/>
    <d v="2024-05-19T00:00:00"/>
    <s v="CUST-0097"/>
    <x v="54"/>
    <s v="R002"/>
    <n v="10"/>
    <n v="5080"/>
    <n v="11.8"/>
    <n v="44805.599999999999"/>
    <s v="Completed"/>
    <s v="Mumbai"/>
    <s v="Home"/>
    <s v="Retail"/>
    <n v="65"/>
    <x v="0"/>
    <n v="2459"/>
    <n v="0.51594488188976373"/>
  </r>
  <r>
    <s v="ORD-01211"/>
    <d v="2024-01-05T00:00:00"/>
    <s v="CUST-0237"/>
    <x v="59"/>
    <s v="R012"/>
    <n v="9"/>
    <n v="3560"/>
    <n v="15.9"/>
    <n v="26945.64"/>
    <s v="Completed"/>
    <s v="Mumbai"/>
    <s v="Apparel"/>
    <s v="Retail"/>
    <n v="49"/>
    <x v="1"/>
    <n v="2629"/>
    <n v="0.26151685393258428"/>
  </r>
  <r>
    <s v="ORD-01212"/>
    <d v="2024-12-03T00:00:00"/>
    <s v="CUST-0252"/>
    <x v="18"/>
    <s v="R009"/>
    <n v="2"/>
    <n v="1080"/>
    <n v="21.1"/>
    <n v="1704.24"/>
    <s v="Completed"/>
    <s v="Bengaluru"/>
    <s v="Home"/>
    <s v="Retail"/>
    <n v="27"/>
    <x v="1"/>
    <n v="519"/>
    <n v="0.51944444444444449"/>
  </r>
  <r>
    <s v="ORD-01213"/>
    <d v="2024-01-19T00:00:00"/>
    <s v="CUST-0216"/>
    <x v="50"/>
    <s v="R018"/>
    <n v="5"/>
    <n v="2380"/>
    <n v="20.5"/>
    <n v="9460.5"/>
    <s v="Completed"/>
    <s v="Mumbai"/>
    <s v="Grocery"/>
    <s v="Retail"/>
    <n v="50"/>
    <x v="3"/>
    <n v="1182"/>
    <n v="0.50336134453781511"/>
  </r>
  <r>
    <s v="ORD-01214"/>
    <d v="2024-07-25T00:00:00"/>
    <s v="CUST-0248"/>
    <x v="19"/>
    <s v="R025"/>
    <n v="9"/>
    <n v="2480"/>
    <n v="1.2"/>
    <n v="22052.16"/>
    <s v="Completed"/>
    <s v="Chennai"/>
    <s v="Apparel"/>
    <s v="SMB"/>
    <n v="57"/>
    <x v="2"/>
    <n v="1173"/>
    <n v="0.52701612903225803"/>
  </r>
  <r>
    <s v="ORD-01215"/>
    <d v="2024-02-26T00:00:00"/>
    <s v="CUST-0044"/>
    <x v="52"/>
    <s v="R012"/>
    <n v="9"/>
    <n v="2290"/>
    <n v="0.9"/>
    <n v="20424.509999999998"/>
    <s v="Completed"/>
    <s v="Hyderabad"/>
    <s v="Beauty"/>
    <s v="SMB"/>
    <n v="29"/>
    <x v="1"/>
    <n v="1219"/>
    <n v="0.46768558951965067"/>
  </r>
  <r>
    <s v="ORD-01216"/>
    <d v="2024-03-31T00:00:00"/>
    <s v="CUST-0251"/>
    <x v="55"/>
    <s v="R011"/>
    <n v="3"/>
    <n v="3450"/>
    <n v="29.5"/>
    <n v="7296.75"/>
    <s v="Completed"/>
    <s v="Mumbai"/>
    <s v="Apparel"/>
    <s v="Retail"/>
    <n v="44"/>
    <x v="1"/>
    <n v="1748"/>
    <n v="0.49333333333333335"/>
  </r>
  <r>
    <s v="ORD-01217"/>
    <d v="2024-10-04T00:00:00"/>
    <s v="CUST-0280"/>
    <x v="16"/>
    <s v="R024"/>
    <n v="9"/>
    <n v="3450"/>
    <n v="19.399999999999999"/>
    <n v="25026.3"/>
    <s v="Completed"/>
    <s v="Delhi"/>
    <s v="Beauty"/>
    <s v="SMB"/>
    <n v="27"/>
    <x v="2"/>
    <n v="2420"/>
    <n v="0.29855072463768118"/>
  </r>
  <r>
    <s v="ORD-01218"/>
    <d v="2024-08-12T00:00:00"/>
    <s v="CUST-0108"/>
    <x v="12"/>
    <s v="R030"/>
    <n v="2"/>
    <n v="2600"/>
    <n v="20.2"/>
    <n v="4149.6000000000004"/>
    <s v="Cancelled"/>
    <s v="Bengaluru"/>
    <s v="Electronics"/>
    <s v="Corporate"/>
    <n v="59"/>
    <x v="2"/>
    <n v="1052"/>
    <n v="0.5953846153846154"/>
  </r>
  <r>
    <s v="ORD-01219"/>
    <d v="2024-08-15T00:00:00"/>
    <s v="CUST-0058"/>
    <x v="28"/>
    <s v="R025"/>
    <n v="1"/>
    <n v="2760"/>
    <n v="9.5"/>
    <n v="2497.8000000000002"/>
    <s v="Completed"/>
    <s v="Bengaluru"/>
    <s v="Grocery"/>
    <s v="SMB"/>
    <n v="49"/>
    <x v="2"/>
    <n v="1435"/>
    <n v="0.48007246376811596"/>
  </r>
  <r>
    <s v="ORD-01220"/>
    <d v="2024-10-28T00:00:00"/>
    <s v="CUST-0090"/>
    <x v="39"/>
    <s v="R003"/>
    <n v="4"/>
    <n v="4610"/>
    <n v="14.8"/>
    <n v="15710.88"/>
    <s v="Completed"/>
    <s v="Bengaluru"/>
    <s v="Home"/>
    <s v="Corporate"/>
    <n v="26"/>
    <x v="0"/>
    <n v="1850"/>
    <n v="0.59869848156182215"/>
  </r>
  <r>
    <s v="ORD-01221"/>
    <d v="2024-08-28T00:00:00"/>
    <s v="CUST-0204"/>
    <x v="19"/>
    <s v="R024"/>
    <n v="3"/>
    <n v="2480"/>
    <n v="3.7"/>
    <n v="7164.72"/>
    <s v="Completed"/>
    <s v="Hyderabad"/>
    <s v="Apparel"/>
    <s v="Retail"/>
    <n v="60"/>
    <x v="2"/>
    <n v="1173"/>
    <n v="0.52701612903225803"/>
  </r>
  <r>
    <s v="ORD-01222"/>
    <d v="2024-11-14T00:00:00"/>
    <s v="CUST-0044"/>
    <x v="58"/>
    <s v="R011"/>
    <n v="5"/>
    <n v="6940"/>
    <n v="0.3"/>
    <n v="34595.9"/>
    <s v="Completed"/>
    <s v="Hyderabad"/>
    <s v="Sports"/>
    <s v="SMB"/>
    <n v="29"/>
    <x v="1"/>
    <n v="2827"/>
    <n v="0.5926512968299712"/>
  </r>
  <r>
    <s v="ORD-01223"/>
    <d v="2024-09-25T00:00:00"/>
    <s v="CUST-0068"/>
    <x v="34"/>
    <s v="R023"/>
    <n v="8"/>
    <n v="2270"/>
    <n v="15.6"/>
    <n v="15327.04"/>
    <s v="Pending"/>
    <s v="Delhi"/>
    <s v="Grocery"/>
    <s v="SMB"/>
    <n v="48"/>
    <x v="3"/>
    <n v="1412"/>
    <n v="0.37797356828193834"/>
  </r>
  <r>
    <s v="ORD-01224"/>
    <d v="2024-05-19T00:00:00"/>
    <s v="CUST-0127"/>
    <x v="26"/>
    <s v="R030"/>
    <n v="5"/>
    <n v="5100"/>
    <n v="9.5"/>
    <n v="23077.5"/>
    <s v="Completed"/>
    <s v="Bengaluru"/>
    <s v="Beauty"/>
    <s v="SMB"/>
    <n v="36"/>
    <x v="2"/>
    <n v="2237"/>
    <n v="0.56137254901960787"/>
  </r>
  <r>
    <s v="ORD-01225"/>
    <d v="2024-10-29T00:00:00"/>
    <s v="CUST-0191"/>
    <x v="13"/>
    <s v="R011"/>
    <n v="5"/>
    <n v="3250"/>
    <n v="8.1"/>
    <n v="14933.75"/>
    <s v="Completed"/>
    <s v="Hyderabad"/>
    <s v="Home"/>
    <s v="SMB"/>
    <n v="43"/>
    <x v="1"/>
    <n v="1556"/>
    <n v="0.52123076923076928"/>
  </r>
  <r>
    <s v="ORD-01226"/>
    <d v="2024-11-13T00:00:00"/>
    <s v="CUST-0028"/>
    <x v="53"/>
    <s v="R003"/>
    <n v="6"/>
    <n v="3970"/>
    <n v="18.8"/>
    <n v="19341.84"/>
    <s v="Pending"/>
    <s v="Bengaluru"/>
    <s v="Electronics"/>
    <s v="Retail"/>
    <n v="59"/>
    <x v="0"/>
    <n v="2865"/>
    <n v="0.27833753148614609"/>
  </r>
  <r>
    <s v="ORD-01227"/>
    <d v="2024-09-11T00:00:00"/>
    <s v="CUST-0027"/>
    <x v="49"/>
    <s v="R025"/>
    <n v="4"/>
    <n v="5330"/>
    <n v="19.7"/>
    <n v="17119.96"/>
    <s v="Completed"/>
    <s v="Hyderabad"/>
    <s v="Electronics"/>
    <s v="Corporate"/>
    <n v="52"/>
    <x v="2"/>
    <n v="2405"/>
    <n v="0.54878048780487809"/>
  </r>
  <r>
    <s v="ORD-01228"/>
    <d v="2024-11-11T00:00:00"/>
    <s v="CUST-0193"/>
    <x v="41"/>
    <s v="R004"/>
    <n v="7"/>
    <n v="2660"/>
    <n v="8.5"/>
    <n v="17037.3"/>
    <s v="Completed"/>
    <s v="Bengaluru"/>
    <s v="Electronics"/>
    <s v="Retail"/>
    <n v="42"/>
    <x v="0"/>
    <n v="1259"/>
    <n v="0.52669172932330832"/>
  </r>
  <r>
    <s v="ORD-01229"/>
    <d v="2024-05-10T00:00:00"/>
    <s v="CUST-0202"/>
    <x v="4"/>
    <s v="R029"/>
    <n v="5"/>
    <n v="3160"/>
    <n v="13.4"/>
    <n v="13682.8"/>
    <s v="Pending"/>
    <s v="Chennai"/>
    <s v="Apparel"/>
    <s v="Retail"/>
    <n v="39"/>
    <x v="2"/>
    <n v="1886"/>
    <n v="0.4031645569620253"/>
  </r>
  <r>
    <s v="ORD-01230"/>
    <d v="2024-12-08T00:00:00"/>
    <s v="CUST-0230"/>
    <x v="23"/>
    <s v="R019"/>
    <n v="10"/>
    <n v="1010"/>
    <n v="14"/>
    <n v="8686"/>
    <s v="Completed"/>
    <s v="Pune"/>
    <s v="Sports"/>
    <s v="Corporate"/>
    <n v="33"/>
    <x v="3"/>
    <n v="516"/>
    <n v="0.4891089108910891"/>
  </r>
  <r>
    <s v="ORD-01231"/>
    <d v="2024-03-25T00:00:00"/>
    <s v="CUST-0280"/>
    <x v="36"/>
    <s v="R003"/>
    <n v="3"/>
    <n v="1540"/>
    <n v="13.7"/>
    <n v="3987.06"/>
    <s v="Pending"/>
    <s v="Delhi"/>
    <s v="Beauty"/>
    <s v="SMB"/>
    <n v="27"/>
    <x v="0"/>
    <n v="647"/>
    <n v="0.57987012987012987"/>
  </r>
  <r>
    <s v="ORD-01232"/>
    <d v="2024-01-22T00:00:00"/>
    <s v="CUST-0196"/>
    <x v="26"/>
    <s v="R009"/>
    <n v="10"/>
    <n v="5100"/>
    <n v="13.8"/>
    <n v="43962"/>
    <s v="Completed"/>
    <s v="Chennai"/>
    <s v="Beauty"/>
    <s v="Retail"/>
    <n v="26"/>
    <x v="1"/>
    <n v="2237"/>
    <n v="0.56137254901960787"/>
  </r>
  <r>
    <s v="ORD-01233"/>
    <d v="2024-06-14T00:00:00"/>
    <s v="CUST-0019"/>
    <x v="7"/>
    <s v="R030"/>
    <n v="3"/>
    <n v="1430"/>
    <n v="1.5"/>
    <n v="4225.6499999999996"/>
    <s v="Completed"/>
    <s v="Chennai"/>
    <s v="Electronics"/>
    <s v="Retail"/>
    <n v="22"/>
    <x v="2"/>
    <n v="861"/>
    <n v="0.39790209790209791"/>
  </r>
  <r>
    <s v="ORD-01234"/>
    <d v="2024-11-24T00:00:00"/>
    <s v="CUST-0201"/>
    <x v="8"/>
    <s v="R013"/>
    <n v="8"/>
    <n v="5490"/>
    <n v="23.2"/>
    <n v="33730.559999999998"/>
    <s v="Completed"/>
    <s v="Hyderabad"/>
    <s v="Home"/>
    <s v="Retail"/>
    <n v="31"/>
    <x v="1"/>
    <n v="2549"/>
    <n v="0.53570127504553733"/>
  </r>
  <r>
    <s v="ORD-01235"/>
    <d v="2024-07-22T00:00:00"/>
    <s v="CUST-0146"/>
    <x v="21"/>
    <s v="R008"/>
    <n v="6"/>
    <n v="1650"/>
    <n v="16.8"/>
    <n v="8236.7999999999993"/>
    <s v="Completed"/>
    <s v="Hyderabad"/>
    <s v="Beauty"/>
    <s v="Retail"/>
    <n v="22"/>
    <x v="0"/>
    <n v="1222"/>
    <n v="0.2593939393939394"/>
  </r>
  <r>
    <s v="ORD-01236"/>
    <d v="2024-06-17T00:00:00"/>
    <s v="CUST-0199"/>
    <x v="40"/>
    <s v="R018"/>
    <n v="3"/>
    <n v="3020"/>
    <n v="14.5"/>
    <n v="7746.3"/>
    <s v="Completed"/>
    <s v="Hyderabad"/>
    <s v="Beauty"/>
    <s v="SMB"/>
    <n v="31"/>
    <x v="3"/>
    <n v="1626"/>
    <n v="0.46158940397350995"/>
  </r>
  <r>
    <s v="ORD-01237"/>
    <d v="2024-05-26T00:00:00"/>
    <s v="CUST-0099"/>
    <x v="36"/>
    <s v="R003"/>
    <n v="5"/>
    <n v="1540"/>
    <n v="27.2"/>
    <n v="5605.6"/>
    <s v="Completed"/>
    <s v="Bengaluru"/>
    <s v="Beauty"/>
    <s v="SMB"/>
    <n v="54"/>
    <x v="0"/>
    <n v="647"/>
    <n v="0.57987012987012987"/>
  </r>
  <r>
    <s v="ORD-00372"/>
    <d v="2024-01-16T00:00:00"/>
    <s v="CUST-0094"/>
    <x v="58"/>
    <s v="R023"/>
    <n v="4"/>
    <n v="6940"/>
    <n v="3.2"/>
    <n v="26871.68"/>
    <s v="Completed"/>
    <s v="Pune"/>
    <s v="Sports"/>
    <s v="SMB"/>
    <n v="60"/>
    <x v="3"/>
    <n v="2827"/>
    <n v="0.5926512968299712"/>
  </r>
  <r>
    <s v="ORD-01239"/>
    <d v="2024-08-13T00:00:00"/>
    <s v="CUST-0275"/>
    <x v="26"/>
    <s v="R017"/>
    <n v="2"/>
    <n v="5100"/>
    <n v="18.100000000000001"/>
    <n v="8353.7999999999993"/>
    <s v="Completed"/>
    <s v="Mumbai"/>
    <s v="Beauty"/>
    <s v="Retail"/>
    <n v="36"/>
    <x v="3"/>
    <n v="2237"/>
    <n v="0.56137254901960787"/>
  </r>
  <r>
    <s v="ORD-01240"/>
    <d v="2024-10-10T00:00:00"/>
    <s v="CUST-0230"/>
    <x v="49"/>
    <s v="R016"/>
    <n v="6"/>
    <n v="5330"/>
    <n v="0.3"/>
    <n v="31884.06"/>
    <s v="Pending"/>
    <s v="Pune"/>
    <s v="Electronics"/>
    <s v="Corporate"/>
    <n v="33"/>
    <x v="1"/>
    <n v="2405"/>
    <n v="0.54878048780487809"/>
  </r>
  <r>
    <s v="ORD-01241"/>
    <d v="2024-06-06T00:00:00"/>
    <s v="CUST-0227"/>
    <x v="6"/>
    <s v="R029"/>
    <n v="5"/>
    <n v="960"/>
    <n v="16.600000000000001"/>
    <n v="4003.2"/>
    <s v="Completed"/>
    <s v="Bengaluru"/>
    <s v="Sports"/>
    <s v="SMB"/>
    <n v="44"/>
    <x v="2"/>
    <n v="705"/>
    <n v="0.265625"/>
  </r>
  <r>
    <s v="ORD-01365"/>
    <d v="2024-07-08T00:00:00"/>
    <s v="CUST-0200"/>
    <x v="0"/>
    <s v="R022"/>
    <n v="7"/>
    <n v="3620"/>
    <n v="5.4"/>
    <n v="23971.64"/>
    <s v="Completed"/>
    <s v="Hyderabad"/>
    <s v="Apparel"/>
    <s v="Corporate"/>
    <n v="46"/>
    <x v="3"/>
    <n v="2509"/>
    <n v="0.3069060773480663"/>
  </r>
  <r>
    <s v="ORD-01243"/>
    <d v="2024-03-17T00:00:00"/>
    <s v="CUST-0268"/>
    <x v="12"/>
    <s v="R006"/>
    <n v="6"/>
    <n v="2600"/>
    <n v="25.9"/>
    <n v="11559.6"/>
    <s v="Completed"/>
    <s v="Chennai"/>
    <s v="Electronics"/>
    <s v="Retail"/>
    <n v="35"/>
    <x v="0"/>
    <n v="1052"/>
    <n v="0.5953846153846154"/>
  </r>
  <r>
    <s v="ORD-01244"/>
    <d v="2024-01-07T00:00:00"/>
    <s v="CUST-0163"/>
    <x v="41"/>
    <s v="R013"/>
    <n v="7"/>
    <n v="2660"/>
    <n v="20.2"/>
    <n v="14858.76"/>
    <s v="Completed"/>
    <s v="Pune"/>
    <s v="Electronics"/>
    <s v="Retail"/>
    <n v="49"/>
    <x v="1"/>
    <n v="1259"/>
    <n v="0.52669172932330832"/>
  </r>
  <r>
    <s v="ORD-01245"/>
    <d v="2024-06-29T00:00:00"/>
    <s v="CUST-0233"/>
    <x v="19"/>
    <s v="R022"/>
    <n v="9"/>
    <n v="2480"/>
    <n v="14.7"/>
    <n v="19038.96"/>
    <s v="Completed"/>
    <s v="Mumbai"/>
    <s v="Apparel"/>
    <s v="SMB"/>
    <n v="65"/>
    <x v="3"/>
    <n v="1173"/>
    <n v="0.52701612903225803"/>
  </r>
  <r>
    <s v="ORD-01246"/>
    <d v="2024-10-03T00:00:00"/>
    <s v="CUST-0181"/>
    <x v="41"/>
    <s v="R015"/>
    <n v="4"/>
    <n v="2660"/>
    <n v="8.9"/>
    <n v="9693.0400000000009"/>
    <s v="Completed"/>
    <s v="Delhi"/>
    <s v="Electronics"/>
    <s v="SMB"/>
    <n v="38"/>
    <x v="1"/>
    <n v="1259"/>
    <n v="0.52669172932330832"/>
  </r>
  <r>
    <s v="ORD-01247"/>
    <d v="2024-09-05T00:00:00"/>
    <s v="CUST-0254"/>
    <x v="49"/>
    <s v="R010"/>
    <n v="1"/>
    <n v="5330"/>
    <n v="26.8"/>
    <n v="3901.56"/>
    <s v="Completed"/>
    <s v="Bengaluru"/>
    <s v="Electronics"/>
    <s v="Retail"/>
    <n v="35"/>
    <x v="1"/>
    <n v="2405"/>
    <n v="0.54878048780487809"/>
  </r>
  <r>
    <s v="ORD-01248"/>
    <d v="2024-09-09T00:00:00"/>
    <s v="CUST-0116"/>
    <x v="17"/>
    <s v="R027"/>
    <n v="6"/>
    <n v="3450"/>
    <n v="19.2"/>
    <n v="16725.599999999999"/>
    <s v="Pending"/>
    <s v="Bengaluru"/>
    <s v="Sports"/>
    <s v="Retail"/>
    <n v="53"/>
    <x v="2"/>
    <n v="2467"/>
    <n v="0.28492753623188405"/>
  </r>
  <r>
    <s v="ORD-01249"/>
    <d v="2024-02-12T00:00:00"/>
    <s v="CUST-0259"/>
    <x v="14"/>
    <s v="R025"/>
    <n v="10"/>
    <n v="190"/>
    <n v="18.100000000000001"/>
    <n v="1556.1"/>
    <s v="Completed"/>
    <s v="Mumbai"/>
    <s v="Sports"/>
    <s v="Retail"/>
    <n v="34"/>
    <x v="2"/>
    <n v="147"/>
    <n v="0.22631578947368422"/>
  </r>
  <r>
    <s v="ORD-01250"/>
    <d v="2024-10-19T00:00:00"/>
    <s v="CUST-0198"/>
    <x v="53"/>
    <s v="R009"/>
    <n v="9"/>
    <n v="3970"/>
    <n v="18.2"/>
    <n v="29227.14"/>
    <s v="Pending"/>
    <s v="Chennai"/>
    <s v="Electronics"/>
    <s v="Corporate"/>
    <n v="22"/>
    <x v="1"/>
    <n v="2865"/>
    <n v="0.27833753148614609"/>
  </r>
  <r>
    <s v="ORD-01251"/>
    <d v="2024-04-22T00:00:00"/>
    <s v="CUST-0204"/>
    <x v="39"/>
    <s v="R002"/>
    <n v="4"/>
    <n v="4610"/>
    <n v="15.1"/>
    <n v="15655.56"/>
    <s v="Cancelled"/>
    <s v="Hyderabad"/>
    <s v="Home"/>
    <s v="Retail"/>
    <n v="60"/>
    <x v="0"/>
    <n v="1850"/>
    <n v="0.59869848156182215"/>
  </r>
  <r>
    <s v="ORD-01252"/>
    <d v="2024-07-03T00:00:00"/>
    <s v="CUST-0216"/>
    <x v="43"/>
    <s v="R025"/>
    <n v="2"/>
    <n v="620"/>
    <n v="3.3"/>
    <n v="1199.08"/>
    <s v="Completed"/>
    <s v="Mumbai"/>
    <s v="Apparel"/>
    <s v="Retail"/>
    <n v="50"/>
    <x v="2"/>
    <n v="396"/>
    <n v="0.36129032258064514"/>
  </r>
  <r>
    <s v="ORD-01253"/>
    <d v="2024-07-08T00:00:00"/>
    <s v="CUST-0030"/>
    <x v="36"/>
    <s v="R025"/>
    <n v="7"/>
    <n v="1540"/>
    <n v="27.5"/>
    <n v="7815.5"/>
    <s v="Completed"/>
    <s v="Bengaluru"/>
    <s v="Beauty"/>
    <s v="Corporate"/>
    <n v="43"/>
    <x v="2"/>
    <n v="647"/>
    <n v="0.57987012987012987"/>
  </r>
  <r>
    <s v="ORD-01254"/>
    <d v="2024-07-07T00:00:00"/>
    <s v="CUST-0019"/>
    <x v="2"/>
    <s v="R017"/>
    <n v="10"/>
    <n v="470"/>
    <n v="3.9"/>
    <n v="4516.7"/>
    <s v="Completed"/>
    <s v="Chennai"/>
    <s v="Sports"/>
    <s v="Retail"/>
    <n v="22"/>
    <x v="3"/>
    <n v="302"/>
    <n v="0.35744680851063831"/>
  </r>
  <r>
    <s v="ORD-01255"/>
    <d v="2024-11-07T00:00:00"/>
    <s v="CUST-0034"/>
    <x v="24"/>
    <s v="R002"/>
    <n v="5"/>
    <n v="4880"/>
    <n v="27.4"/>
    <n v="17714.400000000001"/>
    <s v="Completed"/>
    <s v="Delhi"/>
    <s v="Beauty"/>
    <s v="Retail"/>
    <n v="47"/>
    <x v="0"/>
    <n v="2768"/>
    <n v="0.43278688524590164"/>
  </r>
  <r>
    <s v="ORD-01256"/>
    <d v="2024-09-13T00:00:00"/>
    <s v="CUST-0063"/>
    <x v="48"/>
    <s v="R029"/>
    <n v="1"/>
    <n v="5410"/>
    <n v="8.3000000000000007"/>
    <n v="4960.97"/>
    <s v="Completed"/>
    <s v="Mumbai"/>
    <s v="Sports"/>
    <s v="SMB"/>
    <n v="53"/>
    <x v="2"/>
    <n v="2265"/>
    <n v="0.58133086876155271"/>
  </r>
  <r>
    <s v="ORD-01257"/>
    <d v="2024-07-09T00:00:00"/>
    <s v="CUST-0203"/>
    <x v="35"/>
    <s v="R022"/>
    <n v="8"/>
    <n v="3870"/>
    <n v="9.3000000000000007"/>
    <n v="28080.720000000001"/>
    <s v="Pending"/>
    <s v="Chennai"/>
    <s v="Electronics"/>
    <s v="SMB"/>
    <n v="55"/>
    <x v="3"/>
    <n v="1559"/>
    <n v="0.59715762273901807"/>
  </r>
  <r>
    <s v="ORD-01258"/>
    <d v="2024-06-14T00:00:00"/>
    <s v="CUST-0016"/>
    <x v="11"/>
    <s v="R017"/>
    <n v="10"/>
    <n v="2640"/>
    <n v="19.899999999999999"/>
    <n v="21146.400000000001"/>
    <s v="Completed"/>
    <s v="Delhi"/>
    <s v="Electronics"/>
    <s v="SMB"/>
    <n v="26"/>
    <x v="3"/>
    <n v="1149"/>
    <n v="0.56477272727272732"/>
  </r>
  <r>
    <s v="ORD-01259"/>
    <d v="2024-08-04T00:00:00"/>
    <s v="CUST-0198"/>
    <x v="54"/>
    <s v="R007"/>
    <n v="1"/>
    <n v="5080"/>
    <n v="8.6"/>
    <n v="4643.12"/>
    <s v="Completed"/>
    <s v="Chennai"/>
    <s v="Home"/>
    <s v="Corporate"/>
    <n v="22"/>
    <x v="0"/>
    <n v="2459"/>
    <n v="0.51594488188976373"/>
  </r>
  <r>
    <s v="ORD-01260"/>
    <d v="2024-04-17T00:00:00"/>
    <s v="CUST-0212"/>
    <x v="13"/>
    <s v="R018"/>
    <n v="9"/>
    <n v="3250"/>
    <n v="18.2"/>
    <n v="23926.5"/>
    <s v="Pending"/>
    <s v="Chennai"/>
    <s v="Home"/>
    <s v="SMB"/>
    <n v="46"/>
    <x v="3"/>
    <n v="1556"/>
    <n v="0.52123076923076928"/>
  </r>
  <r>
    <s v="ORD-01261"/>
    <d v="2024-11-11T00:00:00"/>
    <s v="CUST-0265"/>
    <x v="53"/>
    <s v="R002"/>
    <n v="8"/>
    <n v="3970"/>
    <n v="22.4"/>
    <n v="24645.759999999998"/>
    <s v="Completed"/>
    <s v="Chennai"/>
    <s v="Electronics"/>
    <s v="Retail"/>
    <n v="49"/>
    <x v="0"/>
    <n v="2865"/>
    <n v="0.27833753148614609"/>
  </r>
  <r>
    <s v="ORD-01262"/>
    <d v="2024-04-25T00:00:00"/>
    <s v="CUST-0165"/>
    <x v="29"/>
    <s v="R017"/>
    <n v="3"/>
    <n v="660"/>
    <n v="3.1"/>
    <n v="1918.62"/>
    <s v="Completed"/>
    <s v="Pune"/>
    <s v="Home"/>
    <s v="Retail"/>
    <n v="29"/>
    <x v="3"/>
    <n v="329"/>
    <n v="0.50151515151515147"/>
  </r>
  <r>
    <s v="ORD-01263"/>
    <d v="2024-03-06T00:00:00"/>
    <s v="CUST-0109"/>
    <x v="12"/>
    <s v="R022"/>
    <n v="7"/>
    <n v="2600"/>
    <n v="15.4"/>
    <n v="15397.2"/>
    <s v="Completed"/>
    <s v="Pune"/>
    <s v="Electronics"/>
    <s v="Retail"/>
    <n v="42"/>
    <x v="3"/>
    <n v="1052"/>
    <n v="0.5953846153846154"/>
  </r>
  <r>
    <s v="ORD-01264"/>
    <d v="2024-09-30T00:00:00"/>
    <s v="CUST-0155"/>
    <x v="29"/>
    <s v="R015"/>
    <n v="9"/>
    <n v="660"/>
    <n v="23.7"/>
    <n v="4532.22"/>
    <s v="Completed"/>
    <s v="Pune"/>
    <s v="Home"/>
    <s v="Corporate"/>
    <n v="40"/>
    <x v="1"/>
    <n v="329"/>
    <n v="0.50151515151515147"/>
  </r>
  <r>
    <s v="ORD-01265"/>
    <d v="2024-04-13T00:00:00"/>
    <s v="CUST-0194"/>
    <x v="50"/>
    <s v="R021"/>
    <n v="3"/>
    <n v="2380"/>
    <n v="19.5"/>
    <n v="5747.7"/>
    <s v="Cancelled"/>
    <s v="Delhi"/>
    <s v="Grocery"/>
    <s v="SMB"/>
    <n v="55"/>
    <x v="3"/>
    <n v="1182"/>
    <n v="0.50336134453781511"/>
  </r>
  <r>
    <s v="ORD-01266"/>
    <d v="2024-11-28T00:00:00"/>
    <s v="CUST-0084"/>
    <x v="21"/>
    <s v="R010"/>
    <n v="9"/>
    <n v="1650"/>
    <n v="2.5"/>
    <n v="14478.75"/>
    <s v="Completed"/>
    <s v="Chennai"/>
    <s v="Beauty"/>
    <s v="Retail"/>
    <n v="28"/>
    <x v="1"/>
    <n v="1222"/>
    <n v="0.2593939393939394"/>
  </r>
  <r>
    <s v="ORD-01267"/>
    <d v="2024-12-24T00:00:00"/>
    <s v="CUST-9684"/>
    <x v="11"/>
    <s v="R006"/>
    <n v="8"/>
    <n v="2640"/>
    <n v="24.4"/>
    <n v="15966.72"/>
    <s v="Completed"/>
    <s v="Mumbai"/>
    <s v="Electronics"/>
    <s v=""/>
    <s v=""/>
    <x v="0"/>
    <n v="1149"/>
    <n v="0.56477272727272732"/>
  </r>
  <r>
    <s v="ORD-01268"/>
    <d v="2024-03-19T00:00:00"/>
    <s v="CUST-0218"/>
    <x v="50"/>
    <s v="R013"/>
    <n v="8"/>
    <n v="2380"/>
    <n v="24.2"/>
    <n v="14432.32"/>
    <s v="Completed"/>
    <s v="Mumbai"/>
    <s v="Grocery"/>
    <s v="Retail"/>
    <n v="39"/>
    <x v="1"/>
    <n v="1182"/>
    <n v="0.50336134453781511"/>
  </r>
  <r>
    <s v="ORD-01269"/>
    <d v="2024-03-22T00:00:00"/>
    <s v="CUST-0194"/>
    <x v="45"/>
    <s v="R007"/>
    <n v="10"/>
    <n v="2210"/>
    <n v="3.6"/>
    <n v="21304.400000000001"/>
    <s v="Completed"/>
    <s v="Delhi"/>
    <s v="Grocery"/>
    <s v="SMB"/>
    <n v="55"/>
    <x v="0"/>
    <n v="1010"/>
    <n v="0.54298642533936647"/>
  </r>
  <r>
    <s v="ORD-01270"/>
    <d v="2024-04-09T00:00:00"/>
    <s v="CUST-0037"/>
    <x v="33"/>
    <s v="R018"/>
    <n v="9"/>
    <n v="6080"/>
    <n v="17.2"/>
    <n v="45308.160000000003"/>
    <s v="Pending"/>
    <s v="Bengaluru"/>
    <s v="Beauty"/>
    <s v="Retail"/>
    <n v="52"/>
    <x v="3"/>
    <n v="2617"/>
    <n v="0.56957236842105263"/>
  </r>
  <r>
    <s v="ORD-01271"/>
    <d v="2024-02-10T00:00:00"/>
    <s v="CUST-0245"/>
    <x v="23"/>
    <s v="R022"/>
    <n v="8"/>
    <n v="1010"/>
    <n v="12.3"/>
    <n v="7086.16"/>
    <s v="Completed"/>
    <s v="Hyderabad"/>
    <s v="Sports"/>
    <s v="Retail"/>
    <n v="65"/>
    <x v="3"/>
    <n v="516"/>
    <n v="0.4891089108910891"/>
  </r>
  <r>
    <s v="ORD-01272"/>
    <d v="2024-10-17T00:00:00"/>
    <s v="CUST-0266"/>
    <x v="3"/>
    <s v="R011"/>
    <n v="8"/>
    <n v="3660"/>
    <n v="8.4"/>
    <n v="26820.48"/>
    <s v="Completed"/>
    <s v="Pune"/>
    <s v="Grocery"/>
    <s v="Retail"/>
    <n v="65"/>
    <x v="1"/>
    <n v="2214"/>
    <n v="0.39508196721311473"/>
  </r>
  <r>
    <s v="ORD-01273"/>
    <d v="2024-05-31T00:00:00"/>
    <s v="CUST-0058"/>
    <x v="39"/>
    <s v="R029"/>
    <n v="8"/>
    <n v="4610"/>
    <n v="15.4"/>
    <n v="31200.48"/>
    <s v="Cancelled"/>
    <s v="Bengaluru"/>
    <s v="Home"/>
    <s v="SMB"/>
    <n v="49"/>
    <x v="2"/>
    <n v="1850"/>
    <n v="0.59869848156182215"/>
  </r>
  <r>
    <s v="ORD-01274"/>
    <d v="2024-08-21T00:00:00"/>
    <s v="CUST-0058"/>
    <x v="26"/>
    <s v="R006"/>
    <n v="9"/>
    <n v="5100"/>
    <n v="25.2"/>
    <n v="34333.199999999997"/>
    <s v="Cancelled"/>
    <s v="Bengaluru"/>
    <s v="Beauty"/>
    <s v="SMB"/>
    <n v="49"/>
    <x v="0"/>
    <n v="2237"/>
    <n v="0.56137254901960787"/>
  </r>
  <r>
    <s v="ORD-01275"/>
    <d v="2024-03-26T00:00:00"/>
    <s v="CUST-0028"/>
    <x v="40"/>
    <s v="R019"/>
    <n v="5"/>
    <n v="3020"/>
    <n v="23"/>
    <n v="11627"/>
    <s v="Completed"/>
    <s v="Bengaluru"/>
    <s v="Beauty"/>
    <s v="Retail"/>
    <n v="59"/>
    <x v="3"/>
    <n v="1626"/>
    <n v="0.46158940397350995"/>
  </r>
  <r>
    <s v="ORD-01276"/>
    <d v="2024-05-01T00:00:00"/>
    <s v="CUST-0262"/>
    <x v="56"/>
    <s v="R015"/>
    <n v="8"/>
    <n v="3780"/>
    <n v="17.100000000000001"/>
    <n v="25068.959999999999"/>
    <s v="Completed"/>
    <s v="Mumbai"/>
    <s v="Sports"/>
    <s v="Retail"/>
    <n v="52"/>
    <x v="1"/>
    <n v="1860"/>
    <n v="0.50793650793650791"/>
  </r>
  <r>
    <s v="ORD-01277"/>
    <d v="2024-05-25T00:00:00"/>
    <s v="CUST-0241"/>
    <x v="45"/>
    <s v="R001"/>
    <n v="10"/>
    <n v="2210"/>
    <n v="8.5"/>
    <n v="20221.5"/>
    <s v="Completed"/>
    <s v="Pune"/>
    <s v="Grocery"/>
    <s v="Corporate"/>
    <n v="47"/>
    <x v="0"/>
    <n v="1010"/>
    <n v="0.54298642533936647"/>
  </r>
  <r>
    <s v="ORD-01278"/>
    <d v="2024-11-08T00:00:00"/>
    <s v="CUST-0109"/>
    <x v="45"/>
    <s v="R015"/>
    <n v="4"/>
    <n v="2210"/>
    <n v="3.1"/>
    <n v="8565.9599999999991"/>
    <s v="Completed"/>
    <s v="Pune"/>
    <s v="Grocery"/>
    <s v="Retail"/>
    <n v="42"/>
    <x v="1"/>
    <n v="1010"/>
    <n v="0.54298642533936647"/>
  </r>
  <r>
    <s v="ORD-01279"/>
    <d v="2024-09-05T00:00:00"/>
    <s v="CUST-0228"/>
    <x v="21"/>
    <s v="R015"/>
    <n v="1"/>
    <n v="1650"/>
    <n v="10"/>
    <n v="1485"/>
    <s v="Completed"/>
    <s v="Pune"/>
    <s v="Beauty"/>
    <s v="Corporate"/>
    <n v="37"/>
    <x v="1"/>
    <n v="1222"/>
    <n v="0.2593939393939394"/>
  </r>
  <r>
    <s v="ORD-01280"/>
    <d v="2024-11-01T00:00:00"/>
    <s v="CUST-0239"/>
    <x v="14"/>
    <s v="R005"/>
    <n v="6"/>
    <n v="190"/>
    <n v="3.5"/>
    <n v="1100.0999999999999"/>
    <s v="Cancelled"/>
    <s v="Mumbai"/>
    <s v="Sports"/>
    <s v="Retail"/>
    <n v="61"/>
    <x v="0"/>
    <n v="147"/>
    <n v="0.22631578947368422"/>
  </r>
  <r>
    <s v="ORD-01281"/>
    <d v="2024-10-24T00:00:00"/>
    <s v="CUST-0092"/>
    <x v="27"/>
    <s v="R027"/>
    <n v="8"/>
    <n v="2860"/>
    <n v="14.7"/>
    <n v="19516.64"/>
    <s v="Completed"/>
    <s v="Bengaluru"/>
    <s v="Sports"/>
    <s v="SMB"/>
    <n v="28"/>
    <x v="2"/>
    <n v="2028"/>
    <n v="0.29090909090909089"/>
  </r>
  <r>
    <s v="ORD-01282"/>
    <d v="2024-06-05T00:00:00"/>
    <s v="CUST-0283"/>
    <x v="42"/>
    <s v="R030"/>
    <n v="9"/>
    <n v="300"/>
    <n v="19.5"/>
    <n v="2173.5"/>
    <s v="Completed"/>
    <s v="Delhi"/>
    <s v="Electronics"/>
    <s v="SMB"/>
    <n v="50"/>
    <x v="2"/>
    <n v="128"/>
    <n v="0.57333333333333336"/>
  </r>
  <r>
    <s v="ORD-01283"/>
    <d v="2024-11-12T00:00:00"/>
    <s v="CUST-0206"/>
    <x v="51"/>
    <s v="R007"/>
    <n v="10"/>
    <n v="960"/>
    <n v="9.6999999999999993"/>
    <n v="8668.7999999999993"/>
    <s v="Completed"/>
    <s v="Mumbai"/>
    <s v="Beauty"/>
    <s v="Retail"/>
    <n v="40"/>
    <x v="0"/>
    <n v="675"/>
    <n v="0.296875"/>
  </r>
  <r>
    <s v="ORD-01284"/>
    <d v="2024-05-09T00:00:00"/>
    <s v="CUST-0174"/>
    <x v="1"/>
    <s v="R013"/>
    <n v="5"/>
    <n v="820"/>
    <n v="0.5"/>
    <n v="4079.5"/>
    <s v="Completed"/>
    <s v="Pune"/>
    <s v="Apparel"/>
    <s v="Retail"/>
    <n v="54"/>
    <x v="1"/>
    <n v="391"/>
    <n v="0.52317073170731709"/>
  </r>
  <r>
    <s v="ORD-01285"/>
    <d v="2024-04-01T00:00:00"/>
    <s v="CUST-0040"/>
    <x v="5"/>
    <s v="R004"/>
    <n v="2"/>
    <n v="370"/>
    <n v="10.5"/>
    <n v="662.3"/>
    <s v="Pending"/>
    <s v="Chennai"/>
    <s v="Home"/>
    <s v="Retail"/>
    <n v="28"/>
    <x v="0"/>
    <n v="288"/>
    <n v="0.22162162162162163"/>
  </r>
  <r>
    <s v="ORD-01286"/>
    <d v="2024-06-10T00:00:00"/>
    <s v="CUST-0153"/>
    <x v="8"/>
    <s v="R023"/>
    <n v="9"/>
    <n v="5490"/>
    <n v="14.2"/>
    <n v="42393.78"/>
    <s v="Cancelled"/>
    <s v="Mumbai"/>
    <s v="Home"/>
    <s v="Retail"/>
    <n v="35"/>
    <x v="3"/>
    <n v="2549"/>
    <n v="0.53570127504553733"/>
  </r>
  <r>
    <s v="ORD-01287"/>
    <d v="2024-04-16T00:00:00"/>
    <s v="CUST-0236"/>
    <x v="5"/>
    <s v="R018"/>
    <n v="3"/>
    <n v="370"/>
    <n v="18.399999999999999"/>
    <n v="905.76"/>
    <s v="Completed"/>
    <s v="Hyderabad"/>
    <s v="Home"/>
    <s v="SMB"/>
    <n v="28"/>
    <x v="3"/>
    <n v="288"/>
    <n v="0.22162162162162163"/>
  </r>
  <r>
    <s v="ORD-01288"/>
    <d v="2024-10-19T00:00:00"/>
    <s v="CUST-0295"/>
    <x v="14"/>
    <s v="R018"/>
    <n v="6"/>
    <n v="190"/>
    <n v="12.9"/>
    <n v="992.94"/>
    <s v="Completed"/>
    <s v="Delhi"/>
    <s v="Sports"/>
    <s v="SMB"/>
    <n v="48"/>
    <x v="3"/>
    <n v="147"/>
    <n v="0.22631578947368422"/>
  </r>
  <r>
    <s v="ORD-01289"/>
    <d v="2024-04-15T00:00:00"/>
    <s v="CUST-0145"/>
    <x v="45"/>
    <s v="R023"/>
    <n v="8"/>
    <n v="2210"/>
    <n v="9.8000000000000007"/>
    <n v="15947.36"/>
    <s v="Completed"/>
    <s v="Bengaluru"/>
    <s v="Grocery"/>
    <s v="SMB"/>
    <n v="44"/>
    <x v="3"/>
    <n v="1010"/>
    <n v="0.54298642533936647"/>
  </r>
  <r>
    <s v="ORD-01290"/>
    <d v="2024-06-10T00:00:00"/>
    <s v="CUST-0192"/>
    <x v="21"/>
    <s v="R009"/>
    <n v="7"/>
    <n v="1650"/>
    <n v="8.4"/>
    <n v="10579.8"/>
    <s v="Completed"/>
    <s v="Bengaluru"/>
    <s v="Beauty"/>
    <s v="Retail"/>
    <n v="55"/>
    <x v="1"/>
    <n v="1222"/>
    <n v="0.2593939393939394"/>
  </r>
  <r>
    <s v="ORD-01291"/>
    <d v="2024-03-08T00:00:00"/>
    <s v="CUST-0148"/>
    <x v="29"/>
    <s v="R013"/>
    <n v="8"/>
    <n v="660"/>
    <n v="7.5"/>
    <n v="4884"/>
    <s v="Completed"/>
    <s v="Chennai"/>
    <s v="Home"/>
    <s v="Retail"/>
    <n v="32"/>
    <x v="1"/>
    <n v="329"/>
    <n v="0.50151515151515147"/>
  </r>
  <r>
    <s v="ORD-01292"/>
    <d v="2024-12-18T00:00:00"/>
    <s v="CUST-0227"/>
    <x v="39"/>
    <s v="R004"/>
    <n v="3"/>
    <n v="4610"/>
    <n v="29.6"/>
    <n v="9736.32"/>
    <s v="Completed"/>
    <s v="Bengaluru"/>
    <s v="Home"/>
    <s v="SMB"/>
    <n v="44"/>
    <x v="0"/>
    <n v="1850"/>
    <n v="0.59869848156182215"/>
  </r>
  <r>
    <s v="ORD-01293"/>
    <d v="2024-02-03T00:00:00"/>
    <s v="CUST-0170"/>
    <x v="45"/>
    <s v="R025"/>
    <n v="6"/>
    <n v="2210"/>
    <n v="9.5"/>
    <n v="12000.3"/>
    <s v="Completed"/>
    <s v="Mumbai"/>
    <s v="Grocery"/>
    <s v="SMB"/>
    <n v="22"/>
    <x v="2"/>
    <n v="1010"/>
    <n v="0.54298642533936647"/>
  </r>
  <r>
    <s v="ORD-01294"/>
    <d v="2024-08-29T00:00:00"/>
    <s v="CUST-0102"/>
    <x v="52"/>
    <s v="R017"/>
    <n v="4"/>
    <n v="2290"/>
    <n v="3.3"/>
    <n v="8857.7199999999993"/>
    <s v="Completed"/>
    <s v="Chennai"/>
    <s v="Beauty"/>
    <s v="SMB"/>
    <n v="62"/>
    <x v="3"/>
    <n v="1219"/>
    <n v="0.46768558951965067"/>
  </r>
  <r>
    <s v="ORD-01295"/>
    <d v="2024-03-18T00:00:00"/>
    <s v="CUST-0071"/>
    <x v="18"/>
    <s v="R026"/>
    <n v="5"/>
    <n v="1080"/>
    <n v="26.1"/>
    <n v="3990.6"/>
    <s v="Completed"/>
    <s v="Delhi"/>
    <s v="Home"/>
    <s v="Corporate"/>
    <n v="46"/>
    <x v="2"/>
    <n v="519"/>
    <n v="0.51944444444444449"/>
  </r>
  <r>
    <s v="ORD-01296"/>
    <d v="2024-01-21T00:00:00"/>
    <s v="CUST-0080"/>
    <x v="6"/>
    <s v="R010"/>
    <n v="7"/>
    <n v="960"/>
    <n v="17.7"/>
    <n v="5530.56"/>
    <s v="Completed"/>
    <s v="Pune"/>
    <s v="Sports"/>
    <s v="SMB"/>
    <n v="30"/>
    <x v="1"/>
    <n v="705"/>
    <n v="0.265625"/>
  </r>
  <r>
    <s v="ORD-01297"/>
    <d v="2024-06-02T00:00:00"/>
    <s v="CUST-0272"/>
    <x v="15"/>
    <s v="R008"/>
    <n v="1"/>
    <n v="2400"/>
    <n v="29.9"/>
    <n v="1682.4"/>
    <s v="Completed"/>
    <s v="Mumbai"/>
    <s v="Sports"/>
    <s v="SMB"/>
    <n v="47"/>
    <x v="0"/>
    <n v="974"/>
    <n v="0.59416666666666662"/>
  </r>
  <r>
    <s v="ORD-01298"/>
    <d v="2024-12-10T00:00:00"/>
    <s v="CUST-0076"/>
    <x v="52"/>
    <s v="R010"/>
    <n v="9"/>
    <n v="2290"/>
    <n v="28.8"/>
    <n v="14674.32"/>
    <s v="Completed"/>
    <s v="Mumbai"/>
    <s v="Beauty"/>
    <s v="Retail"/>
    <n v="38"/>
    <x v="1"/>
    <n v="1219"/>
    <n v="0.46768558951965067"/>
  </r>
  <r>
    <s v="ORD-01299"/>
    <d v="2024-01-03T00:00:00"/>
    <s v="CUST-0222"/>
    <x v="18"/>
    <s v="R018"/>
    <n v="9"/>
    <n v="1080"/>
    <n v="10.3"/>
    <n v="8718.84"/>
    <s v="Completed"/>
    <s v="Chennai"/>
    <s v="Home"/>
    <s v="Retail"/>
    <n v="37"/>
    <x v="3"/>
    <n v="519"/>
    <n v="0.51944444444444449"/>
  </r>
  <r>
    <s v="ORD-01300"/>
    <d v="2024-06-06T00:00:00"/>
    <s v="CUST-0091"/>
    <x v="57"/>
    <s v="R004"/>
    <n v="1"/>
    <n v="1090"/>
    <n v="5.8"/>
    <n v="1026.78"/>
    <s v="Cancelled"/>
    <s v="Delhi"/>
    <s v="Home"/>
    <s v="Retail"/>
    <n v="55"/>
    <x v="0"/>
    <n v="464"/>
    <n v="0.57431192660550456"/>
  </r>
  <r>
    <s v="ORD-01301"/>
    <d v="2024-09-25T00:00:00"/>
    <s v="CUST-0126"/>
    <x v="45"/>
    <s v="R018"/>
    <n v="3"/>
    <n v="2210"/>
    <n v="18.2"/>
    <n v="5423.34"/>
    <s v="Pending"/>
    <s v="Mumbai"/>
    <s v="Grocery"/>
    <s v="Retail"/>
    <n v="37"/>
    <x v="3"/>
    <n v="1010"/>
    <n v="0.54298642533936647"/>
  </r>
  <r>
    <s v="ORD-01302"/>
    <d v="2024-10-23T00:00:00"/>
    <s v="CUST-0241"/>
    <x v="0"/>
    <s v="R015"/>
    <n v="8"/>
    <n v="3620"/>
    <n v="1.4"/>
    <n v="28554.560000000001"/>
    <s v="Completed"/>
    <s v="Pune"/>
    <s v="Apparel"/>
    <s v="Corporate"/>
    <n v="47"/>
    <x v="1"/>
    <n v="2509"/>
    <n v="0.3069060773480663"/>
  </r>
  <r>
    <s v="ORD-01303"/>
    <d v="2024-03-09T00:00:00"/>
    <s v="CUST-0118"/>
    <x v="44"/>
    <s v="R011"/>
    <n v="7"/>
    <n v="2030"/>
    <n v="27.7"/>
    <n v="10273.83"/>
    <s v="Completed"/>
    <s v="Hyderabad"/>
    <s v="Home"/>
    <s v="Retail"/>
    <n v="26"/>
    <x v="1"/>
    <n v="1143"/>
    <n v="0.43694581280788175"/>
  </r>
  <r>
    <s v="ORD-01304"/>
    <d v="2024-01-25T00:00:00"/>
    <s v="CUST-0090"/>
    <x v="35"/>
    <s v="R023"/>
    <n v="1"/>
    <n v="3870"/>
    <n v="29.6"/>
    <n v="2724.48"/>
    <s v="Completed"/>
    <s v="Bengaluru"/>
    <s v="Electronics"/>
    <s v="Corporate"/>
    <n v="26"/>
    <x v="3"/>
    <n v="1559"/>
    <n v="0.59715762273901807"/>
  </r>
  <r>
    <s v="ORD-01305"/>
    <d v="2024-02-02T00:00:00"/>
    <s v="CUST-0037"/>
    <x v="25"/>
    <s v="R014"/>
    <n v="5"/>
    <n v="3570"/>
    <n v="11.8"/>
    <n v="15743.7"/>
    <s v="Refunded"/>
    <s v="Bengaluru"/>
    <s v="Electronics"/>
    <s v="Retail"/>
    <n v="52"/>
    <x v="1"/>
    <n v="1665"/>
    <n v="0.53361344537815125"/>
  </r>
  <r>
    <s v="ORD-01306"/>
    <d v="2024-12-24T00:00:00"/>
    <s v="CUST-0083"/>
    <x v="49"/>
    <s v="R019"/>
    <n v="7"/>
    <n v="5330"/>
    <n v="8.1999999999999993"/>
    <n v="34250.58"/>
    <s v="Completed"/>
    <s v="Bengaluru"/>
    <s v="Electronics"/>
    <s v="Corporate"/>
    <n v="31"/>
    <x v="3"/>
    <n v="2405"/>
    <n v="0.54878048780487809"/>
  </r>
  <r>
    <s v="ORD-01307"/>
    <d v="2024-09-29T00:00:00"/>
    <s v="CUST-0154"/>
    <x v="38"/>
    <s v="R009"/>
    <n v="5"/>
    <n v="1220"/>
    <n v="17.8"/>
    <n v="5014.2"/>
    <s v="Refunded"/>
    <s v="Pune"/>
    <s v="Electronics"/>
    <s v="Retail"/>
    <n v="36"/>
    <x v="1"/>
    <n v="517"/>
    <n v="0.57622950819672136"/>
  </r>
  <r>
    <s v="ORD-01308"/>
    <d v="2024-10-22T00:00:00"/>
    <s v="CUST-0265"/>
    <x v="55"/>
    <s v="R019"/>
    <n v="7"/>
    <n v="3450"/>
    <n v="29.3"/>
    <n v="17074.05"/>
    <s v="Completed"/>
    <s v="Chennai"/>
    <s v="Apparel"/>
    <s v="Retail"/>
    <n v="49"/>
    <x v="3"/>
    <n v="1748"/>
    <n v="0.49333333333333335"/>
  </r>
  <r>
    <s v="ORD-01309"/>
    <d v="2024-09-03T00:00:00"/>
    <s v="CUST-0115"/>
    <x v="59"/>
    <s v="R013"/>
    <n v="6"/>
    <n v="3560"/>
    <n v="9.4"/>
    <n v="19352.16"/>
    <s v="Pending"/>
    <s v="Mumbai"/>
    <s v="Apparel"/>
    <s v="SMB"/>
    <n v="65"/>
    <x v="1"/>
    <n v="2629"/>
    <n v="0.26151685393258428"/>
  </r>
  <r>
    <s v="ORD-01310"/>
    <d v="2024-04-03T00:00:00"/>
    <s v="CUST-0274"/>
    <x v="5"/>
    <s v="R005"/>
    <n v="4"/>
    <n v="370"/>
    <n v="4.9000000000000004"/>
    <n v="1407.48"/>
    <s v="Completed"/>
    <s v="Bengaluru"/>
    <s v="Home"/>
    <s v="Corporate"/>
    <n v="36"/>
    <x v="0"/>
    <n v="288"/>
    <n v="0.22162162162162163"/>
  </r>
  <r>
    <s v="ORD-01311"/>
    <d v="2024-12-21T00:00:00"/>
    <s v="CUST-0269"/>
    <x v="38"/>
    <s v="R003"/>
    <n v="1"/>
    <n v="1220"/>
    <n v="15.2"/>
    <n v="1034.56"/>
    <s v="Completed"/>
    <s v="Pune"/>
    <s v="Electronics"/>
    <s v="Retail"/>
    <n v="48"/>
    <x v="0"/>
    <n v="517"/>
    <n v="0.57622950819672136"/>
  </r>
  <r>
    <s v="ORD-01312"/>
    <d v="2024-06-23T00:00:00"/>
    <s v="CUST-0045"/>
    <x v="32"/>
    <s v="R006"/>
    <n v="3"/>
    <n v="3640"/>
    <n v="12.3"/>
    <n v="9576.84"/>
    <s v="Pending"/>
    <s v="Chennai"/>
    <s v="Apparel"/>
    <s v="SMB"/>
    <n v="39"/>
    <x v="0"/>
    <n v="2611"/>
    <n v="0.28269230769230769"/>
  </r>
  <r>
    <s v="ORD-01313"/>
    <d v="2024-09-24T00:00:00"/>
    <s v="CUST-0054"/>
    <x v="40"/>
    <s v="R010"/>
    <n v="8"/>
    <n v="3020"/>
    <n v="28.2"/>
    <n v="17346.88"/>
    <s v="Pending"/>
    <s v="Mumbai"/>
    <s v="Beauty"/>
    <s v="Corporate"/>
    <n v="62"/>
    <x v="1"/>
    <n v="1626"/>
    <n v="0.46158940397350995"/>
  </r>
  <r>
    <s v="ORD-01314"/>
    <d v="2024-06-26T00:00:00"/>
    <s v="CUST-0160"/>
    <x v="26"/>
    <s v="R008"/>
    <n v="3"/>
    <n v="5100"/>
    <n v="7.8"/>
    <n v="14106.6"/>
    <s v="Completed"/>
    <s v="Hyderabad"/>
    <s v="Beauty"/>
    <s v="Retail"/>
    <n v="27"/>
    <x v="0"/>
    <n v="2237"/>
    <n v="0.56137254901960787"/>
  </r>
  <r>
    <s v="ORD-01315"/>
    <d v="2024-04-25T00:00:00"/>
    <s v="CUST-0163"/>
    <x v="42"/>
    <s v="R001"/>
    <n v="9"/>
    <n v="300"/>
    <n v="19"/>
    <n v="2187"/>
    <s v="Completed"/>
    <s v="Pune"/>
    <s v="Electronics"/>
    <s v="Retail"/>
    <n v="49"/>
    <x v="0"/>
    <n v="128"/>
    <n v="0.57333333333333336"/>
  </r>
  <r>
    <s v="ORD-01316"/>
    <d v="2024-12-08T00:00:00"/>
    <s v="CUST-0006"/>
    <x v="52"/>
    <s v="R007"/>
    <n v="10"/>
    <n v="2290"/>
    <n v="27.7"/>
    <n v="16556.7"/>
    <s v="Completed"/>
    <s v="Pune"/>
    <s v="Beauty"/>
    <s v="SMB"/>
    <n v="44"/>
    <x v="0"/>
    <n v="1219"/>
    <n v="0.46768558951965067"/>
  </r>
  <r>
    <s v="ORD-01317"/>
    <d v="2024-06-11T00:00:00"/>
    <s v="CUST-0142"/>
    <x v="32"/>
    <s v="R024"/>
    <n v="9"/>
    <n v="3640"/>
    <n v="20.100000000000001"/>
    <n v="26175.24"/>
    <s v="Completed"/>
    <s v="Chennai"/>
    <s v="Apparel"/>
    <s v="Corporate"/>
    <n v="55"/>
    <x v="2"/>
    <n v="2611"/>
    <n v="0.28269230769230769"/>
  </r>
  <r>
    <s v="ORD-01318"/>
    <d v="2024-09-30T00:00:00"/>
    <s v="CUST-0262"/>
    <x v="1"/>
    <s v="R022"/>
    <n v="4"/>
    <n v="820"/>
    <n v="7.6"/>
    <n v="3030.72"/>
    <s v="Completed"/>
    <s v="Mumbai"/>
    <s v="Apparel"/>
    <s v="Retail"/>
    <n v="52"/>
    <x v="3"/>
    <n v="391"/>
    <n v="0.52317073170731709"/>
  </r>
  <r>
    <s v="ORD-01319"/>
    <d v="2024-05-31T00:00:00"/>
    <s v="CUST-0049"/>
    <x v="9"/>
    <s v="R014"/>
    <n v="1"/>
    <n v="970"/>
    <n v="1.7"/>
    <n v="953.51"/>
    <s v="Completed"/>
    <s v="Mumbai"/>
    <s v="Grocery"/>
    <s v="Corporate"/>
    <n v="42"/>
    <x v="1"/>
    <n v="434"/>
    <n v="0.5525773195876289"/>
  </r>
  <r>
    <s v="ORD-01320"/>
    <d v="2024-01-27T00:00:00"/>
    <s v="CUST-0204"/>
    <x v="59"/>
    <s v="R019"/>
    <n v="5"/>
    <n v="3560"/>
    <n v="10.5"/>
    <n v="15931"/>
    <s v="Completed"/>
    <s v="Hyderabad"/>
    <s v="Apparel"/>
    <s v="Retail"/>
    <n v="60"/>
    <x v="3"/>
    <n v="2629"/>
    <n v="0.26151685393258428"/>
  </r>
  <r>
    <s v="ORD-01321"/>
    <d v="2024-01-17T00:00:00"/>
    <s v="CUST-0164"/>
    <x v="57"/>
    <s v="R009"/>
    <n v="6"/>
    <n v="1090"/>
    <n v="2.4"/>
    <n v="6383.04"/>
    <s v="Pending"/>
    <s v="Chennai"/>
    <s v="Home"/>
    <s v="Retail"/>
    <n v="60"/>
    <x v="1"/>
    <n v="464"/>
    <n v="0.57431192660550456"/>
  </r>
  <r>
    <s v="ORD-01322"/>
    <d v="2024-01-15T00:00:00"/>
    <s v="CUST-0003"/>
    <x v="41"/>
    <s v="R017"/>
    <n v="6"/>
    <n v="2660"/>
    <n v="6.4"/>
    <n v="14938.56"/>
    <s v="Completed"/>
    <s v="Mumbai"/>
    <s v="Electronics"/>
    <s v="Retail"/>
    <n v="33"/>
    <x v="3"/>
    <n v="1259"/>
    <n v="0.52669172932330832"/>
  </r>
  <r>
    <s v="ORD-01323"/>
    <d v="2024-05-20T00:00:00"/>
    <s v="CUST-0032"/>
    <x v="53"/>
    <s v="R001"/>
    <n v="5"/>
    <n v="3970"/>
    <n v="18.8"/>
    <n v="16118.2"/>
    <s v="Pending"/>
    <s v="Hyderabad"/>
    <s v="Electronics"/>
    <s v="Retail"/>
    <n v="28"/>
    <x v="0"/>
    <n v="2865"/>
    <n v="0.27833753148614609"/>
  </r>
  <r>
    <s v="ORD-01324"/>
    <d v="2024-03-18T00:00:00"/>
    <s v="CUST-0208"/>
    <x v="58"/>
    <s v="R021"/>
    <n v="7"/>
    <n v="6940"/>
    <n v="23.8"/>
    <n v="37017.96"/>
    <s v="Refunded"/>
    <s v="Mumbai"/>
    <s v="Sports"/>
    <s v="Retail"/>
    <n v="49"/>
    <x v="3"/>
    <n v="2827"/>
    <n v="0.5926512968299712"/>
  </r>
  <r>
    <s v="ORD-01325"/>
    <d v="2024-09-09T00:00:00"/>
    <s v="CUST-0183"/>
    <x v="15"/>
    <s v="R004"/>
    <n v="3"/>
    <n v="2400"/>
    <n v="9.8000000000000007"/>
    <n v="6494.4"/>
    <s v="Completed"/>
    <s v="Mumbai"/>
    <s v="Sports"/>
    <s v="SMB"/>
    <n v="27"/>
    <x v="0"/>
    <n v="974"/>
    <n v="0.59416666666666662"/>
  </r>
  <r>
    <s v="ORD-01326"/>
    <d v="2024-04-13T00:00:00"/>
    <s v="CUST-0021"/>
    <x v="17"/>
    <s v="R023"/>
    <n v="8"/>
    <n v="3450"/>
    <n v="26.6"/>
    <n v="20258.400000000001"/>
    <s v="Cancelled"/>
    <s v="Pune"/>
    <s v="Sports"/>
    <s v="Retail"/>
    <n v="44"/>
    <x v="3"/>
    <n v="2467"/>
    <n v="0.28492753623188405"/>
  </r>
  <r>
    <s v="ORD-01327"/>
    <d v="2024-04-07T00:00:00"/>
    <s v="CUST-0080"/>
    <x v="38"/>
    <s v="R004"/>
    <n v="4"/>
    <n v="1220"/>
    <n v="5.5"/>
    <n v="4611.6000000000004"/>
    <s v="Completed"/>
    <s v="Pune"/>
    <s v="Electronics"/>
    <s v="SMB"/>
    <n v="30"/>
    <x v="0"/>
    <n v="517"/>
    <n v="0.57622950819672136"/>
  </r>
  <r>
    <s v="ORD-01328"/>
    <d v="2024-09-01T00:00:00"/>
    <s v="CUST-0286"/>
    <x v="43"/>
    <s v="R007"/>
    <n v="1"/>
    <n v="620"/>
    <n v="22.3"/>
    <n v="481.74"/>
    <s v="Pending"/>
    <s v="Delhi"/>
    <s v="Apparel"/>
    <s v="Retail"/>
    <n v="62"/>
    <x v="0"/>
    <n v="396"/>
    <n v="0.36129032258064514"/>
  </r>
  <r>
    <s v="ORD-01329"/>
    <d v="2024-02-26T00:00:00"/>
    <s v="CUST-0152"/>
    <x v="42"/>
    <s v="R023"/>
    <n v="1"/>
    <n v="300"/>
    <n v="12.5"/>
    <n v="262.5"/>
    <s v="Completed"/>
    <s v="Bengaluru"/>
    <s v="Electronics"/>
    <s v="SMB"/>
    <n v="64"/>
    <x v="3"/>
    <n v="128"/>
    <n v="0.57333333333333336"/>
  </r>
  <r>
    <s v="ORD-01330"/>
    <d v="2024-07-29T00:00:00"/>
    <s v="CUST-0254"/>
    <x v="23"/>
    <s v="R020"/>
    <n v="3"/>
    <n v="1010"/>
    <n v="14.1"/>
    <n v="2602.77"/>
    <s v="Completed"/>
    <s v="Bengaluru"/>
    <s v="Sports"/>
    <s v="Retail"/>
    <n v="35"/>
    <x v="3"/>
    <n v="516"/>
    <n v="0.4891089108910891"/>
  </r>
  <r>
    <s v="ORD-01331"/>
    <d v="2024-11-04T00:00:00"/>
    <s v="CUST-0290"/>
    <x v="54"/>
    <s v="R027"/>
    <n v="2"/>
    <n v="5080"/>
    <n v="16.8"/>
    <n v="8453.1200000000008"/>
    <s v="Completed"/>
    <s v="Delhi"/>
    <s v="Home"/>
    <s v="Retail"/>
    <n v="63"/>
    <x v="2"/>
    <n v="2459"/>
    <n v="0.51594488188976373"/>
  </r>
  <r>
    <s v="ORD-01332"/>
    <d v="2024-05-04T00:00:00"/>
    <s v="CUST-0101"/>
    <x v="4"/>
    <s v="R027"/>
    <n v="2"/>
    <n v="3160"/>
    <n v="21.4"/>
    <n v="4967.5200000000004"/>
    <s v="Completed"/>
    <s v="Hyderabad"/>
    <s v="Apparel"/>
    <s v="SMB"/>
    <n v="40"/>
    <x v="2"/>
    <n v="1886"/>
    <n v="0.4031645569620253"/>
  </r>
  <r>
    <s v="ORD-01333"/>
    <d v="2024-08-31T00:00:00"/>
    <s v="CUST-0058"/>
    <x v="16"/>
    <s v="R016"/>
    <n v="7"/>
    <n v="3450"/>
    <n v="21.3"/>
    <n v="19006.05"/>
    <s v="Completed"/>
    <s v="Bengaluru"/>
    <s v="Beauty"/>
    <s v="SMB"/>
    <n v="49"/>
    <x v="1"/>
    <n v="2420"/>
    <n v="0.29855072463768118"/>
  </r>
  <r>
    <s v="ORD-01334"/>
    <d v="2024-01-31T00:00:00"/>
    <s v="CUST-0296"/>
    <x v="49"/>
    <s v="R006"/>
    <n v="2"/>
    <n v="5330"/>
    <n v="4.3"/>
    <n v="10201.620000000001"/>
    <s v="Completed"/>
    <s v="Delhi"/>
    <s v="Electronics"/>
    <s v="Corporate"/>
    <n v="47"/>
    <x v="0"/>
    <n v="2405"/>
    <n v="0.54878048780487809"/>
  </r>
  <r>
    <s v="ORD-01335"/>
    <d v="2024-11-30T00:00:00"/>
    <s v="CUST-0249"/>
    <x v="58"/>
    <s v="R014"/>
    <n v="5"/>
    <n v="6940"/>
    <n v="2.9"/>
    <n v="33693.699999999997"/>
    <s v="Completed"/>
    <s v="Mumbai"/>
    <s v="Sports"/>
    <s v="Retail"/>
    <n v="44"/>
    <x v="1"/>
    <n v="2827"/>
    <n v="0.5926512968299712"/>
  </r>
  <r>
    <s v="ORD-01336"/>
    <d v="2024-08-30T00:00:00"/>
    <s v="CUST-0055"/>
    <x v="29"/>
    <s v="R028"/>
    <n v="5"/>
    <n v="660"/>
    <n v="15.8"/>
    <n v="2778.6"/>
    <s v="Completed"/>
    <s v="Bengaluru"/>
    <s v="Home"/>
    <s v="Retail"/>
    <n v="34"/>
    <x v="2"/>
    <n v="329"/>
    <n v="0.50151515151515147"/>
  </r>
  <r>
    <s v="ORD-01337"/>
    <d v="2024-08-15T00:00:00"/>
    <s v="CUST-0005"/>
    <x v="26"/>
    <s v="R013"/>
    <n v="9"/>
    <n v="5100"/>
    <n v="0.4"/>
    <n v="45716.4"/>
    <s v="Completed"/>
    <s v="Chennai"/>
    <s v="Beauty"/>
    <s v="Corporate"/>
    <n v="52"/>
    <x v="1"/>
    <n v="2237"/>
    <n v="0.56137254901960787"/>
  </r>
  <r>
    <s v="ORD-01338"/>
    <d v="2024-01-24T00:00:00"/>
    <s v="CUST-9595"/>
    <x v="21"/>
    <s v="R014"/>
    <n v="5"/>
    <n v="1650"/>
    <n v="0.8"/>
    <n v="8184"/>
    <s v="Pending"/>
    <s v="Chennai"/>
    <s v="Beauty"/>
    <s v=""/>
    <s v=""/>
    <x v="1"/>
    <n v="1222"/>
    <n v="0.2593939393939394"/>
  </r>
  <r>
    <s v="ORD-01339"/>
    <d v="2024-10-01T00:00:00"/>
    <s v="CUST-0138"/>
    <x v="32"/>
    <s v="R018"/>
    <n v="7"/>
    <n v="3640"/>
    <n v="25.5"/>
    <n v="18982.599999999999"/>
    <s v="Completed"/>
    <s v="Chennai"/>
    <s v="Apparel"/>
    <s v="Retail"/>
    <n v="24"/>
    <x v="3"/>
    <n v="2611"/>
    <n v="0.28269230769230769"/>
  </r>
  <r>
    <s v="ORD-01340"/>
    <d v="2024-12-17T00:00:00"/>
    <s v="CUST-0112"/>
    <x v="24"/>
    <s v="R029"/>
    <n v="6"/>
    <n v="4880"/>
    <n v="12.6"/>
    <n v="25590.720000000001"/>
    <s v="Cancelled"/>
    <s v="Hyderabad"/>
    <s v="Beauty"/>
    <s v="Retail"/>
    <n v="64"/>
    <x v="2"/>
    <n v="2768"/>
    <n v="0.43278688524590164"/>
  </r>
  <r>
    <s v="ORD-01341"/>
    <d v="2024-05-10T00:00:00"/>
    <s v="CUST-0254"/>
    <x v="49"/>
    <s v="R028"/>
    <n v="4"/>
    <n v="5330"/>
    <n v="16.2"/>
    <n v="17866.16"/>
    <s v="Completed"/>
    <s v="Bengaluru"/>
    <s v="Electronics"/>
    <s v="Retail"/>
    <n v="35"/>
    <x v="2"/>
    <n v="2405"/>
    <n v="0.54878048780487809"/>
  </r>
  <r>
    <s v="ORD-01342"/>
    <d v="2024-04-18T00:00:00"/>
    <s v="CUST-0087"/>
    <x v="8"/>
    <s v="R023"/>
    <n v="3"/>
    <n v="5490"/>
    <n v="26.7"/>
    <n v="12072.51"/>
    <s v="Completed"/>
    <s v="Pune"/>
    <s v="Home"/>
    <s v="SMB"/>
    <n v="49"/>
    <x v="3"/>
    <n v="2549"/>
    <n v="0.53570127504553733"/>
  </r>
  <r>
    <s v="ORD-01343"/>
    <d v="2024-09-29T00:00:00"/>
    <s v="CUST-0142"/>
    <x v="14"/>
    <s v="R002"/>
    <n v="7"/>
    <n v="190"/>
    <n v="11.6"/>
    <n v="1175.72"/>
    <s v="Completed"/>
    <s v="Chennai"/>
    <s v="Sports"/>
    <s v="Corporate"/>
    <n v="55"/>
    <x v="0"/>
    <n v="147"/>
    <n v="0.22631578947368422"/>
  </r>
  <r>
    <s v="ORD-01344"/>
    <d v="2024-05-25T00:00:00"/>
    <s v="CUST-0293"/>
    <x v="4"/>
    <s v="R016"/>
    <n v="5"/>
    <n v="3160"/>
    <n v="24.1"/>
    <n v="11992.2"/>
    <s v="Completed"/>
    <s v="Bengaluru"/>
    <s v="Apparel"/>
    <s v="Retail"/>
    <n v="27"/>
    <x v="1"/>
    <n v="1886"/>
    <n v="0.4031645569620253"/>
  </r>
  <r>
    <s v="ORD-01345"/>
    <d v="2024-04-13T00:00:00"/>
    <s v="CUST-0025"/>
    <x v="57"/>
    <s v="R023"/>
    <n v="1"/>
    <n v="1090"/>
    <n v="9.6"/>
    <n v="985.36"/>
    <s v="Refunded"/>
    <s v="Bengaluru"/>
    <s v="Home"/>
    <s v="Retail"/>
    <n v="23"/>
    <x v="3"/>
    <n v="464"/>
    <n v="0.57431192660550456"/>
  </r>
  <r>
    <s v="ORD-01346"/>
    <d v="2024-06-04T00:00:00"/>
    <s v="CUST-0096"/>
    <x v="5"/>
    <s v="R004"/>
    <n v="9"/>
    <n v="370"/>
    <n v="4"/>
    <n v="3196.8"/>
    <s v="Completed"/>
    <s v="Delhi"/>
    <s v="Home"/>
    <s v="Corporate"/>
    <n v="27"/>
    <x v="0"/>
    <n v="288"/>
    <n v="0.22162162162162163"/>
  </r>
  <r>
    <s v="ORD-01347"/>
    <d v="2024-01-09T00:00:00"/>
    <s v="CUST-0069"/>
    <x v="41"/>
    <s v="R002"/>
    <n v="5"/>
    <n v="2660"/>
    <n v="24.6"/>
    <n v="10028.200000000001"/>
    <s v="Cancelled"/>
    <s v="Chennai"/>
    <s v="Electronics"/>
    <s v="Retail"/>
    <n v="51"/>
    <x v="0"/>
    <n v="1259"/>
    <n v="0.52669172932330832"/>
  </r>
  <r>
    <s v="ORD-01348"/>
    <d v="2024-02-05T00:00:00"/>
    <s v="CUST-0220"/>
    <x v="59"/>
    <s v="R018"/>
    <n v="4"/>
    <n v="3560"/>
    <n v="25.7"/>
    <n v="10580.32"/>
    <s v="Completed"/>
    <s v="Chennai"/>
    <s v="Apparel"/>
    <s v="Retail"/>
    <n v="34"/>
    <x v="3"/>
    <n v="2629"/>
    <n v="0.26151685393258428"/>
  </r>
  <r>
    <s v="ORD-01349"/>
    <d v="2024-04-28T00:00:00"/>
    <s v="CUST-0005"/>
    <x v="51"/>
    <s v="R005"/>
    <n v="8"/>
    <n v="960"/>
    <n v="0.1"/>
    <n v="7672.32"/>
    <s v="Completed"/>
    <s v="Chennai"/>
    <s v="Beauty"/>
    <s v="Corporate"/>
    <n v="52"/>
    <x v="0"/>
    <n v="675"/>
    <n v="0.296875"/>
  </r>
  <r>
    <s v="ORD-01350"/>
    <d v="2024-12-18T00:00:00"/>
    <s v="CUST-0222"/>
    <x v="5"/>
    <s v="R024"/>
    <n v="10"/>
    <n v="370"/>
    <n v="16.399999999999999"/>
    <n v="3093.2"/>
    <s v="Cancelled"/>
    <s v="Chennai"/>
    <s v="Home"/>
    <s v="Retail"/>
    <n v="37"/>
    <x v="2"/>
    <n v="288"/>
    <n v="0.22162162162162163"/>
  </r>
  <r>
    <s v="ORD-01351"/>
    <d v="2024-04-17T00:00:00"/>
    <s v="CUST-0039"/>
    <x v="20"/>
    <s v="R029"/>
    <n v="4"/>
    <n v="2720"/>
    <n v="3.1"/>
    <n v="10542.72"/>
    <s v="Completed"/>
    <s v="Bengaluru"/>
    <s v="Apparel"/>
    <s v="Retail"/>
    <n v="37"/>
    <x v="2"/>
    <n v="1962"/>
    <n v="0.2786764705882353"/>
  </r>
  <r>
    <s v="ORD-01352"/>
    <d v="2024-05-29T00:00:00"/>
    <s v="CUST-0224"/>
    <x v="54"/>
    <s v="R005"/>
    <n v="10"/>
    <n v="5080"/>
    <n v="6.8"/>
    <n v="47345.599999999999"/>
    <s v="Completed"/>
    <s v="Chennai"/>
    <s v="Home"/>
    <s v="Corporate"/>
    <n v="24"/>
    <x v="0"/>
    <n v="2459"/>
    <n v="0.51594488188976373"/>
  </r>
  <r>
    <s v="ORD-01353"/>
    <d v="2024-03-28T00:00:00"/>
    <s v="CUST-0288"/>
    <x v="52"/>
    <s v="R008"/>
    <n v="6"/>
    <n v="2290"/>
    <n v="22.6"/>
    <n v="10634.76"/>
    <s v="Completed"/>
    <s v="Hyderabad"/>
    <s v="Beauty"/>
    <s v="Corporate"/>
    <n v="25"/>
    <x v="0"/>
    <n v="1219"/>
    <n v="0.46768558951965067"/>
  </r>
  <r>
    <s v="ORD-01354"/>
    <d v="2024-07-29T00:00:00"/>
    <s v="CUST-0002"/>
    <x v="28"/>
    <s v="R006"/>
    <n v="4"/>
    <n v="2760"/>
    <n v="27.2"/>
    <n v="8037.12"/>
    <s v="Refunded"/>
    <s v="Pune"/>
    <s v="Grocery"/>
    <s v="Corporate"/>
    <n v="42"/>
    <x v="0"/>
    <n v="1435"/>
    <n v="0.48007246376811596"/>
  </r>
  <r>
    <s v="ORD-01355"/>
    <d v="2024-06-23T00:00:00"/>
    <s v="CUST-0172"/>
    <x v="10"/>
    <s v="R027"/>
    <n v="9"/>
    <n v="2270"/>
    <n v="5.2"/>
    <n v="19367.64"/>
    <s v="Completed"/>
    <s v="Pune"/>
    <s v="Grocery"/>
    <s v="Retail"/>
    <n v="65"/>
    <x v="2"/>
    <n v="1203"/>
    <n v="0.47004405286343615"/>
  </r>
  <r>
    <s v="ORD-01356"/>
    <d v="2024-07-27T00:00:00"/>
    <s v="CUST-0287"/>
    <x v="47"/>
    <s v="R008"/>
    <n v="3"/>
    <n v="2510"/>
    <n v="16.399999999999999"/>
    <n v="6295.08"/>
    <s v="Completed"/>
    <s v="Chennai"/>
    <s v="Apparel"/>
    <s v="SMB"/>
    <n v="53"/>
    <x v="0"/>
    <n v="1075"/>
    <n v="0.57171314741035861"/>
  </r>
  <r>
    <s v="ORD-01357"/>
    <d v="2024-02-15T00:00:00"/>
    <s v="CUST-0020"/>
    <x v="50"/>
    <s v="R012"/>
    <n v="1"/>
    <n v="2380"/>
    <n v="23.5"/>
    <n v="1820.7"/>
    <s v="Completed"/>
    <s v="Hyderabad"/>
    <s v="Grocery"/>
    <s v="Retail"/>
    <n v="46"/>
    <x v="1"/>
    <n v="1182"/>
    <n v="0.50336134453781511"/>
  </r>
  <r>
    <s v="ORD-01358"/>
    <d v="2024-06-04T00:00:00"/>
    <s v="CUST-0039"/>
    <x v="56"/>
    <s v="R019"/>
    <n v="2"/>
    <n v="3780"/>
    <n v="29.1"/>
    <n v="5360.04"/>
    <s v="Completed"/>
    <s v="Bengaluru"/>
    <s v="Sports"/>
    <s v="Retail"/>
    <n v="37"/>
    <x v="3"/>
    <n v="1860"/>
    <n v="0.50793650793650791"/>
  </r>
  <r>
    <s v="ORD-01359"/>
    <d v="2024-09-11T00:00:00"/>
    <s v="CUST-0128"/>
    <x v="55"/>
    <s v="R026"/>
    <n v="1"/>
    <n v="3450"/>
    <n v="17.8"/>
    <n v="2835.9"/>
    <s v="Completed"/>
    <s v="Hyderabad"/>
    <s v="Apparel"/>
    <s v="Retail"/>
    <n v="35"/>
    <x v="2"/>
    <n v="1748"/>
    <n v="0.49333333333333335"/>
  </r>
  <r>
    <s v="ORD-01360"/>
    <d v="2024-06-08T00:00:00"/>
    <s v="CUST-0149"/>
    <x v="24"/>
    <s v="R006"/>
    <n v="6"/>
    <n v="4880"/>
    <n v="15.6"/>
    <n v="24712.32"/>
    <s v="Pending"/>
    <s v="Hyderabad"/>
    <s v="Beauty"/>
    <s v="Retail"/>
    <n v="44"/>
    <x v="0"/>
    <n v="2768"/>
    <n v="0.43278688524590164"/>
  </r>
  <r>
    <s v="ORD-01361"/>
    <d v="2024-05-15T00:00:00"/>
    <s v="CUST-0101"/>
    <x v="51"/>
    <s v="R016"/>
    <n v="6"/>
    <n v="960"/>
    <n v="7.5"/>
    <n v="5328"/>
    <s v="Pending"/>
    <s v="Hyderabad"/>
    <s v="Beauty"/>
    <s v="SMB"/>
    <n v="40"/>
    <x v="1"/>
    <n v="675"/>
    <n v="0.296875"/>
  </r>
  <r>
    <s v="ORD-01362"/>
    <d v="2024-08-28T00:00:00"/>
    <s v="CUST-0106"/>
    <x v="59"/>
    <s v="R023"/>
    <n v="1"/>
    <n v="3560"/>
    <n v="12.9"/>
    <n v="3100.76"/>
    <s v="Completed"/>
    <s v="Pune"/>
    <s v="Apparel"/>
    <s v="Retail"/>
    <n v="22"/>
    <x v="3"/>
    <n v="2629"/>
    <n v="0.26151685393258428"/>
  </r>
  <r>
    <s v="ORD-01363"/>
    <d v="2024-06-23T00:00:00"/>
    <s v="CUST-0085"/>
    <x v="46"/>
    <s v="R005"/>
    <n v="5"/>
    <n v="4060"/>
    <n v="18.100000000000001"/>
    <n v="16625.7"/>
    <s v="Pending"/>
    <s v="Chennai"/>
    <s v="Grocery"/>
    <s v="Retail"/>
    <n v="26"/>
    <x v="0"/>
    <n v="2911"/>
    <n v="0.28300492610837441"/>
  </r>
  <r>
    <s v="ORD-01364"/>
    <d v="2024-09-10T00:00:00"/>
    <s v="CUST-0071"/>
    <x v="20"/>
    <s v="R020"/>
    <n v="10"/>
    <n v="2720"/>
    <n v="23.2"/>
    <n v="20889.599999999999"/>
    <s v="Completed"/>
    <s v="Delhi"/>
    <s v="Apparel"/>
    <s v="Corporate"/>
    <n v="46"/>
    <x v="3"/>
    <n v="1962"/>
    <n v="0.2786764705882353"/>
  </r>
  <r>
    <s v="ORD-01365"/>
    <d v="2024-09-12T00:00:00"/>
    <s v="CUST-0185"/>
    <x v="45"/>
    <s v="R022"/>
    <n v="1"/>
    <n v="2210"/>
    <n v="5.8"/>
    <n v="2081.8200000000002"/>
    <s v="Pending"/>
    <s v="Hyderabad"/>
    <s v="Grocery"/>
    <s v="SMB"/>
    <n v="43"/>
    <x v="3"/>
    <n v="1010"/>
    <n v="0.54298642533936647"/>
  </r>
  <r>
    <s v="ORD-01366"/>
    <d v="2024-09-12T00:00:00"/>
    <s v="CUST-0182"/>
    <x v="16"/>
    <s v="R013"/>
    <n v="5"/>
    <n v="3450"/>
    <n v="27.9"/>
    <n v="12437.25"/>
    <s v="Pending"/>
    <s v="Mumbai"/>
    <s v="Beauty"/>
    <s v="Retail"/>
    <n v="54"/>
    <x v="1"/>
    <n v="2420"/>
    <n v="0.29855072463768118"/>
  </r>
  <r>
    <s v="ORD-01367"/>
    <d v="2024-09-15T00:00:00"/>
    <s v="CUST-0177"/>
    <x v="50"/>
    <s v="R023"/>
    <n v="9"/>
    <n v="2380"/>
    <n v="15.2"/>
    <n v="18164.16"/>
    <s v="Refunded"/>
    <s v="Mumbai"/>
    <s v="Grocery"/>
    <s v="SMB"/>
    <n v="36"/>
    <x v="3"/>
    <n v="1182"/>
    <n v="0.50336134453781511"/>
  </r>
  <r>
    <s v="ORD-01368"/>
    <d v="2024-09-16T00:00:00"/>
    <s v="CUST-0253"/>
    <x v="50"/>
    <s v="R002"/>
    <n v="2"/>
    <n v="2380"/>
    <n v="24.3"/>
    <n v="3603.32"/>
    <s v="Completed"/>
    <s v="Delhi"/>
    <s v="Grocery"/>
    <s v="SMB"/>
    <n v="53"/>
    <x v="0"/>
    <n v="1182"/>
    <n v="0.50336134453781511"/>
  </r>
  <r>
    <s v="ORD-01369"/>
    <d v="2024-09-25T00:00:00"/>
    <s v="CUST-0071"/>
    <x v="59"/>
    <s v="R012"/>
    <n v="9"/>
    <n v="3560"/>
    <n v="6.6"/>
    <n v="29925.360000000001"/>
    <s v="Refunded"/>
    <s v="Delhi"/>
    <s v="Apparel"/>
    <s v="Corporate"/>
    <n v="46"/>
    <x v="1"/>
    <n v="2629"/>
    <n v="0.26151685393258428"/>
  </r>
  <r>
    <s v="ORD-01370"/>
    <d v="2024-02-08T00:00:00"/>
    <s v="CUST-0240"/>
    <x v="38"/>
    <s v="R018"/>
    <n v="7"/>
    <n v="1220"/>
    <n v="29.4"/>
    <n v="6029.24"/>
    <s v="Completed"/>
    <s v="Chennai"/>
    <s v="Electronics"/>
    <s v="Corporate"/>
    <n v="35"/>
    <x v="3"/>
    <n v="517"/>
    <n v="0.57622950819672136"/>
  </r>
  <r>
    <s v="ORD-01371"/>
    <d v="2024-09-25T00:00:00"/>
    <s v="CUST-0050"/>
    <x v="58"/>
    <s v="R017"/>
    <n v="7"/>
    <n v="6940"/>
    <n v="9.6"/>
    <n v="43916.32"/>
    <s v="Completed"/>
    <s v="Mumbai"/>
    <s v="Sports"/>
    <s v="Retail"/>
    <n v="37"/>
    <x v="3"/>
    <n v="2827"/>
    <n v="0.5926512968299712"/>
  </r>
  <r>
    <s v="ORD-01372"/>
    <d v="2024-04-13T00:00:00"/>
    <s v="CUST-0089"/>
    <x v="57"/>
    <s v="R022"/>
    <n v="2"/>
    <n v="1090"/>
    <n v="17"/>
    <n v="1809.4"/>
    <s v="Completed"/>
    <s v="Mumbai"/>
    <s v="Home"/>
    <s v="SMB"/>
    <n v="43"/>
    <x v="3"/>
    <n v="464"/>
    <n v="0.57431192660550456"/>
  </r>
  <r>
    <s v="ORD-01373"/>
    <d v="2024-07-13T00:00:00"/>
    <s v="CUST-0209"/>
    <x v="50"/>
    <s v="R028"/>
    <n v="4"/>
    <n v="2380"/>
    <n v="18.899999999999999"/>
    <n v="7720.72"/>
    <s v="Pending"/>
    <s v="Pune"/>
    <s v="Grocery"/>
    <s v="Retail"/>
    <n v="31"/>
    <x v="2"/>
    <n v="1182"/>
    <n v="0.50336134453781511"/>
  </r>
  <r>
    <s v="ORD-01374"/>
    <d v="2024-10-13T00:00:00"/>
    <s v="CUST-0089"/>
    <x v="10"/>
    <s v="R004"/>
    <n v="6"/>
    <n v="2270"/>
    <n v="20.9"/>
    <n v="10773.42"/>
    <s v="Pending"/>
    <s v="Mumbai"/>
    <s v="Grocery"/>
    <s v="SMB"/>
    <n v="43"/>
    <x v="0"/>
    <n v="1203"/>
    <n v="0.47004405286343615"/>
  </r>
  <r>
    <s v="ORD-01375"/>
    <d v="2024-10-16T00:00:00"/>
    <s v="CUST-0093"/>
    <x v="44"/>
    <s v="R019"/>
    <n v="10"/>
    <n v="2030"/>
    <n v="25"/>
    <n v="15225"/>
    <s v="Completed"/>
    <s v="Pune"/>
    <s v="Home"/>
    <s v="Retail"/>
    <n v="36"/>
    <x v="3"/>
    <n v="1143"/>
    <n v="0.43694581280788175"/>
  </r>
  <r>
    <s v="ORD-01376"/>
    <d v="2024-08-04T00:00:00"/>
    <s v="CUST-0018"/>
    <x v="57"/>
    <s v="R027"/>
    <n v="3"/>
    <n v="1090"/>
    <n v="12.1"/>
    <n v="2874.33"/>
    <s v="Completed"/>
    <s v="Pune"/>
    <s v="Home"/>
    <s v="SMB"/>
    <n v="54"/>
    <x v="2"/>
    <n v="464"/>
    <n v="0.57431192660550456"/>
  </r>
  <r>
    <s v="ORD-01377"/>
    <d v="2024-01-12T00:00:00"/>
    <s v="CUST-0089"/>
    <x v="47"/>
    <s v="R017"/>
    <n v="3"/>
    <n v="2510"/>
    <n v="28.7"/>
    <n v="5368.89"/>
    <s v="Completed"/>
    <s v="Mumbai"/>
    <s v="Apparel"/>
    <s v="SMB"/>
    <n v="43"/>
    <x v="3"/>
    <n v="1075"/>
    <n v="0.57171314741035861"/>
  </r>
  <r>
    <s v="ORD-01378"/>
    <d v="2024-04-30T00:00:00"/>
    <s v="CUST-0116"/>
    <x v="10"/>
    <s v="R026"/>
    <n v="9"/>
    <n v="2270"/>
    <n v="25.4"/>
    <n v="15240.78"/>
    <s v="Pending"/>
    <s v="Bengaluru"/>
    <s v="Grocery"/>
    <s v="Retail"/>
    <n v="53"/>
    <x v="2"/>
    <n v="1203"/>
    <n v="0.47004405286343615"/>
  </r>
  <r>
    <s v="ORD-01379"/>
    <d v="2024-04-18T00:00:00"/>
    <s v="CUST-0071"/>
    <x v="53"/>
    <s v="R029"/>
    <n v="9"/>
    <n v="3970"/>
    <n v="10.1"/>
    <n v="32121.27"/>
    <s v="Cancelled"/>
    <s v="Delhi"/>
    <s v="Electronics"/>
    <s v="Corporate"/>
    <n v="46"/>
    <x v="2"/>
    <n v="2865"/>
    <n v="0.27833753148614609"/>
  </r>
  <r>
    <s v="ORD-01380"/>
    <d v="2024-10-05T00:00:00"/>
    <s v="CUST-0115"/>
    <x v="45"/>
    <s v="R014"/>
    <n v="6"/>
    <n v="2210"/>
    <n v="7.4"/>
    <n v="12278.76"/>
    <s v="Completed"/>
    <s v="Mumbai"/>
    <s v="Grocery"/>
    <s v="SMB"/>
    <n v="65"/>
    <x v="1"/>
    <n v="1010"/>
    <n v="0.54298642533936647"/>
  </r>
  <r>
    <s v="ORD-01381"/>
    <d v="2024-03-09T00:00:00"/>
    <s v="CUST-0258"/>
    <x v="36"/>
    <s v="R017"/>
    <n v="7"/>
    <n v="1540"/>
    <n v="20.6"/>
    <n v="8559.32"/>
    <s v="Completed"/>
    <s v="Pune"/>
    <s v="Beauty"/>
    <s v="Retail"/>
    <n v="44"/>
    <x v="3"/>
    <n v="647"/>
    <n v="0.57987012987012987"/>
  </r>
  <r>
    <s v="ORD-01382"/>
    <d v="2024-02-12T00:00:00"/>
    <s v="CUST-0290"/>
    <x v="39"/>
    <s v="R027"/>
    <n v="9"/>
    <n v="4610"/>
    <n v="2.1"/>
    <n v="40618.71"/>
    <s v="Completed"/>
    <s v="Delhi"/>
    <s v="Home"/>
    <s v="Retail"/>
    <n v="63"/>
    <x v="2"/>
    <n v="1850"/>
    <n v="0.59869848156182215"/>
  </r>
  <r>
    <s v="ORD-01383"/>
    <d v="2024-08-23T00:00:00"/>
    <s v="CUST-0279"/>
    <x v="53"/>
    <s v="R002"/>
    <n v="10"/>
    <n v="3970"/>
    <n v="13.3"/>
    <n v="34419.9"/>
    <s v="Pending"/>
    <s v="Mumbai"/>
    <s v="Electronics"/>
    <s v="Retail"/>
    <n v="56"/>
    <x v="0"/>
    <n v="2865"/>
    <n v="0.27833753148614609"/>
  </r>
  <r>
    <s v="ORD-01384"/>
    <d v="2024-08-30T00:00:00"/>
    <s v="CUST-0132"/>
    <x v="41"/>
    <s v="R008"/>
    <n v="8"/>
    <n v="2660"/>
    <n v="16.8"/>
    <n v="17704.96"/>
    <s v="Completed"/>
    <s v="Delhi"/>
    <s v="Electronics"/>
    <s v="Retail"/>
    <n v="41"/>
    <x v="0"/>
    <n v="1259"/>
    <n v="0.52669172932330832"/>
  </r>
  <r>
    <s v="ORD-01385"/>
    <d v="2024-02-07T00:00:00"/>
    <s v="CUST-0029"/>
    <x v="16"/>
    <s v="R021"/>
    <n v="6"/>
    <n v="3450"/>
    <n v="23.4"/>
    <n v="15856.2"/>
    <s v="Completed"/>
    <s v="Chennai"/>
    <s v="Beauty"/>
    <s v="Corporate"/>
    <n v="54"/>
    <x v="3"/>
    <n v="2420"/>
    <n v="0.29855072463768118"/>
  </r>
  <r>
    <s v="ORD-01386"/>
    <d v="2024-11-25T00:00:00"/>
    <s v="CUST-0295"/>
    <x v="2"/>
    <s v="R007"/>
    <n v="10"/>
    <n v="470"/>
    <n v="21.2"/>
    <n v="3703.6"/>
    <s v="Completed"/>
    <s v="Delhi"/>
    <s v="Sports"/>
    <s v="SMB"/>
    <n v="48"/>
    <x v="0"/>
    <n v="302"/>
    <n v="0.35744680851063831"/>
  </r>
  <r>
    <s v="ORD-00168"/>
    <d v="2024-02-12T00:00:00"/>
    <s v="CUST-0106"/>
    <x v="56"/>
    <s v="R022"/>
    <n v="7"/>
    <n v="3780"/>
    <n v="10.1"/>
    <n v="23787.54"/>
    <s v="Completed"/>
    <s v="Pune"/>
    <s v="Sports"/>
    <s v="Retail"/>
    <n v="22"/>
    <x v="3"/>
    <n v="1860"/>
    <n v="0.50793650793650791"/>
  </r>
  <r>
    <s v="ORD-01388"/>
    <d v="2024-02-02T00:00:00"/>
    <s v="CUST-0127"/>
    <x v="0"/>
    <s v="R027"/>
    <n v="3"/>
    <n v="3620"/>
    <n v="4.2"/>
    <n v="10403.879999999999"/>
    <s v="Completed"/>
    <s v="Bengaluru"/>
    <s v="Apparel"/>
    <s v="SMB"/>
    <n v="36"/>
    <x v="2"/>
    <n v="2509"/>
    <n v="0.3069060773480663"/>
  </r>
  <r>
    <s v="ORD-01389"/>
    <d v="2024-09-06T00:00:00"/>
    <s v="CUST-0031"/>
    <x v="51"/>
    <s v="R028"/>
    <n v="7"/>
    <n v="960"/>
    <n v="9"/>
    <n v="6115.2"/>
    <s v="Completed"/>
    <s v="Hyderabad"/>
    <s v="Beauty"/>
    <s v="Retail"/>
    <n v="53"/>
    <x v="2"/>
    <n v="675"/>
    <n v="0.296875"/>
  </r>
  <r>
    <s v="ORD-01390"/>
    <d v="2024-02-22T00:00:00"/>
    <s v="CUST-0256"/>
    <x v="22"/>
    <s v="R007"/>
    <n v="10"/>
    <n v="3350"/>
    <n v="1.2"/>
    <n v="33098"/>
    <s v="Cancelled"/>
    <s v="Hyderabad"/>
    <s v="Beauty"/>
    <s v="Retail"/>
    <n v="28"/>
    <x v="0"/>
    <n v="1728"/>
    <n v="0.48417910447761192"/>
  </r>
  <r>
    <s v="ORD-01391"/>
    <d v="2024-04-06T00:00:00"/>
    <s v="CUST-0131"/>
    <x v="15"/>
    <s v="R030"/>
    <n v="3"/>
    <n v="2400"/>
    <n v="15.4"/>
    <n v="6091.2"/>
    <s v="Completed"/>
    <s v="Delhi"/>
    <s v="Sports"/>
    <s v="SMB"/>
    <n v="28"/>
    <x v="2"/>
    <n v="974"/>
    <n v="0.59416666666666662"/>
  </r>
  <r>
    <s v="ORD-01392"/>
    <d v="2024-04-25T00:00:00"/>
    <s v="CUST-0270"/>
    <x v="27"/>
    <s v="R002"/>
    <n v="2"/>
    <n v="2860"/>
    <n v="10.5"/>
    <n v="5119.3999999999996"/>
    <s v="Completed"/>
    <s v="Bengaluru"/>
    <s v="Sports"/>
    <s v="Retail"/>
    <n v="29"/>
    <x v="0"/>
    <n v="2028"/>
    <n v="0.29090909090909089"/>
  </r>
  <r>
    <s v="ORD-01393"/>
    <d v="2024-11-24T00:00:00"/>
    <s v="CUST-0212"/>
    <x v="52"/>
    <s v="R008"/>
    <n v="4"/>
    <n v="2290"/>
    <n v="5.9"/>
    <n v="8619.56"/>
    <s v="Completed"/>
    <s v="Chennai"/>
    <s v="Beauty"/>
    <s v="SMB"/>
    <n v="46"/>
    <x v="0"/>
    <n v="1219"/>
    <n v="0.46768558951965067"/>
  </r>
  <r>
    <s v="ORD-01394"/>
    <d v="2024-07-26T00:00:00"/>
    <s v="CUST-0216"/>
    <x v="49"/>
    <s v="R023"/>
    <n v="7"/>
    <n v="5330"/>
    <n v="3.5"/>
    <n v="36004.15"/>
    <s v="Cancelled"/>
    <s v="Mumbai"/>
    <s v="Electronics"/>
    <s v="Retail"/>
    <n v="50"/>
    <x v="3"/>
    <n v="2405"/>
    <n v="0.54878048780487809"/>
  </r>
  <r>
    <s v="ORD-01395"/>
    <d v="2024-10-20T00:00:00"/>
    <s v="CUST-0189"/>
    <x v="32"/>
    <s v="R018"/>
    <n v="10"/>
    <n v="3640"/>
    <n v="20.100000000000001"/>
    <n v="29083.599999999999"/>
    <s v="Completed"/>
    <s v="Chennai"/>
    <s v="Apparel"/>
    <s v="Retail"/>
    <n v="41"/>
    <x v="3"/>
    <n v="2611"/>
    <n v="0.28269230769230769"/>
  </r>
  <r>
    <s v="ORD-01396"/>
    <d v="2024-12-07T00:00:00"/>
    <s v="CUST-0064"/>
    <x v="54"/>
    <s v="R024"/>
    <n v="10"/>
    <n v="5080"/>
    <n v="2.1"/>
    <n v="49733.2"/>
    <s v="Completed"/>
    <s v="Hyderabad"/>
    <s v="Home"/>
    <s v="SMB"/>
    <n v="40"/>
    <x v="2"/>
    <n v="2459"/>
    <n v="0.51594488188976373"/>
  </r>
  <r>
    <s v="ORD-01397"/>
    <d v="2024-08-13T00:00:00"/>
    <s v="CUST-0016"/>
    <x v="57"/>
    <s v="R018"/>
    <n v="4"/>
    <n v="1090"/>
    <n v="18.5"/>
    <n v="3553.4"/>
    <s v="Refunded"/>
    <s v="Delhi"/>
    <s v="Home"/>
    <s v="SMB"/>
    <n v="26"/>
    <x v="3"/>
    <n v="464"/>
    <n v="0.57431192660550456"/>
  </r>
  <r>
    <s v="ORD-01398"/>
    <d v="2024-12-19T00:00:00"/>
    <s v="CUST-0296"/>
    <x v="16"/>
    <s v="R030"/>
    <n v="10"/>
    <n v="3450"/>
    <n v="26.5"/>
    <n v="25357.5"/>
    <s v="Refunded"/>
    <s v="Delhi"/>
    <s v="Beauty"/>
    <s v="Corporate"/>
    <n v="47"/>
    <x v="2"/>
    <n v="2420"/>
    <n v="0.29855072463768118"/>
  </r>
  <r>
    <s v="ORD-01399"/>
    <d v="2024-07-10T00:00:00"/>
    <s v="CUST-0031"/>
    <x v="48"/>
    <s v="R009"/>
    <n v="9"/>
    <n v="5410"/>
    <n v="11.5"/>
    <n v="43090.65"/>
    <s v="Completed"/>
    <s v="Hyderabad"/>
    <s v="Sports"/>
    <s v="Retail"/>
    <n v="53"/>
    <x v="1"/>
    <n v="2265"/>
    <n v="0.58133086876155271"/>
  </r>
  <r>
    <s v="ORD-01400"/>
    <d v="2024-06-02T00:00:00"/>
    <s v="CUST-0207"/>
    <x v="55"/>
    <s v="R030"/>
    <n v="9"/>
    <n v="3450"/>
    <n v="0.3"/>
    <n v="30956.85"/>
    <s v="Refunded"/>
    <s v="Hyderabad"/>
    <s v="Apparel"/>
    <s v="SMB"/>
    <n v="34"/>
    <x v="2"/>
    <n v="1748"/>
    <n v="0.49333333333333335"/>
  </r>
  <r>
    <s v="ORD-01401"/>
    <d v="2024-11-18T00:00:00"/>
    <s v="CUST-0165"/>
    <x v="4"/>
    <s v="R025"/>
    <n v="10"/>
    <n v="3160"/>
    <n v="13.6"/>
    <n v="27302.400000000001"/>
    <s v="Completed"/>
    <s v="Pune"/>
    <s v="Apparel"/>
    <s v="Retail"/>
    <n v="29"/>
    <x v="2"/>
    <n v="1886"/>
    <n v="0.4031645569620253"/>
  </r>
  <r>
    <s v="ORD-01402"/>
    <d v="2024-05-21T00:00:00"/>
    <s v="CUST-0281"/>
    <x v="36"/>
    <s v="R026"/>
    <n v="3"/>
    <n v="1540"/>
    <n v="21.2"/>
    <n v="3640.56"/>
    <s v="Completed"/>
    <s v="Bengaluru"/>
    <s v="Beauty"/>
    <s v="Corporate"/>
    <n v="57"/>
    <x v="2"/>
    <n v="647"/>
    <n v="0.57987012987012987"/>
  </r>
  <r>
    <s v="ORD-01403"/>
    <d v="2024-04-20T00:00:00"/>
    <s v="CUST-0018"/>
    <x v="32"/>
    <s v="R022"/>
    <n v="5"/>
    <n v="3640"/>
    <n v="17.5"/>
    <n v="15015"/>
    <s v="Completed"/>
    <s v="Pune"/>
    <s v="Apparel"/>
    <s v="SMB"/>
    <n v="54"/>
    <x v="3"/>
    <n v="2611"/>
    <n v="0.28269230769230769"/>
  </r>
  <r>
    <s v="ORD-01404"/>
    <d v="2024-01-11T00:00:00"/>
    <s v="CUST-0204"/>
    <x v="56"/>
    <s v="R002"/>
    <n v="4"/>
    <n v="3780"/>
    <n v="9"/>
    <n v="13759.2"/>
    <s v="Pending"/>
    <s v="Hyderabad"/>
    <s v="Sports"/>
    <s v="Retail"/>
    <n v="60"/>
    <x v="0"/>
    <n v="1860"/>
    <n v="0.50793650793650791"/>
  </r>
  <r>
    <s v="ORD-01405"/>
    <d v="2024-08-22T00:00:00"/>
    <s v="CUST-0028"/>
    <x v="20"/>
    <s v="R025"/>
    <n v="9"/>
    <n v="2720"/>
    <n v="8.9"/>
    <n v="22301.279999999999"/>
    <s v="Completed"/>
    <s v="Bengaluru"/>
    <s v="Apparel"/>
    <s v="Retail"/>
    <n v="59"/>
    <x v="2"/>
    <n v="1962"/>
    <n v="0.2786764705882353"/>
  </r>
  <r>
    <s v="ORD-01406"/>
    <d v="2024-12-22T00:00:00"/>
    <s v="CUST-0144"/>
    <x v="0"/>
    <s v="R004"/>
    <n v="4"/>
    <n v="3620"/>
    <n v="8"/>
    <n v="13321.6"/>
    <s v="Pending"/>
    <s v="Chennai"/>
    <s v="Apparel"/>
    <s v="Retail"/>
    <n v="49"/>
    <x v="0"/>
    <n v="2509"/>
    <n v="0.3069060773480663"/>
  </r>
  <r>
    <s v="ORD-01407"/>
    <d v="2024-02-03T00:00:00"/>
    <s v="CUST-0043"/>
    <x v="55"/>
    <s v="R004"/>
    <n v="1"/>
    <n v="3450"/>
    <n v="0.2"/>
    <n v="3443.1"/>
    <s v="Completed"/>
    <s v="Hyderabad"/>
    <s v="Apparel"/>
    <s v="Retail"/>
    <n v="61"/>
    <x v="0"/>
    <n v="1748"/>
    <n v="0.49333333333333335"/>
  </r>
  <r>
    <s v="ORD-01408"/>
    <d v="2024-12-14T00:00:00"/>
    <s v="CUST-0246"/>
    <x v="32"/>
    <s v="R014"/>
    <n v="7"/>
    <n v="3640"/>
    <n v="4.5999999999999996"/>
    <n v="24307.919999999998"/>
    <s v="Completed"/>
    <s v="Delhi"/>
    <s v="Apparel"/>
    <s v="SMB"/>
    <n v="29"/>
    <x v="1"/>
    <n v="2611"/>
    <n v="0.28269230769230769"/>
  </r>
  <r>
    <s v="ORD-01409"/>
    <d v="2024-05-11T00:00:00"/>
    <s v="CUST-0156"/>
    <x v="43"/>
    <s v="R023"/>
    <n v="9"/>
    <n v="620"/>
    <n v="8.5"/>
    <n v="5105.7"/>
    <s v="Completed"/>
    <s v="Mumbai"/>
    <s v="Apparel"/>
    <s v="Retail"/>
    <n v="33"/>
    <x v="3"/>
    <n v="396"/>
    <n v="0.36129032258064514"/>
  </r>
  <r>
    <s v="ORD-01410"/>
    <d v="2024-05-11T00:00:00"/>
    <s v="CUST-0066"/>
    <x v="56"/>
    <s v="R016"/>
    <n v="10"/>
    <n v="3780"/>
    <n v="5.8"/>
    <n v="35607.599999999999"/>
    <s v="Completed"/>
    <s v="Delhi"/>
    <s v="Sports"/>
    <s v="Retail"/>
    <n v="24"/>
    <x v="1"/>
    <n v="1860"/>
    <n v="0.50793650793650791"/>
  </r>
  <r>
    <s v="ORD-01411"/>
    <d v="2024-08-14T00:00:00"/>
    <s v="CUST-0121"/>
    <x v="25"/>
    <s v="R009"/>
    <n v="7"/>
    <n v="3570"/>
    <n v="26.1"/>
    <n v="18467.61"/>
    <s v="Completed"/>
    <s v="Delhi"/>
    <s v="Electronics"/>
    <s v="SMB"/>
    <n v="55"/>
    <x v="1"/>
    <n v="1665"/>
    <n v="0.53361344537815125"/>
  </r>
  <r>
    <s v="ORD-01412"/>
    <d v="2024-01-15T00:00:00"/>
    <s v="CUST-0066"/>
    <x v="21"/>
    <s v="R002"/>
    <n v="2"/>
    <n v="1650"/>
    <n v="3.8"/>
    <n v="3174.6"/>
    <s v="Completed"/>
    <s v="Delhi"/>
    <s v="Beauty"/>
    <s v="Retail"/>
    <n v="24"/>
    <x v="0"/>
    <n v="1222"/>
    <n v="0.2593939393939394"/>
  </r>
  <r>
    <s v="ORD-01413"/>
    <d v="2024-02-24T00:00:00"/>
    <s v="CUST-0099"/>
    <x v="51"/>
    <s v="R012"/>
    <n v="2"/>
    <n v="960"/>
    <n v="6.8"/>
    <n v="1789.44"/>
    <s v="Completed"/>
    <s v="Bengaluru"/>
    <s v="Beauty"/>
    <s v="SMB"/>
    <n v="54"/>
    <x v="1"/>
    <n v="675"/>
    <n v="0.296875"/>
  </r>
  <r>
    <s v="ORD-01414"/>
    <d v="2024-03-25T00:00:00"/>
    <s v="CUST-0054"/>
    <x v="42"/>
    <s v="R006"/>
    <n v="2"/>
    <n v="300"/>
    <n v="2.8"/>
    <n v="583.20000000000005"/>
    <s v="Completed"/>
    <s v="Mumbai"/>
    <s v="Electronics"/>
    <s v="Corporate"/>
    <n v="62"/>
    <x v="0"/>
    <n v="128"/>
    <n v="0.57333333333333336"/>
  </r>
  <r>
    <s v="ORD-01415"/>
    <d v="2024-09-26T00:00:00"/>
    <s v="CUST-0124"/>
    <x v="46"/>
    <s v="R027"/>
    <n v="10"/>
    <n v="4060"/>
    <n v="15.1"/>
    <n v="34469.4"/>
    <s v="Completed"/>
    <s v="Pune"/>
    <s v="Grocery"/>
    <s v="Retail"/>
    <n v="57"/>
    <x v="2"/>
    <n v="2911"/>
    <n v="0.28300492610837441"/>
  </r>
  <r>
    <s v="ORD-01416"/>
    <d v="2024-01-29T00:00:00"/>
    <s v="CUST-0211"/>
    <x v="49"/>
    <s v="R022"/>
    <n v="6"/>
    <n v="5330"/>
    <n v="2"/>
    <n v="31340.400000000001"/>
    <s v="Completed"/>
    <s v="Bengaluru"/>
    <s v="Electronics"/>
    <s v="Retail"/>
    <n v="36"/>
    <x v="3"/>
    <n v="2405"/>
    <n v="0.54878048780487809"/>
  </r>
  <r>
    <s v="ORD-01417"/>
    <d v="2024-10-07T00:00:00"/>
    <s v="CUST-0298"/>
    <x v="30"/>
    <s v="R021"/>
    <n v="9"/>
    <n v="3730"/>
    <n v="24.5"/>
    <n v="25345.35"/>
    <s v="Refunded"/>
    <s v="Delhi"/>
    <s v="Home"/>
    <s v="Retail"/>
    <n v="44"/>
    <x v="3"/>
    <n v="2135"/>
    <n v="0.42761394101876676"/>
  </r>
  <r>
    <s v="ORD-01418"/>
    <d v="2024-11-15T00:00:00"/>
    <s v="CUST-0164"/>
    <x v="33"/>
    <s v="R030"/>
    <n v="1"/>
    <n v="6080"/>
    <n v="4.4000000000000004"/>
    <n v="5812.48"/>
    <s v="Cancelled"/>
    <s v="Chennai"/>
    <s v="Beauty"/>
    <s v="Retail"/>
    <n v="60"/>
    <x v="2"/>
    <n v="2617"/>
    <n v="0.56957236842105263"/>
  </r>
  <r>
    <s v="ORD-01419"/>
    <d v="2024-08-20T00:00:00"/>
    <s v="CUST-0003"/>
    <x v="20"/>
    <s v="R025"/>
    <n v="5"/>
    <n v="2720"/>
    <n v="9.1999999999999993"/>
    <n v="12348.8"/>
    <s v="Completed"/>
    <s v="Mumbai"/>
    <s v="Apparel"/>
    <s v="Retail"/>
    <n v="33"/>
    <x v="2"/>
    <n v="1962"/>
    <n v="0.2786764705882353"/>
  </r>
  <r>
    <s v="ORD-01420"/>
    <d v="2024-05-26T00:00:00"/>
    <s v="CUST-0239"/>
    <x v="55"/>
    <s v="R023"/>
    <n v="1"/>
    <n v="3450"/>
    <n v="15.6"/>
    <n v="2911.8"/>
    <s v="Completed"/>
    <s v="Mumbai"/>
    <s v="Apparel"/>
    <s v="Retail"/>
    <n v="61"/>
    <x v="3"/>
    <n v="1748"/>
    <n v="0.49333333333333335"/>
  </r>
  <r>
    <s v="ORD-01421"/>
    <d v="2024-07-11T00:00:00"/>
    <s v="CUST-0116"/>
    <x v="57"/>
    <s v="R022"/>
    <n v="2"/>
    <n v="1090"/>
    <n v="0.4"/>
    <n v="2171.2800000000002"/>
    <s v="Refunded"/>
    <s v="Bengaluru"/>
    <s v="Home"/>
    <s v="Retail"/>
    <n v="53"/>
    <x v="3"/>
    <n v="464"/>
    <n v="0.57431192660550456"/>
  </r>
  <r>
    <s v="ORD-01422"/>
    <d v="2024-12-17T00:00:00"/>
    <s v="CUST-0232"/>
    <x v="25"/>
    <s v="R017"/>
    <n v="2"/>
    <n v="3570"/>
    <n v="9"/>
    <n v="6497.4"/>
    <s v="Completed"/>
    <s v="Hyderabad"/>
    <s v="Electronics"/>
    <s v="Retail"/>
    <n v="38"/>
    <x v="3"/>
    <n v="1665"/>
    <n v="0.53361344537815125"/>
  </r>
  <r>
    <s v="ORD-01423"/>
    <d v="2024-05-25T00:00:00"/>
    <s v="CUST-0121"/>
    <x v="19"/>
    <s v="R014"/>
    <n v="9"/>
    <n v="2480"/>
    <n v="3.6"/>
    <n v="21516.48"/>
    <s v="Pending"/>
    <s v="Delhi"/>
    <s v="Apparel"/>
    <s v="SMB"/>
    <n v="55"/>
    <x v="1"/>
    <n v="1173"/>
    <n v="0.52701612903225803"/>
  </r>
  <r>
    <s v="ORD-01424"/>
    <d v="2024-01-12T00:00:00"/>
    <s v="CUST-0178"/>
    <x v="31"/>
    <s v="R022"/>
    <n v="9"/>
    <n v="3780"/>
    <n v="4.5"/>
    <n v="32489.1"/>
    <s v="Completed"/>
    <s v="Hyderabad"/>
    <s v="Grocery"/>
    <s v="Retail"/>
    <n v="25"/>
    <x v="3"/>
    <n v="2436"/>
    <n v="0.35555555555555557"/>
  </r>
  <r>
    <s v="ORD-01425"/>
    <d v="2024-12-05T00:00:00"/>
    <s v="CUST-0131"/>
    <x v="46"/>
    <s v="R010"/>
    <n v="5"/>
    <n v="4060"/>
    <n v="2.7"/>
    <n v="19751.900000000001"/>
    <s v="Completed"/>
    <s v="Delhi"/>
    <s v="Grocery"/>
    <s v="SMB"/>
    <n v="28"/>
    <x v="1"/>
    <n v="2911"/>
    <n v="0.28300492610837441"/>
  </r>
  <r>
    <s v="ORD-01426"/>
    <d v="2024-09-29T00:00:00"/>
    <s v="CUST-0155"/>
    <x v="42"/>
    <s v="R002"/>
    <n v="8"/>
    <n v="300"/>
    <n v="19.8"/>
    <n v="1924.8"/>
    <s v="Cancelled"/>
    <s v="Pune"/>
    <s v="Electronics"/>
    <s v="Corporate"/>
    <n v="40"/>
    <x v="0"/>
    <n v="128"/>
    <n v="0.57333333333333336"/>
  </r>
  <r>
    <s v="ORD-01427"/>
    <d v="2024-06-11T00:00:00"/>
    <s v="CUST-0170"/>
    <x v="13"/>
    <s v="R002"/>
    <n v="10"/>
    <n v="3250"/>
    <n v="21.3"/>
    <n v="25577.5"/>
    <s v="Cancelled"/>
    <s v="Mumbai"/>
    <s v="Home"/>
    <s v="SMB"/>
    <n v="22"/>
    <x v="0"/>
    <n v="1556"/>
    <n v="0.52123076923076928"/>
  </r>
  <r>
    <s v="ORD-01428"/>
    <d v="2024-11-20T00:00:00"/>
    <s v="CUST-0180"/>
    <x v="27"/>
    <s v="R009"/>
    <n v="2"/>
    <n v="2860"/>
    <n v="13.7"/>
    <n v="4936.3599999999997"/>
    <s v="Completed"/>
    <s v="Chennai"/>
    <s v="Sports"/>
    <s v="Retail"/>
    <n v="36"/>
    <x v="1"/>
    <n v="2028"/>
    <n v="0.29090909090909089"/>
  </r>
  <r>
    <s v="ORD-01429"/>
    <d v="2024-08-19T00:00:00"/>
    <s v="CUST-0066"/>
    <x v="38"/>
    <s v="R017"/>
    <n v="10"/>
    <n v="1220"/>
    <n v="15.4"/>
    <n v="10321.200000000001"/>
    <s v="Completed"/>
    <s v="Delhi"/>
    <s v="Electronics"/>
    <s v="Retail"/>
    <n v="24"/>
    <x v="3"/>
    <n v="517"/>
    <n v="0.57622950819672136"/>
  </r>
  <r>
    <s v="ORD-01430"/>
    <d v="2024-05-27T00:00:00"/>
    <s v="CUST-0267"/>
    <x v="31"/>
    <s v="R010"/>
    <n v="3"/>
    <n v="3780"/>
    <n v="1.9"/>
    <n v="11124.54"/>
    <s v="Completed"/>
    <s v="Hyderabad"/>
    <s v="Grocery"/>
    <s v="Retail"/>
    <n v="27"/>
    <x v="1"/>
    <n v="2436"/>
    <n v="0.35555555555555557"/>
  </r>
  <r>
    <s v="ORD-01431"/>
    <d v="2024-10-14T00:00:00"/>
    <s v="CUST-0034"/>
    <x v="8"/>
    <s v="R018"/>
    <n v="6"/>
    <n v="5490"/>
    <n v="0.5"/>
    <n v="32775.300000000003"/>
    <s v="Pending"/>
    <s v="Delhi"/>
    <s v="Home"/>
    <s v="Retail"/>
    <n v="47"/>
    <x v="3"/>
    <n v="2549"/>
    <n v="0.53570127504553733"/>
  </r>
  <r>
    <s v="ORD-01432"/>
    <d v="2024-07-22T00:00:00"/>
    <s v="CUST-0029"/>
    <x v="34"/>
    <s v="R029"/>
    <n v="6"/>
    <n v="2270"/>
    <n v="21.5"/>
    <n v="10691.7"/>
    <s v="Completed"/>
    <s v="Chennai"/>
    <s v="Grocery"/>
    <s v="Corporate"/>
    <n v="54"/>
    <x v="2"/>
    <n v="1412"/>
    <n v="0.37797356828193834"/>
  </r>
  <r>
    <s v="ORD-01433"/>
    <d v="2024-11-04T00:00:00"/>
    <s v="CUST-0224"/>
    <x v="45"/>
    <s v="R023"/>
    <n v="7"/>
    <n v="2210"/>
    <n v="10.3"/>
    <n v="13876.59"/>
    <s v="Completed"/>
    <s v="Chennai"/>
    <s v="Grocery"/>
    <s v="Corporate"/>
    <n v="24"/>
    <x v="3"/>
    <n v="1010"/>
    <n v="0.54298642533936647"/>
  </r>
  <r>
    <s v="ORD-01434"/>
    <d v="2024-11-09T00:00:00"/>
    <s v="CUST-9889"/>
    <x v="57"/>
    <s v="R009"/>
    <n v="8"/>
    <n v="1090"/>
    <n v="21.7"/>
    <n v="6827.76"/>
    <s v="Completed"/>
    <s v="Pune"/>
    <s v="Home"/>
    <s v=""/>
    <s v=""/>
    <x v="1"/>
    <n v="464"/>
    <n v="0.57431192660550456"/>
  </r>
  <r>
    <s v="ORD-01435"/>
    <d v="2024-11-02T00:00:00"/>
    <s v="CUST-0130"/>
    <x v="59"/>
    <s v="R002"/>
    <n v="5"/>
    <n v="3560"/>
    <n v="19.399999999999999"/>
    <n v="14346.8"/>
    <s v="Pending"/>
    <s v="Bengaluru"/>
    <s v="Apparel"/>
    <s v="Corporate"/>
    <n v="41"/>
    <x v="0"/>
    <n v="2629"/>
    <n v="0.26151685393258428"/>
  </r>
  <r>
    <s v="ORD-01436"/>
    <d v="2024-06-09T00:00:00"/>
    <s v="CUST-0060"/>
    <x v="23"/>
    <s v="R028"/>
    <n v="7"/>
    <n v="1010"/>
    <n v="28.2"/>
    <n v="5076.26"/>
    <s v="Completed"/>
    <s v="Pune"/>
    <s v="Sports"/>
    <s v="Retail"/>
    <n v="39"/>
    <x v="2"/>
    <n v="516"/>
    <n v="0.4891089108910891"/>
  </r>
  <r>
    <s v="ORD-01437"/>
    <d v="2024-06-27T00:00:00"/>
    <s v="CUST-0299"/>
    <x v="44"/>
    <s v="R015"/>
    <n v="2"/>
    <n v="2030"/>
    <n v="27.3"/>
    <n v="2951.62"/>
    <s v="Refunded"/>
    <s v="Mumbai"/>
    <s v="Home"/>
    <s v="Corporate"/>
    <n v="51"/>
    <x v="1"/>
    <n v="1143"/>
    <n v="0.43694581280788175"/>
  </r>
  <r>
    <s v="ORD-01438"/>
    <d v="2024-02-28T00:00:00"/>
    <s v="CUST-0013"/>
    <x v="49"/>
    <s v="R012"/>
    <n v="6"/>
    <n v="5330"/>
    <n v="0.6"/>
    <n v="31788.12"/>
    <s v="Completed"/>
    <s v="Delhi"/>
    <s v="Electronics"/>
    <s v="Retail"/>
    <n v="41"/>
    <x v="1"/>
    <n v="2405"/>
    <n v="0.54878048780487809"/>
  </r>
  <r>
    <s v="ORD-01439"/>
    <d v="2024-08-10T00:00:00"/>
    <s v="CUST-0193"/>
    <x v="11"/>
    <s v="R007"/>
    <n v="2"/>
    <n v="2640"/>
    <n v="26"/>
    <n v="3907.2"/>
    <s v="Pending"/>
    <s v="Bengaluru"/>
    <s v="Electronics"/>
    <s v="Retail"/>
    <n v="42"/>
    <x v="0"/>
    <n v="1149"/>
    <n v="0.56477272727272732"/>
  </r>
  <r>
    <s v="ORD-01440"/>
    <d v="2024-06-04T00:00:00"/>
    <s v="CUST-0170"/>
    <x v="41"/>
    <s v="R012"/>
    <n v="8"/>
    <n v="2660"/>
    <n v="2.9"/>
    <n v="20662.88"/>
    <s v="Completed"/>
    <s v="Mumbai"/>
    <s v="Electronics"/>
    <s v="SMB"/>
    <n v="22"/>
    <x v="1"/>
    <n v="1259"/>
    <n v="0.52669172932330832"/>
  </r>
  <r>
    <s v="ORD-01441"/>
    <d v="2024-04-08T00:00:00"/>
    <s v="CUST-0063"/>
    <x v="13"/>
    <s v="R023"/>
    <n v="6"/>
    <n v="3250"/>
    <n v="11.1"/>
    <n v="17335.5"/>
    <s v="Completed"/>
    <s v="Mumbai"/>
    <s v="Home"/>
    <s v="SMB"/>
    <n v="53"/>
    <x v="3"/>
    <n v="1556"/>
    <n v="0.52123076923076928"/>
  </r>
  <r>
    <s v="ORD-01442"/>
    <d v="2024-01-16T00:00:00"/>
    <s v="CUST-0168"/>
    <x v="45"/>
    <s v="R004"/>
    <n v="1"/>
    <n v="2210"/>
    <n v="3.5"/>
    <n v="2132.65"/>
    <s v="Completed"/>
    <s v="Pune"/>
    <s v="Grocery"/>
    <s v="Retail"/>
    <n v="25"/>
    <x v="0"/>
    <n v="1010"/>
    <n v="0.54298642533936647"/>
  </r>
  <r>
    <s v="ORD-01443"/>
    <d v="2024-05-20T00:00:00"/>
    <s v="CUST-0124"/>
    <x v="5"/>
    <s v="R019"/>
    <n v="9"/>
    <n v="370"/>
    <n v="12.4"/>
    <n v="2917.08"/>
    <s v="Completed"/>
    <s v="Pune"/>
    <s v="Home"/>
    <s v="Retail"/>
    <n v="57"/>
    <x v="3"/>
    <n v="288"/>
    <n v="0.22162162162162163"/>
  </r>
  <r>
    <s v="ORD-01444"/>
    <d v="2024-06-10T00:00:00"/>
    <s v="CUST-0138"/>
    <x v="56"/>
    <s v="R022"/>
    <n v="3"/>
    <n v="3780"/>
    <n v="8.5"/>
    <n v="10376.1"/>
    <s v="Pending"/>
    <s v="Chennai"/>
    <s v="Sports"/>
    <s v="Retail"/>
    <n v="24"/>
    <x v="3"/>
    <n v="1860"/>
    <n v="0.50793650793650791"/>
  </r>
  <r>
    <s v="ORD-01445"/>
    <d v="2024-04-15T00:00:00"/>
    <s v="CUST-0146"/>
    <x v="23"/>
    <s v="R002"/>
    <n v="2"/>
    <n v="1010"/>
    <n v="2.7"/>
    <n v="1965.46"/>
    <s v="Completed"/>
    <s v="Hyderabad"/>
    <s v="Sports"/>
    <s v="Retail"/>
    <n v="22"/>
    <x v="0"/>
    <n v="516"/>
    <n v="0.4891089108910891"/>
  </r>
  <r>
    <s v="ORD-01446"/>
    <d v="2024-12-13T00:00:00"/>
    <s v="CUST-0244"/>
    <x v="1"/>
    <s v="R012"/>
    <n v="2"/>
    <n v="820"/>
    <n v="13.2"/>
    <n v="1423.52"/>
    <s v="Pending"/>
    <s v="Bengaluru"/>
    <s v="Apparel"/>
    <s v="Retail"/>
    <n v="61"/>
    <x v="1"/>
    <n v="391"/>
    <n v="0.52317073170731709"/>
  </r>
  <r>
    <s v="ORD-01447"/>
    <d v="2024-07-09T00:00:00"/>
    <s v="CUST-0291"/>
    <x v="3"/>
    <s v="R012"/>
    <n v="1"/>
    <n v="3660"/>
    <n v="14"/>
    <n v="3147.6"/>
    <s v="Refunded"/>
    <s v="Pune"/>
    <s v="Grocery"/>
    <s v="SMB"/>
    <n v="29"/>
    <x v="1"/>
    <n v="2214"/>
    <n v="0.39508196721311473"/>
  </r>
  <r>
    <s v="ORD-01448"/>
    <d v="2024-06-04T00:00:00"/>
    <s v="CUST-0222"/>
    <x v="34"/>
    <s v="R017"/>
    <n v="6"/>
    <n v="2270"/>
    <n v="16"/>
    <n v="11440.8"/>
    <s v="Completed"/>
    <s v="Chennai"/>
    <s v="Grocery"/>
    <s v="Retail"/>
    <n v="37"/>
    <x v="3"/>
    <n v="1412"/>
    <n v="0.37797356828193834"/>
  </r>
  <r>
    <s v="ORD-01449"/>
    <d v="2024-11-02T00:00:00"/>
    <s v="CUST-0137"/>
    <x v="51"/>
    <s v="R019"/>
    <n v="7"/>
    <n v="960"/>
    <n v="28.8"/>
    <n v="4784.6400000000003"/>
    <s v="Refunded"/>
    <s v="Mumbai"/>
    <s v="Beauty"/>
    <s v="Retail"/>
    <n v="41"/>
    <x v="3"/>
    <n v="675"/>
    <n v="0.296875"/>
  </r>
  <r>
    <s v="ORD-01450"/>
    <d v="2024-12-19T00:00:00"/>
    <s v="CUST-0150"/>
    <x v="44"/>
    <s v="R025"/>
    <n v="9"/>
    <n v="2030"/>
    <n v="3.4"/>
    <n v="17648.82"/>
    <s v="Completed"/>
    <s v="Pune"/>
    <s v="Home"/>
    <s v="SMB"/>
    <n v="53"/>
    <x v="2"/>
    <n v="1143"/>
    <n v="0.43694581280788175"/>
  </r>
  <r>
    <s v="ORD-01451"/>
    <d v="2024-01-08T00:00:00"/>
    <s v="CUST-0058"/>
    <x v="50"/>
    <s v="R005"/>
    <n v="6"/>
    <n v="2380"/>
    <n v="13.2"/>
    <n v="12395.04"/>
    <s v="Completed"/>
    <s v="Bengaluru"/>
    <s v="Grocery"/>
    <s v="SMB"/>
    <n v="49"/>
    <x v="0"/>
    <n v="1182"/>
    <n v="0.50336134453781511"/>
  </r>
  <r>
    <s v="ORD-01452"/>
    <d v="2024-01-17T00:00:00"/>
    <s v="CUST-0187"/>
    <x v="16"/>
    <s v="R009"/>
    <n v="10"/>
    <n v="3450"/>
    <n v="8.6999999999999993"/>
    <n v="31498.5"/>
    <s v="Completed"/>
    <s v="Chennai"/>
    <s v="Beauty"/>
    <s v="SMB"/>
    <n v="51"/>
    <x v="1"/>
    <n v="2420"/>
    <n v="0.29855072463768118"/>
  </r>
  <r>
    <s v="ORD-01453"/>
    <d v="2024-07-14T00:00:00"/>
    <s v="CUST-0116"/>
    <x v="51"/>
    <s v="R021"/>
    <n v="6"/>
    <n v="960"/>
    <n v="20.6"/>
    <n v="4573.4399999999996"/>
    <s v="Pending"/>
    <s v="Bengaluru"/>
    <s v="Beauty"/>
    <s v="Retail"/>
    <n v="53"/>
    <x v="3"/>
    <n v="675"/>
    <n v="0.296875"/>
  </r>
  <r>
    <s v="ORD-01454"/>
    <d v="2024-02-19T00:00:00"/>
    <s v="CUST-0290"/>
    <x v="59"/>
    <s v="R013"/>
    <n v="10"/>
    <n v="3560"/>
    <n v="1.4"/>
    <n v="35101.599999999999"/>
    <s v="Pending"/>
    <s v="Delhi"/>
    <s v="Apparel"/>
    <s v="Retail"/>
    <n v="63"/>
    <x v="1"/>
    <n v="2629"/>
    <n v="0.26151685393258428"/>
  </r>
  <r>
    <s v="ORD-01455"/>
    <d v="2024-03-03T00:00:00"/>
    <s v="CUST-0053"/>
    <x v="20"/>
    <s v="R014"/>
    <n v="4"/>
    <n v="2720"/>
    <n v="19.399999999999999"/>
    <n v="8769.2800000000007"/>
    <s v="Refunded"/>
    <s v="Delhi"/>
    <s v="Apparel"/>
    <s v="Retail"/>
    <n v="53"/>
    <x v="1"/>
    <n v="1962"/>
    <n v="0.2786764705882353"/>
  </r>
  <r>
    <s v="ORD-01456"/>
    <d v="2024-06-15T00:00:00"/>
    <s v="CUST-0044"/>
    <x v="38"/>
    <s v="R029"/>
    <n v="5"/>
    <n v="1220"/>
    <n v="15.6"/>
    <n v="5148.3999999999996"/>
    <s v="Completed"/>
    <s v="Hyderabad"/>
    <s v="Electronics"/>
    <s v="SMB"/>
    <n v="29"/>
    <x v="2"/>
    <n v="517"/>
    <n v="0.57622950819672136"/>
  </r>
  <r>
    <s v="ORD-01457"/>
    <d v="2024-03-13T00:00:00"/>
    <s v="CUST-0267"/>
    <x v="57"/>
    <s v="R026"/>
    <n v="5"/>
    <n v="1090"/>
    <n v="15"/>
    <n v="4632.5"/>
    <s v="Completed"/>
    <s v="Hyderabad"/>
    <s v="Home"/>
    <s v="Retail"/>
    <n v="27"/>
    <x v="2"/>
    <n v="464"/>
    <n v="0.57431192660550456"/>
  </r>
  <r>
    <s v="ORD-01458"/>
    <d v="2024-11-22T00:00:00"/>
    <s v="CUST-0179"/>
    <x v="5"/>
    <s v="R029"/>
    <n v="9"/>
    <n v="370"/>
    <n v="25.4"/>
    <n v="2484.1799999999998"/>
    <s v="Completed"/>
    <s v="Mumbai"/>
    <s v="Home"/>
    <s v="SMB"/>
    <n v="54"/>
    <x v="2"/>
    <n v="288"/>
    <n v="0.22162162162162163"/>
  </r>
  <r>
    <s v="ORD-01459"/>
    <d v="2024-06-13T00:00:00"/>
    <s v="CUST-0089"/>
    <x v="27"/>
    <s v="R007"/>
    <n v="7"/>
    <n v="2860"/>
    <n v="14"/>
    <n v="17217.2"/>
    <s v="Completed"/>
    <s v="Mumbai"/>
    <s v="Sports"/>
    <s v="SMB"/>
    <n v="43"/>
    <x v="0"/>
    <n v="2028"/>
    <n v="0.29090909090909089"/>
  </r>
  <r>
    <s v="ORD-01460"/>
    <d v="2024-07-17T00:00:00"/>
    <s v="CUST-0090"/>
    <x v="45"/>
    <s v="R026"/>
    <n v="1"/>
    <n v="2210"/>
    <n v="1.7"/>
    <n v="2172.4299999999998"/>
    <s v="Completed"/>
    <s v="Bengaluru"/>
    <s v="Grocery"/>
    <s v="Corporate"/>
    <n v="26"/>
    <x v="2"/>
    <n v="1010"/>
    <n v="0.54298642533936647"/>
  </r>
  <r>
    <s v="ORD-01461"/>
    <d v="2024-10-19T00:00:00"/>
    <s v="CUST-0135"/>
    <x v="9"/>
    <s v="R025"/>
    <n v="3"/>
    <n v="970"/>
    <n v="20.3"/>
    <n v="2319.27"/>
    <s v="Pending"/>
    <s v="Pune"/>
    <s v="Grocery"/>
    <s v="SMB"/>
    <n v="24"/>
    <x v="2"/>
    <n v="434"/>
    <n v="0.5525773195876289"/>
  </r>
  <r>
    <s v="ORD-01462"/>
    <d v="2024-07-03T00:00:00"/>
    <s v="CUST-0252"/>
    <x v="59"/>
    <s v="R021"/>
    <n v="5"/>
    <n v="3560"/>
    <n v="17.100000000000001"/>
    <n v="14756.2"/>
    <s v="Completed"/>
    <s v="Bengaluru"/>
    <s v="Apparel"/>
    <s v="Retail"/>
    <n v="27"/>
    <x v="3"/>
    <n v="2629"/>
    <n v="0.26151685393258428"/>
  </r>
  <r>
    <s v="ORD-01463"/>
    <d v="2024-04-05T00:00:00"/>
    <s v="CUST-0086"/>
    <x v="18"/>
    <s v="R023"/>
    <n v="10"/>
    <n v="1080"/>
    <n v="12.8"/>
    <n v="9417.6"/>
    <s v="Completed"/>
    <s v="Hyderabad"/>
    <s v="Home"/>
    <s v="Corporate"/>
    <n v="56"/>
    <x v="3"/>
    <n v="519"/>
    <n v="0.51944444444444449"/>
  </r>
  <r>
    <s v="ORD-01464"/>
    <d v="2024-02-02T00:00:00"/>
    <s v="CUST-0264"/>
    <x v="38"/>
    <s v="R011"/>
    <n v="3"/>
    <n v="1220"/>
    <n v="1.9"/>
    <n v="3590.46"/>
    <s v="Completed"/>
    <s v="Pune"/>
    <s v="Electronics"/>
    <s v="Retail"/>
    <n v="59"/>
    <x v="1"/>
    <n v="517"/>
    <n v="0.57622950819672136"/>
  </r>
  <r>
    <s v="ORD-01465"/>
    <d v="2024-07-06T00:00:00"/>
    <s v="CUST-9851"/>
    <x v="30"/>
    <s v="R009"/>
    <n v="1"/>
    <n v="3730"/>
    <n v="14.7"/>
    <n v="3181.69"/>
    <s v="Pending"/>
    <s v="Pune"/>
    <s v="Home"/>
    <s v=""/>
    <s v=""/>
    <x v="1"/>
    <n v="2135"/>
    <n v="0.42761394101876676"/>
  </r>
  <r>
    <s v="ORD-01466"/>
    <d v="2024-12-02T00:00:00"/>
    <s v="CUST-0143"/>
    <x v="7"/>
    <s v="R001"/>
    <n v="3"/>
    <n v="1430"/>
    <n v="13.2"/>
    <n v="3723.72"/>
    <s v="Completed"/>
    <s v="Chennai"/>
    <s v="Electronics"/>
    <s v="SMB"/>
    <n v="52"/>
    <x v="0"/>
    <n v="861"/>
    <n v="0.39790209790209791"/>
  </r>
  <r>
    <s v="ORD-01467"/>
    <d v="2024-05-01T00:00:00"/>
    <s v="CUST-0086"/>
    <x v="33"/>
    <s v="R018"/>
    <n v="2"/>
    <n v="6080"/>
    <n v="21.8"/>
    <n v="9509.1200000000008"/>
    <s v="Cancelled"/>
    <s v="Hyderabad"/>
    <s v="Beauty"/>
    <s v="Corporate"/>
    <n v="56"/>
    <x v="3"/>
    <n v="2617"/>
    <n v="0.56957236842105263"/>
  </r>
  <r>
    <s v="ORD-01468"/>
    <d v="2024-02-21T00:00:00"/>
    <s v="CUST-0196"/>
    <x v="26"/>
    <s v="R015"/>
    <n v="9"/>
    <n v="5100"/>
    <n v="29.3"/>
    <n v="32451.3"/>
    <s v="Completed"/>
    <s v="Chennai"/>
    <s v="Beauty"/>
    <s v="Retail"/>
    <n v="26"/>
    <x v="1"/>
    <n v="2237"/>
    <n v="0.56137254901960787"/>
  </r>
  <r>
    <s v="ORD-01469"/>
    <d v="2024-05-12T00:00:00"/>
    <s v="CUST-0089"/>
    <x v="55"/>
    <s v="R014"/>
    <n v="5"/>
    <n v="3450"/>
    <n v="5.3"/>
    <n v="16335.75"/>
    <s v="Completed"/>
    <s v="Mumbai"/>
    <s v="Apparel"/>
    <s v="SMB"/>
    <n v="43"/>
    <x v="1"/>
    <n v="1748"/>
    <n v="0.49333333333333335"/>
  </r>
  <r>
    <s v="ORD-01470"/>
    <d v="2024-12-06T00:00:00"/>
    <s v="CUST-0149"/>
    <x v="25"/>
    <s v="R002"/>
    <n v="6"/>
    <n v="3570"/>
    <n v="17.3"/>
    <n v="17714.34"/>
    <s v="Completed"/>
    <s v="Hyderabad"/>
    <s v="Electronics"/>
    <s v="Retail"/>
    <n v="44"/>
    <x v="0"/>
    <n v="1665"/>
    <n v="0.53361344537815125"/>
  </r>
  <r>
    <s v="ORD-01471"/>
    <d v="2024-06-01T00:00:00"/>
    <s v="CUST-0161"/>
    <x v="30"/>
    <s v="R018"/>
    <n v="6"/>
    <n v="3730"/>
    <n v="1"/>
    <n v="22156.2"/>
    <s v="Completed"/>
    <s v="Chennai"/>
    <s v="Home"/>
    <s v="Retail"/>
    <n v="38"/>
    <x v="3"/>
    <n v="2135"/>
    <n v="0.42761394101876676"/>
  </r>
  <r>
    <s v="ORD-01472"/>
    <d v="2024-09-10T00:00:00"/>
    <s v="CUST-0022"/>
    <x v="56"/>
    <s v="R019"/>
    <n v="4"/>
    <n v="3780"/>
    <n v="13.1"/>
    <n v="13139.28"/>
    <s v="Completed"/>
    <s v="Bengaluru"/>
    <s v="Sports"/>
    <s v="Corporate"/>
    <n v="55"/>
    <x v="3"/>
    <n v="1860"/>
    <n v="0.50793650793650791"/>
  </r>
  <r>
    <s v="ORD-01473"/>
    <d v="2024-08-07T00:00:00"/>
    <s v="CUST-0169"/>
    <x v="47"/>
    <s v="R011"/>
    <n v="1"/>
    <n v="2510"/>
    <n v="27.8"/>
    <n v="1812.22"/>
    <s v="Cancelled"/>
    <s v="Bengaluru"/>
    <s v="Apparel"/>
    <s v="SMB"/>
    <n v="42"/>
    <x v="1"/>
    <n v="1075"/>
    <n v="0.57171314741035861"/>
  </r>
  <r>
    <s v="ORD-01474"/>
    <d v="2024-10-12T00:00:00"/>
    <s v="CUST-0290"/>
    <x v="29"/>
    <s v="R007"/>
    <n v="9"/>
    <n v="660"/>
    <n v="29.3"/>
    <n v="4199.58"/>
    <s v="Completed"/>
    <s v="Delhi"/>
    <s v="Home"/>
    <s v="Retail"/>
    <n v="63"/>
    <x v="0"/>
    <n v="329"/>
    <n v="0.50151515151515147"/>
  </r>
  <r>
    <s v="ORD-01475"/>
    <d v="2024-08-03T00:00:00"/>
    <s v="CUST-0156"/>
    <x v="32"/>
    <s v="R030"/>
    <n v="7"/>
    <n v="3640"/>
    <n v="11.6"/>
    <n v="22524.32"/>
    <s v="Completed"/>
    <s v="Mumbai"/>
    <s v="Apparel"/>
    <s v="Retail"/>
    <n v="33"/>
    <x v="2"/>
    <n v="2611"/>
    <n v="0.28269230769230769"/>
  </r>
  <r>
    <s v="ORD-01476"/>
    <d v="2024-05-03T00:00:00"/>
    <s v="CUST-0005"/>
    <x v="48"/>
    <s v="R019"/>
    <n v="8"/>
    <n v="5410"/>
    <n v="25.6"/>
    <n v="32200.32"/>
    <s v="Completed"/>
    <s v="Chennai"/>
    <s v="Sports"/>
    <s v="Corporate"/>
    <n v="52"/>
    <x v="3"/>
    <n v="2265"/>
    <n v="0.58133086876155271"/>
  </r>
  <r>
    <s v="ORD-01477"/>
    <d v="2024-02-20T00:00:00"/>
    <s v="CUST-0206"/>
    <x v="15"/>
    <s v="R008"/>
    <n v="4"/>
    <n v="2400"/>
    <n v="10.4"/>
    <n v="8601.6"/>
    <s v="Completed"/>
    <s v="Mumbai"/>
    <s v="Sports"/>
    <s v="Retail"/>
    <n v="40"/>
    <x v="0"/>
    <n v="974"/>
    <n v="0.59416666666666662"/>
  </r>
  <r>
    <s v="ORD-01478"/>
    <d v="2024-02-11T00:00:00"/>
    <s v="CUST-0240"/>
    <x v="8"/>
    <s v="R028"/>
    <n v="2"/>
    <n v="5490"/>
    <n v="5.4"/>
    <n v="10387.08"/>
    <s v="Completed"/>
    <s v="Chennai"/>
    <s v="Home"/>
    <s v="Corporate"/>
    <n v="35"/>
    <x v="2"/>
    <n v="2549"/>
    <n v="0.53570127504553733"/>
  </r>
  <r>
    <s v="ORD-01479"/>
    <d v="2024-08-12T00:00:00"/>
    <s v="CUST-0109"/>
    <x v="36"/>
    <s v="R016"/>
    <n v="6"/>
    <n v="1540"/>
    <n v="0.6"/>
    <n v="9184.56"/>
    <s v="Completed"/>
    <s v="Pune"/>
    <s v="Beauty"/>
    <s v="Retail"/>
    <n v="42"/>
    <x v="1"/>
    <n v="647"/>
    <n v="0.57987012987012987"/>
  </r>
  <r>
    <s v="ORD-01480"/>
    <d v="2024-02-21T00:00:00"/>
    <s v="CUST-0201"/>
    <x v="49"/>
    <s v="R001"/>
    <n v="3"/>
    <n v="5330"/>
    <n v="1"/>
    <n v="15830.1"/>
    <s v="Pending"/>
    <s v="Hyderabad"/>
    <s v="Electronics"/>
    <s v="Retail"/>
    <n v="31"/>
    <x v="0"/>
    <n v="2405"/>
    <n v="0.54878048780487809"/>
  </r>
  <r>
    <s v="ORD-01481"/>
    <d v="2024-08-18T00:00:00"/>
    <s v="CUST-0100"/>
    <x v="27"/>
    <s v="R012"/>
    <n v="6"/>
    <n v="2860"/>
    <n v="13.3"/>
    <n v="14877.72"/>
    <s v="Completed"/>
    <s v="Hyderabad"/>
    <s v="Sports"/>
    <s v="Corporate"/>
    <n v="60"/>
    <x v="1"/>
    <n v="2028"/>
    <n v="0.29090909090909089"/>
  </r>
  <r>
    <s v="ORD-01482"/>
    <d v="2024-01-14T00:00:00"/>
    <s v="CUST-0262"/>
    <x v="24"/>
    <s v="R006"/>
    <n v="3"/>
    <n v="4880"/>
    <n v="12.1"/>
    <n v="12868.56"/>
    <s v="Completed"/>
    <s v="Mumbai"/>
    <s v="Beauty"/>
    <s v="Retail"/>
    <n v="52"/>
    <x v="0"/>
    <n v="2768"/>
    <n v="0.43278688524590164"/>
  </r>
  <r>
    <s v="ORD-01483"/>
    <d v="2024-03-02T00:00:00"/>
    <s v="CUST-0067"/>
    <x v="47"/>
    <s v="R005"/>
    <n v="5"/>
    <n v="2510"/>
    <n v="2.9"/>
    <n v="12186.05"/>
    <s v="Pending"/>
    <s v="Delhi"/>
    <s v="Apparel"/>
    <s v="SMB"/>
    <n v="59"/>
    <x v="0"/>
    <n v="1075"/>
    <n v="0.57171314741035861"/>
  </r>
  <r>
    <s v="ORD-01484"/>
    <d v="2024-08-21T00:00:00"/>
    <s v="CUST-9844"/>
    <x v="53"/>
    <s v="R020"/>
    <n v="9"/>
    <n v="3970"/>
    <n v="28"/>
    <n v="25725.599999999999"/>
    <s v="Completed"/>
    <s v="Pune"/>
    <s v="Electronics"/>
    <s v=""/>
    <s v=""/>
    <x v="3"/>
    <n v="2865"/>
    <n v="0.27833753148614609"/>
  </r>
  <r>
    <s v="ORD-01485"/>
    <d v="2024-10-28T00:00:00"/>
    <s v="CUST-0122"/>
    <x v="2"/>
    <s v="R027"/>
    <n v="4"/>
    <n v="470"/>
    <n v="19.100000000000001"/>
    <n v="1520.92"/>
    <s v="Pending"/>
    <s v="Mumbai"/>
    <s v="Sports"/>
    <s v="Retail"/>
    <n v="44"/>
    <x v="2"/>
    <n v="302"/>
    <n v="0.35744680851063831"/>
  </r>
  <r>
    <s v="ORD-01486"/>
    <d v="2024-09-15T00:00:00"/>
    <s v="CUST-0129"/>
    <x v="49"/>
    <s v="R025"/>
    <n v="7"/>
    <n v="5330"/>
    <n v="17.2"/>
    <n v="30892.68"/>
    <s v="Cancelled"/>
    <s v="Hyderabad"/>
    <s v="Electronics"/>
    <s v="Retail"/>
    <n v="29"/>
    <x v="2"/>
    <n v="2405"/>
    <n v="0.54878048780487809"/>
  </r>
  <r>
    <s v="ORD-01487"/>
    <d v="2024-08-07T00:00:00"/>
    <s v="CUST-0056"/>
    <x v="57"/>
    <s v="R012"/>
    <n v="4"/>
    <n v="1090"/>
    <n v="4.9000000000000004"/>
    <n v="4146.3599999999997"/>
    <s v="Cancelled"/>
    <s v="Bengaluru"/>
    <s v="Home"/>
    <s v="SMB"/>
    <n v="46"/>
    <x v="1"/>
    <n v="464"/>
    <n v="0.57431192660550456"/>
  </r>
  <r>
    <s v="ORD-01488"/>
    <d v="2024-06-13T00:00:00"/>
    <s v="CUST-0080"/>
    <x v="23"/>
    <s v="R009"/>
    <n v="2"/>
    <n v="1010"/>
    <n v="14"/>
    <n v="1737.2"/>
    <s v="Completed"/>
    <s v="Pune"/>
    <s v="Sports"/>
    <s v="SMB"/>
    <n v="30"/>
    <x v="1"/>
    <n v="516"/>
    <n v="0.4891089108910891"/>
  </r>
  <r>
    <s v="ORD-01489"/>
    <d v="2024-02-21T00:00:00"/>
    <s v="CUST-0155"/>
    <x v="35"/>
    <s v="R016"/>
    <n v="9"/>
    <n v="3870"/>
    <n v="8.1999999999999993"/>
    <n v="31973.94"/>
    <s v="Completed"/>
    <s v="Pune"/>
    <s v="Electronics"/>
    <s v="Corporate"/>
    <n v="40"/>
    <x v="1"/>
    <n v="1559"/>
    <n v="0.59715762273901807"/>
  </r>
  <r>
    <s v="ORD-01490"/>
    <d v="2024-07-18T00:00:00"/>
    <s v="CUST-0278"/>
    <x v="41"/>
    <s v="R013"/>
    <n v="7"/>
    <n v="2660"/>
    <n v="15.9"/>
    <n v="15659.42"/>
    <s v="Completed"/>
    <s v="Hyderabad"/>
    <s v="Electronics"/>
    <s v="Retail"/>
    <n v="41"/>
    <x v="1"/>
    <n v="1259"/>
    <n v="0.52669172932330832"/>
  </r>
  <r>
    <s v="ORD-01491"/>
    <d v="2024-11-23T00:00:00"/>
    <s v="CUST-0075"/>
    <x v="7"/>
    <s v="R019"/>
    <n v="4"/>
    <n v="1430"/>
    <n v="25.6"/>
    <n v="4255.68"/>
    <s v="Completed"/>
    <s v="Mumbai"/>
    <s v="Electronics"/>
    <s v="Corporate"/>
    <n v="55"/>
    <x v="3"/>
    <n v="861"/>
    <n v="0.39790209790209791"/>
  </r>
  <r>
    <s v="ORD-01492"/>
    <d v="2024-03-23T00:00:00"/>
    <s v="CUST-0274"/>
    <x v="24"/>
    <s v="R023"/>
    <n v="4"/>
    <n v="4880"/>
    <n v="19.399999999999999"/>
    <n v="15733.12"/>
    <s v="Cancelled"/>
    <s v="Bengaluru"/>
    <s v="Beauty"/>
    <s v="Corporate"/>
    <n v="36"/>
    <x v="3"/>
    <n v="2768"/>
    <n v="0.43278688524590164"/>
  </r>
  <r>
    <s v="ORD-01493"/>
    <d v="2024-10-01T00:00:00"/>
    <s v="CUST-0197"/>
    <x v="14"/>
    <s v="R001"/>
    <n v="2"/>
    <n v="190"/>
    <n v="9"/>
    <n v="345.8"/>
    <s v="Completed"/>
    <s v="Bengaluru"/>
    <s v="Sports"/>
    <s v="Retail"/>
    <n v="55"/>
    <x v="0"/>
    <n v="147"/>
    <n v="0.22631578947368422"/>
  </r>
  <r>
    <s v="ORD-01494"/>
    <d v="2024-05-03T00:00:00"/>
    <s v="CUST-0294"/>
    <x v="40"/>
    <s v="R019"/>
    <n v="1"/>
    <n v="3020"/>
    <n v="3.6"/>
    <n v="2911.28"/>
    <s v="Refunded"/>
    <s v="Delhi"/>
    <s v="Beauty"/>
    <s v="Corporate"/>
    <n v="31"/>
    <x v="3"/>
    <n v="1626"/>
    <n v="0.46158940397350995"/>
  </r>
  <r>
    <s v="ORD-01495"/>
    <d v="2024-11-05T00:00:00"/>
    <s v="CUST-0281"/>
    <x v="24"/>
    <s v="R019"/>
    <n v="2"/>
    <n v="4880"/>
    <n v="2"/>
    <n v="9564.7999999999993"/>
    <s v="Cancelled"/>
    <s v="Bengaluru"/>
    <s v="Beauty"/>
    <s v="Corporate"/>
    <n v="57"/>
    <x v="3"/>
    <n v="2768"/>
    <n v="0.43278688524590164"/>
  </r>
  <r>
    <s v="ORD-01496"/>
    <d v="2024-01-28T00:00:00"/>
    <s v="CUST-0130"/>
    <x v="15"/>
    <s v="R027"/>
    <n v="4"/>
    <n v="2400"/>
    <n v="11.5"/>
    <n v="8496"/>
    <s v="Completed"/>
    <s v="Bengaluru"/>
    <s v="Sports"/>
    <s v="Corporate"/>
    <n v="41"/>
    <x v="2"/>
    <n v="974"/>
    <n v="0.59416666666666662"/>
  </r>
  <r>
    <s v="ORD-01497"/>
    <d v="2024-03-06T00:00:00"/>
    <s v="CUST-0097"/>
    <x v="33"/>
    <s v="R002"/>
    <n v="2"/>
    <n v="6080"/>
    <n v="0.5"/>
    <n v="12099.2"/>
    <s v="Cancelled"/>
    <s v="Mumbai"/>
    <s v="Beauty"/>
    <s v="Retail"/>
    <n v="65"/>
    <x v="0"/>
    <n v="2617"/>
    <n v="0.56957236842105263"/>
  </r>
  <r>
    <s v="ORD-01498"/>
    <d v="2024-04-02T00:00:00"/>
    <s v="CUST-0148"/>
    <x v="50"/>
    <s v="R023"/>
    <n v="7"/>
    <n v="2380"/>
    <n v="12.3"/>
    <n v="14610.82"/>
    <s v="Completed"/>
    <s v="Chennai"/>
    <s v="Grocery"/>
    <s v="Retail"/>
    <n v="32"/>
    <x v="3"/>
    <n v="1182"/>
    <n v="0.50336134453781511"/>
  </r>
  <r>
    <s v="ORD-01499"/>
    <d v="2024-08-05T00:00:00"/>
    <s v="CUST-0102"/>
    <x v="36"/>
    <s v="R001"/>
    <n v="10"/>
    <n v="1540"/>
    <n v="20.6"/>
    <n v="12227.6"/>
    <s v="Completed"/>
    <s v="Chennai"/>
    <s v="Beauty"/>
    <s v="SMB"/>
    <n v="62"/>
    <x v="0"/>
    <n v="647"/>
    <n v="0.57987012987012987"/>
  </r>
  <r>
    <s v="ORD-01500"/>
    <d v="2024-08-16T00:00:00"/>
    <s v="CUST-0265"/>
    <x v="35"/>
    <s v="R028"/>
    <n v="7"/>
    <n v="3870"/>
    <n v="6.1"/>
    <n v="25437.51"/>
    <s v="Completed"/>
    <s v="Chennai"/>
    <s v="Electronics"/>
    <s v="Retail"/>
    <n v="49"/>
    <x v="2"/>
    <n v="1559"/>
    <n v="0.59715762273901807"/>
  </r>
  <r>
    <s v="ORD-01501"/>
    <d v="2024-04-01T00:00:00"/>
    <s v="CUST-0073"/>
    <x v="5"/>
    <s v="R021"/>
    <n v="3"/>
    <n v="370"/>
    <n v="13.7"/>
    <n v="957.93"/>
    <s v="Completed"/>
    <s v="Pune"/>
    <s v="Home"/>
    <s v="Corporate"/>
    <n v="40"/>
    <x v="3"/>
    <n v="288"/>
    <n v="0.22162162162162163"/>
  </r>
  <r>
    <s v="ORD-01502"/>
    <d v="2024-02-06T00:00:00"/>
    <s v="CUST-0070"/>
    <x v="14"/>
    <s v="R027"/>
    <n v="8"/>
    <n v="190"/>
    <n v="0.2"/>
    <n v="1516.96"/>
    <s v="Completed"/>
    <s v="Mumbai"/>
    <s v="Sports"/>
    <s v="Retail"/>
    <n v="42"/>
    <x v="2"/>
    <n v="147"/>
    <n v="0.22631578947368422"/>
  </r>
  <r>
    <s v="ORD-01503"/>
    <d v="2024-07-28T00:00:00"/>
    <s v="CUST-0202"/>
    <x v="7"/>
    <s v="R011"/>
    <n v="6"/>
    <n v="1430"/>
    <n v="0.1"/>
    <n v="8571.42"/>
    <s v="Completed"/>
    <s v="Chennai"/>
    <s v="Electronics"/>
    <s v="Retail"/>
    <n v="39"/>
    <x v="1"/>
    <n v="861"/>
    <n v="0.39790209790209791"/>
  </r>
  <r>
    <s v="ORD-01504"/>
    <d v="2024-02-24T00:00:00"/>
    <s v="CUST-0240"/>
    <x v="2"/>
    <s v="R020"/>
    <n v="4"/>
    <n v="470"/>
    <n v="3"/>
    <n v="1823.6"/>
    <s v="Completed"/>
    <s v="Chennai"/>
    <s v="Sports"/>
    <s v="Corporate"/>
    <n v="35"/>
    <x v="3"/>
    <n v="302"/>
    <n v="0.35744680851063831"/>
  </r>
  <r>
    <s v="ORD-01505"/>
    <d v="2024-06-03T00:00:00"/>
    <s v="CUST-0163"/>
    <x v="59"/>
    <s v="R004"/>
    <n v="4"/>
    <n v="3560"/>
    <n v="1.1000000000000001"/>
    <n v="14083.36"/>
    <s v="Completed"/>
    <s v="Pune"/>
    <s v="Apparel"/>
    <s v="Retail"/>
    <n v="49"/>
    <x v="0"/>
    <n v="2629"/>
    <n v="0.26151685393258428"/>
  </r>
  <r>
    <s v="ORD-01506"/>
    <d v="2024-08-17T00:00:00"/>
    <s v="CUST-0238"/>
    <x v="24"/>
    <s v="R012"/>
    <n v="5"/>
    <n v="4880"/>
    <n v="17"/>
    <n v="20252"/>
    <s v="Completed"/>
    <s v="Delhi"/>
    <s v="Beauty"/>
    <s v="Retail"/>
    <n v="49"/>
    <x v="1"/>
    <n v="2768"/>
    <n v="0.43278688524590164"/>
  </r>
  <r>
    <s v="ORD-01507"/>
    <d v="2024-07-10T00:00:00"/>
    <s v="CUST-0196"/>
    <x v="25"/>
    <s v="R009"/>
    <n v="9"/>
    <n v="3570"/>
    <n v="12"/>
    <n v="28274.400000000001"/>
    <s v="Completed"/>
    <s v="Chennai"/>
    <s v="Electronics"/>
    <s v="Retail"/>
    <n v="26"/>
    <x v="1"/>
    <n v="1665"/>
    <n v="0.53361344537815125"/>
  </r>
  <r>
    <s v="ORD-01508"/>
    <d v="2024-03-19T00:00:00"/>
    <s v="CUST-0220"/>
    <x v="17"/>
    <s v="R025"/>
    <n v="6"/>
    <n v="3450"/>
    <n v="22.7"/>
    <n v="16001.1"/>
    <s v="Cancelled"/>
    <s v="Chennai"/>
    <s v="Sports"/>
    <s v="Retail"/>
    <n v="34"/>
    <x v="2"/>
    <n v="2467"/>
    <n v="0.28492753623188405"/>
  </r>
  <r>
    <s v="ORD-01509"/>
    <d v="2024-06-13T00:00:00"/>
    <s v="CUST-0142"/>
    <x v="18"/>
    <s v="R002"/>
    <n v="10"/>
    <n v="1080"/>
    <n v="27.4"/>
    <n v="7840.8"/>
    <s v="Completed"/>
    <s v="Chennai"/>
    <s v="Home"/>
    <s v="Corporate"/>
    <n v="55"/>
    <x v="0"/>
    <n v="519"/>
    <n v="0.51944444444444449"/>
  </r>
  <r>
    <s v="ORD-01510"/>
    <d v="2024-11-09T00:00:00"/>
    <s v="CUST-0217"/>
    <x v="36"/>
    <s v="R025"/>
    <n v="6"/>
    <n v="1540"/>
    <n v="17.100000000000001"/>
    <n v="7659.96"/>
    <s v="Completed"/>
    <s v="Pune"/>
    <s v="Beauty"/>
    <s v="SMB"/>
    <n v="59"/>
    <x v="2"/>
    <n v="647"/>
    <n v="0.57987012987012987"/>
  </r>
  <r>
    <s v="ORD-01511"/>
    <d v="2024-09-21T00:00:00"/>
    <s v="CUST-9582"/>
    <x v="20"/>
    <s v="R013"/>
    <n v="6"/>
    <n v="2720"/>
    <n v="28.1"/>
    <n v="11734.08"/>
    <s v="Completed"/>
    <s v="Mumbai"/>
    <s v="Apparel"/>
    <s v=""/>
    <s v=""/>
    <x v="1"/>
    <n v="1962"/>
    <n v="0.2786764705882353"/>
  </r>
  <r>
    <s v="ORD-01512"/>
    <d v="2024-10-04T00:00:00"/>
    <s v="CUST-0267"/>
    <x v="54"/>
    <s v="R005"/>
    <n v="2"/>
    <n v="5080"/>
    <n v="11.1"/>
    <n v="9032.24"/>
    <s v="Completed"/>
    <s v="Hyderabad"/>
    <s v="Home"/>
    <s v="Retail"/>
    <n v="27"/>
    <x v="0"/>
    <n v="2459"/>
    <n v="0.51594488188976373"/>
  </r>
  <r>
    <s v="ORD-01513"/>
    <d v="2024-02-07T00:00:00"/>
    <s v="CUST-9565"/>
    <x v="43"/>
    <s v="R008"/>
    <n v="5"/>
    <n v="620"/>
    <n v="10.9"/>
    <n v="2762.1"/>
    <s v="Pending"/>
    <s v="Chennai"/>
    <s v="Apparel"/>
    <s v=""/>
    <s v=""/>
    <x v="0"/>
    <n v="396"/>
    <n v="0.36129032258064514"/>
  </r>
  <r>
    <s v="ORD-01514"/>
    <d v="2024-03-26T00:00:00"/>
    <s v="CUST-0051"/>
    <x v="19"/>
    <s v="R003"/>
    <n v="3"/>
    <n v="2480"/>
    <n v="5"/>
    <n v="7068"/>
    <s v="Completed"/>
    <s v="Pune"/>
    <s v="Apparel"/>
    <s v="SMB"/>
    <n v="54"/>
    <x v="0"/>
    <n v="1173"/>
    <n v="0.52701612903225803"/>
  </r>
  <r>
    <s v="ORD-01515"/>
    <d v="2024-09-02T00:00:00"/>
    <s v="CUST-0075"/>
    <x v="23"/>
    <s v="R005"/>
    <n v="9"/>
    <n v="1010"/>
    <n v="21.9"/>
    <n v="7099.29"/>
    <s v="Completed"/>
    <s v="Mumbai"/>
    <s v="Sports"/>
    <s v="Corporate"/>
    <n v="55"/>
    <x v="0"/>
    <n v="516"/>
    <n v="0.4891089108910891"/>
  </r>
  <r>
    <s v="ORD-01516"/>
    <d v="2024-09-15T00:00:00"/>
    <s v="CUST-0106"/>
    <x v="18"/>
    <s v="R004"/>
    <n v="2"/>
    <n v="1080"/>
    <n v="8.5"/>
    <n v="1976.4"/>
    <s v="Completed"/>
    <s v="Pune"/>
    <s v="Home"/>
    <s v="Retail"/>
    <n v="22"/>
    <x v="0"/>
    <n v="519"/>
    <n v="0.51944444444444449"/>
  </r>
  <r>
    <s v="ORD-01517"/>
    <d v="2024-02-03T00:00:00"/>
    <s v="CUST-0053"/>
    <x v="2"/>
    <s v="R025"/>
    <n v="5"/>
    <n v="470"/>
    <n v="8"/>
    <n v="2162"/>
    <s v="Completed"/>
    <s v="Delhi"/>
    <s v="Sports"/>
    <s v="Retail"/>
    <n v="53"/>
    <x v="2"/>
    <n v="302"/>
    <n v="0.35744680851063831"/>
  </r>
  <r>
    <s v="ORD-01518"/>
    <d v="2024-03-24T00:00:00"/>
    <s v="CUST-0042"/>
    <x v="53"/>
    <s v="R020"/>
    <n v="9"/>
    <n v="3970"/>
    <n v="18.5"/>
    <n v="29119.95"/>
    <s v="Completed"/>
    <s v="Pune"/>
    <s v="Electronics"/>
    <s v="Retail"/>
    <n v="25"/>
    <x v="3"/>
    <n v="2865"/>
    <n v="0.27833753148614609"/>
  </r>
  <r>
    <s v="ORD-01519"/>
    <d v="2024-11-18T00:00:00"/>
    <s v="CUST-0120"/>
    <x v="21"/>
    <s v="R010"/>
    <n v="9"/>
    <n v="1650"/>
    <n v="19.5"/>
    <n v="11954.25"/>
    <s v="Completed"/>
    <s v="Mumbai"/>
    <s v="Beauty"/>
    <s v="Retail"/>
    <n v="29"/>
    <x v="1"/>
    <n v="1222"/>
    <n v="0.2593939393939394"/>
  </r>
  <r>
    <s v="ORD-01520"/>
    <d v="2024-03-13T00:00:00"/>
    <s v="CUST-0166"/>
    <x v="22"/>
    <s v="R006"/>
    <n v="9"/>
    <n v="3350"/>
    <n v="4.0999999999999996"/>
    <n v="28913.85"/>
    <s v="Completed"/>
    <s v="Hyderabad"/>
    <s v="Beauty"/>
    <s v="Retail"/>
    <n v="31"/>
    <x v="0"/>
    <n v="1728"/>
    <n v="0.48417910447761192"/>
  </r>
  <r>
    <s v="ORD-01521"/>
    <d v="2024-02-20T00:00:00"/>
    <s v="CUST-0175"/>
    <x v="53"/>
    <s v="R023"/>
    <n v="7"/>
    <n v="3970"/>
    <n v="15.6"/>
    <n v="23454.76"/>
    <s v="Completed"/>
    <s v="Delhi"/>
    <s v="Electronics"/>
    <s v="Corporate"/>
    <n v="55"/>
    <x v="3"/>
    <n v="2865"/>
    <n v="0.27833753148614609"/>
  </r>
  <r>
    <s v="ORD-01522"/>
    <d v="2024-06-11T00:00:00"/>
    <s v="CUST-0001"/>
    <x v="31"/>
    <s v="R018"/>
    <n v="7"/>
    <n v="3780"/>
    <n v="18.7"/>
    <n v="21511.98"/>
    <s v="Completed"/>
    <s v="Pune"/>
    <s v="Grocery"/>
    <s v="Retail"/>
    <n v="36"/>
    <x v="3"/>
    <n v="2436"/>
    <n v="0.35555555555555557"/>
  </r>
  <r>
    <s v="ORD-01523"/>
    <d v="2024-11-29T00:00:00"/>
    <s v="CUST-0238"/>
    <x v="1"/>
    <s v="R013"/>
    <n v="4"/>
    <n v="820"/>
    <n v="18.8"/>
    <n v="2663.36"/>
    <s v="Cancelled"/>
    <s v="Delhi"/>
    <s v="Apparel"/>
    <s v="Retail"/>
    <n v="49"/>
    <x v="1"/>
    <n v="391"/>
    <n v="0.52317073170731709"/>
  </r>
  <r>
    <s v="ORD-01524"/>
    <d v="2024-11-04T00:00:00"/>
    <s v="CUST-0279"/>
    <x v="21"/>
    <s v="R022"/>
    <n v="1"/>
    <n v="1650"/>
    <n v="18.8"/>
    <n v="1339.8"/>
    <s v="Cancelled"/>
    <s v="Mumbai"/>
    <s v="Beauty"/>
    <s v="Retail"/>
    <n v="56"/>
    <x v="3"/>
    <n v="1222"/>
    <n v="0.2593939393939394"/>
  </r>
  <r>
    <s v="ORD-01525"/>
    <d v="2024-04-15T00:00:00"/>
    <s v="CUST-0042"/>
    <x v="31"/>
    <s v="R021"/>
    <n v="2"/>
    <n v="3780"/>
    <n v="1"/>
    <n v="7484.4"/>
    <s v="Refunded"/>
    <s v="Pune"/>
    <s v="Grocery"/>
    <s v="Retail"/>
    <n v="25"/>
    <x v="3"/>
    <n v="2436"/>
    <n v="0.35555555555555557"/>
  </r>
  <r>
    <s v="ORD-01526"/>
    <d v="2024-05-05T00:00:00"/>
    <s v="CUST-0137"/>
    <x v="45"/>
    <s v="R027"/>
    <n v="5"/>
    <n v="2210"/>
    <n v="16.600000000000001"/>
    <n v="9215.7000000000007"/>
    <s v="Completed"/>
    <s v="Mumbai"/>
    <s v="Grocery"/>
    <s v="Retail"/>
    <n v="41"/>
    <x v="2"/>
    <n v="1010"/>
    <n v="0.54298642533936647"/>
  </r>
  <r>
    <s v="ORD-01527"/>
    <d v="2024-07-14T00:00:00"/>
    <s v="CUST-0160"/>
    <x v="58"/>
    <s v="R010"/>
    <n v="10"/>
    <n v="6940"/>
    <n v="10.6"/>
    <n v="62043.6"/>
    <s v="Completed"/>
    <s v="Hyderabad"/>
    <s v="Sports"/>
    <s v="Retail"/>
    <n v="27"/>
    <x v="1"/>
    <n v="2827"/>
    <n v="0.5926512968299712"/>
  </r>
  <r>
    <s v="ORD-01528"/>
    <d v="2024-06-11T00:00:00"/>
    <s v="CUST-0102"/>
    <x v="52"/>
    <s v="R005"/>
    <n v="8"/>
    <n v="2290"/>
    <n v="12.2"/>
    <n v="16084.96"/>
    <s v="Completed"/>
    <s v="Chennai"/>
    <s v="Beauty"/>
    <s v="SMB"/>
    <n v="62"/>
    <x v="0"/>
    <n v="1219"/>
    <n v="0.46768558951965067"/>
  </r>
  <r>
    <s v="ORD-01529"/>
    <d v="2024-08-25T00:00:00"/>
    <s v="CUST-0133"/>
    <x v="44"/>
    <s v="R025"/>
    <n v="5"/>
    <n v="2030"/>
    <n v="23.8"/>
    <n v="7734.3"/>
    <s v="Cancelled"/>
    <s v="Chennai"/>
    <s v="Home"/>
    <s v="Retail"/>
    <n v="26"/>
    <x v="2"/>
    <n v="1143"/>
    <n v="0.43694581280788175"/>
  </r>
  <r>
    <s v="ORD-01530"/>
    <d v="2024-09-11T00:00:00"/>
    <s v="CUST-0080"/>
    <x v="53"/>
    <s v="R029"/>
    <n v="3"/>
    <n v="3970"/>
    <n v="7.7"/>
    <n v="10992.93"/>
    <s v="Completed"/>
    <s v="Pune"/>
    <s v="Electronics"/>
    <s v="SMB"/>
    <n v="30"/>
    <x v="2"/>
    <n v="2865"/>
    <n v="0.27833753148614609"/>
  </r>
  <r>
    <s v="ORD-01821"/>
    <d v="2024-07-08T00:00:00"/>
    <s v="CUST-0299"/>
    <x v="1"/>
    <s v="R016"/>
    <n v="1"/>
    <n v="820"/>
    <n v="5.4"/>
    <n v="775.72"/>
    <s v="Completed"/>
    <s v="Mumbai"/>
    <s v="Apparel"/>
    <s v="Corporate"/>
    <n v="51"/>
    <x v="1"/>
    <n v="391"/>
    <n v="0.52317073170731709"/>
  </r>
  <r>
    <s v="ORD-01532"/>
    <d v="2024-06-29T00:00:00"/>
    <s v="CUST-0078"/>
    <x v="35"/>
    <s v="R025"/>
    <n v="3"/>
    <n v="3870"/>
    <n v="1.9"/>
    <n v="11389.41"/>
    <s v="Completed"/>
    <s v="Delhi"/>
    <s v="Electronics"/>
    <s v="Retail"/>
    <n v="31"/>
    <x v="2"/>
    <n v="1559"/>
    <n v="0.59715762273901807"/>
  </r>
  <r>
    <s v="ORD-01533"/>
    <d v="2024-01-05T00:00:00"/>
    <s v="CUST-0251"/>
    <x v="9"/>
    <s v="R022"/>
    <n v="6"/>
    <n v="970"/>
    <n v="27.1"/>
    <n v="4242.78"/>
    <s v="Completed"/>
    <s v="Mumbai"/>
    <s v="Grocery"/>
    <s v="Retail"/>
    <n v="44"/>
    <x v="3"/>
    <n v="434"/>
    <n v="0.5525773195876289"/>
  </r>
  <r>
    <s v="ORD-01534"/>
    <d v="2024-10-02T00:00:00"/>
    <s v="CUST-0191"/>
    <x v="24"/>
    <s v="R025"/>
    <n v="1"/>
    <n v="4880"/>
    <n v="26.8"/>
    <n v="3572.16"/>
    <s v="Completed"/>
    <s v="Hyderabad"/>
    <s v="Beauty"/>
    <s v="SMB"/>
    <n v="43"/>
    <x v="2"/>
    <n v="2768"/>
    <n v="0.43278688524590164"/>
  </r>
  <r>
    <s v="ORD-01535"/>
    <d v="2024-02-15T00:00:00"/>
    <s v="CUST-0130"/>
    <x v="34"/>
    <s v="R023"/>
    <n v="1"/>
    <n v="2270"/>
    <n v="22.2"/>
    <n v="1766.06"/>
    <s v="Completed"/>
    <s v="Bengaluru"/>
    <s v="Grocery"/>
    <s v="Corporate"/>
    <n v="41"/>
    <x v="3"/>
    <n v="1412"/>
    <n v="0.37797356828193834"/>
  </r>
  <r>
    <s v="ORD-01536"/>
    <d v="2024-03-25T00:00:00"/>
    <s v="CUST-0056"/>
    <x v="16"/>
    <s v="R026"/>
    <n v="10"/>
    <n v="3450"/>
    <n v="21.9"/>
    <n v="26944.5"/>
    <s v="Completed"/>
    <s v="Bengaluru"/>
    <s v="Beauty"/>
    <s v="SMB"/>
    <n v="46"/>
    <x v="2"/>
    <n v="2420"/>
    <n v="0.29855072463768118"/>
  </r>
  <r>
    <s v="ORD-01537"/>
    <d v="2024-11-20T00:00:00"/>
    <s v="CUST-0185"/>
    <x v="34"/>
    <s v="R011"/>
    <n v="3"/>
    <n v="2270"/>
    <n v="19.100000000000001"/>
    <n v="5509.29"/>
    <s v="Cancelled"/>
    <s v="Hyderabad"/>
    <s v="Grocery"/>
    <s v="SMB"/>
    <n v="43"/>
    <x v="1"/>
    <n v="1412"/>
    <n v="0.37797356828193834"/>
  </r>
  <r>
    <s v="ORD-01538"/>
    <d v="2024-03-09T00:00:00"/>
    <s v="CUST-0195"/>
    <x v="45"/>
    <s v="R030"/>
    <n v="10"/>
    <n v="2210"/>
    <n v="22.3"/>
    <n v="17171.7"/>
    <s v="Completed"/>
    <s v="Bengaluru"/>
    <s v="Grocery"/>
    <s v="Retail"/>
    <n v="28"/>
    <x v="2"/>
    <n v="1010"/>
    <n v="0.54298642533936647"/>
  </r>
  <r>
    <s v="ORD-01539"/>
    <d v="2024-06-22T00:00:00"/>
    <s v="CUST-0067"/>
    <x v="44"/>
    <s v="R011"/>
    <n v="9"/>
    <n v="2030"/>
    <n v="24.8"/>
    <n v="13739.04"/>
    <s v="Completed"/>
    <s v="Delhi"/>
    <s v="Home"/>
    <s v="SMB"/>
    <n v="59"/>
    <x v="1"/>
    <n v="1143"/>
    <n v="0.43694581280788175"/>
  </r>
  <r>
    <s v="ORD-01540"/>
    <d v="2024-03-29T00:00:00"/>
    <s v="CUST-0149"/>
    <x v="22"/>
    <s v="R023"/>
    <n v="5"/>
    <n v="3350"/>
    <n v="18.2"/>
    <n v="13701.5"/>
    <s v="Completed"/>
    <s v="Hyderabad"/>
    <s v="Beauty"/>
    <s v="Retail"/>
    <n v="44"/>
    <x v="3"/>
    <n v="1728"/>
    <n v="0.48417910447761192"/>
  </r>
  <r>
    <s v="ORD-01541"/>
    <d v="2024-03-07T00:00:00"/>
    <s v="CUST-0268"/>
    <x v="32"/>
    <s v="R008"/>
    <n v="7"/>
    <n v="3640"/>
    <n v="14.4"/>
    <n v="21810.880000000001"/>
    <s v="Completed"/>
    <s v="Chennai"/>
    <s v="Apparel"/>
    <s v="Retail"/>
    <n v="35"/>
    <x v="0"/>
    <n v="2611"/>
    <n v="0.28269230769230769"/>
  </r>
  <r>
    <s v="ORD-01542"/>
    <d v="2024-04-03T00:00:00"/>
    <s v="CUST-0126"/>
    <x v="17"/>
    <s v="R018"/>
    <n v="9"/>
    <n v="3450"/>
    <n v="20.100000000000001"/>
    <n v="24808.95"/>
    <s v="Completed"/>
    <s v="Mumbai"/>
    <s v="Sports"/>
    <s v="Retail"/>
    <n v="37"/>
    <x v="3"/>
    <n v="2467"/>
    <n v="0.28492753623188405"/>
  </r>
  <r>
    <s v="ORD-01543"/>
    <d v="2024-05-31T00:00:00"/>
    <s v="CUST-0017"/>
    <x v="16"/>
    <s v="R003"/>
    <n v="6"/>
    <n v="3450"/>
    <n v="19.899999999999999"/>
    <n v="16580.7"/>
    <s v="Pending"/>
    <s v="Delhi"/>
    <s v="Beauty"/>
    <s v="SMB"/>
    <n v="38"/>
    <x v="0"/>
    <n v="2420"/>
    <n v="0.29855072463768118"/>
  </r>
  <r>
    <s v="ORD-01544"/>
    <d v="2024-11-03T00:00:00"/>
    <s v="CUST-0250"/>
    <x v="52"/>
    <s v="R022"/>
    <n v="4"/>
    <n v="2290"/>
    <n v="4.8"/>
    <n v="8720.32"/>
    <s v="Pending"/>
    <s v="Delhi"/>
    <s v="Beauty"/>
    <s v="Retail"/>
    <n v="31"/>
    <x v="3"/>
    <n v="1219"/>
    <n v="0.46768558951965067"/>
  </r>
  <r>
    <s v="ORD-01545"/>
    <d v="2024-07-06T00:00:00"/>
    <s v="CUST-0245"/>
    <x v="6"/>
    <s v="R010"/>
    <n v="9"/>
    <n v="960"/>
    <n v="2.4"/>
    <n v="8432.64"/>
    <s v="Completed"/>
    <s v="Hyderabad"/>
    <s v="Sports"/>
    <s v="Retail"/>
    <n v="65"/>
    <x v="1"/>
    <n v="705"/>
    <n v="0.265625"/>
  </r>
  <r>
    <s v="ORD-01546"/>
    <d v="2024-07-16T00:00:00"/>
    <s v="CUST-0016"/>
    <x v="39"/>
    <s v="R025"/>
    <n v="9"/>
    <n v="4610"/>
    <n v="21.3"/>
    <n v="32652.63"/>
    <s v="Completed"/>
    <s v="Delhi"/>
    <s v="Home"/>
    <s v="SMB"/>
    <n v="26"/>
    <x v="2"/>
    <n v="1850"/>
    <n v="0.59869848156182215"/>
  </r>
  <r>
    <s v="ORD-01547"/>
    <d v="2024-08-10T00:00:00"/>
    <s v="CUST-0063"/>
    <x v="3"/>
    <s v="R003"/>
    <n v="1"/>
    <n v="3660"/>
    <n v="15.6"/>
    <n v="3089.04"/>
    <s v="Completed"/>
    <s v="Mumbai"/>
    <s v="Grocery"/>
    <s v="SMB"/>
    <n v="53"/>
    <x v="0"/>
    <n v="2214"/>
    <n v="0.39508196721311473"/>
  </r>
  <r>
    <s v="ORD-01548"/>
    <d v="2024-12-27T00:00:00"/>
    <s v="CUST-0200"/>
    <x v="41"/>
    <s v="R012"/>
    <n v="5"/>
    <n v="2660"/>
    <n v="20.399999999999999"/>
    <n v="10586.8"/>
    <s v="Completed"/>
    <s v="Hyderabad"/>
    <s v="Electronics"/>
    <s v="Corporate"/>
    <n v="46"/>
    <x v="1"/>
    <n v="1259"/>
    <n v="0.52669172932330832"/>
  </r>
  <r>
    <s v="ORD-01549"/>
    <d v="2024-04-19T00:00:00"/>
    <s v="CUST-0017"/>
    <x v="36"/>
    <s v="R026"/>
    <n v="8"/>
    <n v="1540"/>
    <n v="0.5"/>
    <n v="12258.4"/>
    <s v="Completed"/>
    <s v="Delhi"/>
    <s v="Beauty"/>
    <s v="SMB"/>
    <n v="38"/>
    <x v="2"/>
    <n v="647"/>
    <n v="0.57987012987012987"/>
  </r>
  <r>
    <s v="ORD-01550"/>
    <d v="2024-11-25T00:00:00"/>
    <s v="CUST-0264"/>
    <x v="53"/>
    <s v="R004"/>
    <n v="4"/>
    <n v="3970"/>
    <n v="22.5"/>
    <n v="12307"/>
    <s v="Completed"/>
    <s v="Pune"/>
    <s v="Electronics"/>
    <s v="Retail"/>
    <n v="59"/>
    <x v="0"/>
    <n v="2865"/>
    <n v="0.27833753148614609"/>
  </r>
  <r>
    <s v="ORD-01551"/>
    <d v="2024-03-17T00:00:00"/>
    <s v="CUST-0102"/>
    <x v="56"/>
    <s v="R007"/>
    <n v="8"/>
    <n v="3780"/>
    <n v="3.8"/>
    <n v="29090.880000000001"/>
    <s v="Completed"/>
    <s v="Chennai"/>
    <s v="Sports"/>
    <s v="SMB"/>
    <n v="62"/>
    <x v="0"/>
    <n v="1860"/>
    <n v="0.50793650793650791"/>
  </r>
  <r>
    <s v="ORD-01552"/>
    <d v="2024-09-15T00:00:00"/>
    <s v="CUST-0092"/>
    <x v="34"/>
    <s v="R004"/>
    <n v="4"/>
    <n v="2270"/>
    <n v="3.8"/>
    <n v="8734.9599999999991"/>
    <s v="Cancelled"/>
    <s v="Bengaluru"/>
    <s v="Grocery"/>
    <s v="SMB"/>
    <n v="28"/>
    <x v="0"/>
    <n v="1412"/>
    <n v="0.37797356828193834"/>
  </r>
  <r>
    <s v="ORD-01553"/>
    <d v="2024-01-13T00:00:00"/>
    <s v="CUST-0139"/>
    <x v="38"/>
    <s v="R009"/>
    <n v="10"/>
    <n v="1220"/>
    <n v="19.5"/>
    <n v="9821"/>
    <s v="Completed"/>
    <s v="Hyderabad"/>
    <s v="Electronics"/>
    <s v="SMB"/>
    <n v="65"/>
    <x v="1"/>
    <n v="517"/>
    <n v="0.57622950819672136"/>
  </r>
  <r>
    <s v="ORD-01554"/>
    <d v="2024-01-30T00:00:00"/>
    <s v="CUST-0129"/>
    <x v="22"/>
    <s v="R015"/>
    <n v="10"/>
    <n v="3350"/>
    <n v="7.8"/>
    <n v="30887"/>
    <s v="Completed"/>
    <s v="Hyderabad"/>
    <s v="Beauty"/>
    <s v="Retail"/>
    <n v="29"/>
    <x v="1"/>
    <n v="1728"/>
    <n v="0.48417910447761192"/>
  </r>
  <r>
    <s v="ORD-01555"/>
    <d v="2024-03-07T00:00:00"/>
    <s v="CUST-9841"/>
    <x v="22"/>
    <s v="R030"/>
    <n v="7"/>
    <n v="3350"/>
    <n v="14.5"/>
    <n v="20049.75"/>
    <s v="Completed"/>
    <s v="Bengaluru"/>
    <s v="Beauty"/>
    <s v=""/>
    <s v=""/>
    <x v="2"/>
    <n v="1728"/>
    <n v="0.48417910447761192"/>
  </r>
  <r>
    <s v="ORD-01556"/>
    <d v="2024-05-28T00:00:00"/>
    <s v="CUST-0069"/>
    <x v="8"/>
    <s v="R014"/>
    <n v="6"/>
    <n v="5490"/>
    <n v="8"/>
    <n v="30304.799999999999"/>
    <s v="Completed"/>
    <s v="Chennai"/>
    <s v="Home"/>
    <s v="Retail"/>
    <n v="51"/>
    <x v="1"/>
    <n v="2549"/>
    <n v="0.53570127504553733"/>
  </r>
  <r>
    <s v="ORD-01557"/>
    <d v="2024-11-22T00:00:00"/>
    <s v="CUST-0140"/>
    <x v="27"/>
    <s v="R018"/>
    <n v="3"/>
    <n v="2860"/>
    <n v="19.899999999999999"/>
    <n v="6872.58"/>
    <s v="Completed"/>
    <s v="Hyderabad"/>
    <s v="Sports"/>
    <s v="SMB"/>
    <n v="39"/>
    <x v="3"/>
    <n v="2028"/>
    <n v="0.29090909090909089"/>
  </r>
  <r>
    <s v="ORD-01558"/>
    <d v="2024-01-04T00:00:00"/>
    <s v="CUST-0138"/>
    <x v="11"/>
    <s v="R024"/>
    <n v="3"/>
    <n v="2640"/>
    <n v="29.3"/>
    <n v="5599.44"/>
    <s v="Completed"/>
    <s v="Chennai"/>
    <s v="Electronics"/>
    <s v="Retail"/>
    <n v="24"/>
    <x v="2"/>
    <n v="1149"/>
    <n v="0.56477272727272732"/>
  </r>
  <r>
    <s v="ORD-01559"/>
    <d v="2024-04-02T00:00:00"/>
    <s v="CUST-0277"/>
    <x v="55"/>
    <s v="R029"/>
    <n v="8"/>
    <n v="3450"/>
    <n v="15.2"/>
    <n v="23404.799999999999"/>
    <s v="Cancelled"/>
    <s v="Chennai"/>
    <s v="Apparel"/>
    <s v="Corporate"/>
    <n v="34"/>
    <x v="2"/>
    <n v="1748"/>
    <n v="0.49333333333333335"/>
  </r>
  <r>
    <s v="ORD-01560"/>
    <d v="2024-02-27T00:00:00"/>
    <s v="CUST-0017"/>
    <x v="5"/>
    <s v="R025"/>
    <n v="6"/>
    <n v="370"/>
    <n v="7"/>
    <n v="2064.6"/>
    <s v="Completed"/>
    <s v="Delhi"/>
    <s v="Home"/>
    <s v="SMB"/>
    <n v="38"/>
    <x v="2"/>
    <n v="288"/>
    <n v="0.22162162162162163"/>
  </r>
  <r>
    <s v="ORD-01561"/>
    <d v="2024-05-27T00:00:00"/>
    <s v="CUST-0170"/>
    <x v="46"/>
    <s v="R029"/>
    <n v="10"/>
    <n v="4060"/>
    <n v="4.7"/>
    <n v="38691.800000000003"/>
    <s v="Cancelled"/>
    <s v="Mumbai"/>
    <s v="Grocery"/>
    <s v="SMB"/>
    <n v="22"/>
    <x v="2"/>
    <n v="2911"/>
    <n v="0.28300492610837441"/>
  </r>
  <r>
    <s v="ORD-01562"/>
    <d v="2024-05-14T00:00:00"/>
    <s v="CUST-0022"/>
    <x v="35"/>
    <s v="R024"/>
    <n v="1"/>
    <n v="3870"/>
    <n v="18.2"/>
    <n v="3165.66"/>
    <s v="Pending"/>
    <s v="Bengaluru"/>
    <s v="Electronics"/>
    <s v="Corporate"/>
    <n v="55"/>
    <x v="2"/>
    <n v="1559"/>
    <n v="0.59715762273901807"/>
  </r>
  <r>
    <s v="ORD-01563"/>
    <d v="2024-04-03T00:00:00"/>
    <s v="CUST-0158"/>
    <x v="49"/>
    <s v="R006"/>
    <n v="1"/>
    <n v="5330"/>
    <n v="3.9"/>
    <n v="5122.13"/>
    <s v="Refunded"/>
    <s v="Pune"/>
    <s v="Electronics"/>
    <s v="Corporate"/>
    <n v="42"/>
    <x v="0"/>
    <n v="2405"/>
    <n v="0.54878048780487809"/>
  </r>
  <r>
    <s v="ORD-01564"/>
    <d v="2024-01-21T00:00:00"/>
    <s v="CUST-0160"/>
    <x v="5"/>
    <s v="R020"/>
    <n v="8"/>
    <n v="370"/>
    <n v="1.3"/>
    <n v="2921.52"/>
    <s v="Completed"/>
    <s v="Hyderabad"/>
    <s v="Home"/>
    <s v="Retail"/>
    <n v="27"/>
    <x v="3"/>
    <n v="288"/>
    <n v="0.22162162162162163"/>
  </r>
  <r>
    <s v="ORD-01565"/>
    <d v="2024-11-26T00:00:00"/>
    <s v="CUST-0009"/>
    <x v="42"/>
    <s v="R020"/>
    <n v="7"/>
    <n v="300"/>
    <n v="7.1"/>
    <n v="1950.9"/>
    <s v="Completed"/>
    <s v="Mumbai"/>
    <s v="Electronics"/>
    <s v="Retail"/>
    <n v="61"/>
    <x v="3"/>
    <n v="128"/>
    <n v="0.57333333333333336"/>
  </r>
  <r>
    <s v="ORD-01566"/>
    <d v="2024-08-04T00:00:00"/>
    <s v="CUST-0151"/>
    <x v="22"/>
    <s v="R012"/>
    <n v="8"/>
    <n v="3350"/>
    <n v="11.2"/>
    <n v="23798.400000000001"/>
    <s v="Completed"/>
    <s v="Mumbai"/>
    <s v="Beauty"/>
    <s v="Retail"/>
    <n v="53"/>
    <x v="1"/>
    <n v="1728"/>
    <n v="0.48417910447761192"/>
  </r>
  <r>
    <s v="ORD-01567"/>
    <d v="2024-08-24T00:00:00"/>
    <s v="CUST-0105"/>
    <x v="58"/>
    <s v="R009"/>
    <n v="6"/>
    <n v="6940"/>
    <n v="0.3"/>
    <n v="41515.08"/>
    <s v="Completed"/>
    <s v="Chennai"/>
    <s v="Sports"/>
    <s v="SMB"/>
    <n v="51"/>
    <x v="1"/>
    <n v="2827"/>
    <n v="0.5926512968299712"/>
  </r>
  <r>
    <s v="ORD-01568"/>
    <d v="2024-07-10T00:00:00"/>
    <s v="CUST-0292"/>
    <x v="51"/>
    <s v="R008"/>
    <n v="10"/>
    <n v="960"/>
    <n v="9.3000000000000007"/>
    <n v="8707.2000000000007"/>
    <s v="Cancelled"/>
    <s v="Bengaluru"/>
    <s v="Beauty"/>
    <s v="Retail"/>
    <n v="32"/>
    <x v="0"/>
    <n v="675"/>
    <n v="0.296875"/>
  </r>
  <r>
    <s v="ORD-01569"/>
    <d v="2024-11-29T00:00:00"/>
    <s v="CUST-0076"/>
    <x v="28"/>
    <s v="R021"/>
    <n v="10"/>
    <n v="2760"/>
    <n v="17.2"/>
    <n v="22852.799999999999"/>
    <s v="Completed"/>
    <s v="Mumbai"/>
    <s v="Grocery"/>
    <s v="Retail"/>
    <n v="38"/>
    <x v="3"/>
    <n v="1435"/>
    <n v="0.48007246376811596"/>
  </r>
  <r>
    <s v="ORD-01570"/>
    <d v="2024-03-07T00:00:00"/>
    <s v="CUST-0152"/>
    <x v="10"/>
    <s v="R026"/>
    <n v="4"/>
    <n v="2270"/>
    <n v="26.8"/>
    <n v="6646.56"/>
    <s v="Completed"/>
    <s v="Bengaluru"/>
    <s v="Grocery"/>
    <s v="SMB"/>
    <n v="64"/>
    <x v="2"/>
    <n v="1203"/>
    <n v="0.47004405286343615"/>
  </r>
  <r>
    <s v="ORD-01571"/>
    <d v="2024-02-20T00:00:00"/>
    <s v="CUST-0146"/>
    <x v="12"/>
    <s v="R021"/>
    <n v="2"/>
    <n v="2600"/>
    <n v="27"/>
    <n v="3796"/>
    <s v="Completed"/>
    <s v="Hyderabad"/>
    <s v="Electronics"/>
    <s v="Retail"/>
    <n v="22"/>
    <x v="3"/>
    <n v="1052"/>
    <n v="0.5953846153846154"/>
  </r>
  <r>
    <s v="ORD-01572"/>
    <d v="2024-01-13T00:00:00"/>
    <s v="CUST-0127"/>
    <x v="25"/>
    <s v="R024"/>
    <n v="4"/>
    <n v="3570"/>
    <n v="12.3"/>
    <n v="12523.56"/>
    <s v="Completed"/>
    <s v="Bengaluru"/>
    <s v="Electronics"/>
    <s v="SMB"/>
    <n v="36"/>
    <x v="2"/>
    <n v="1665"/>
    <n v="0.53361344537815125"/>
  </r>
  <r>
    <s v="ORD-01573"/>
    <d v="2024-01-25T00:00:00"/>
    <s v="CUST-0173"/>
    <x v="54"/>
    <s v="R016"/>
    <n v="5"/>
    <n v="5080"/>
    <n v="1.3"/>
    <n v="25069.8"/>
    <s v="Completed"/>
    <s v="Mumbai"/>
    <s v="Home"/>
    <s v="Retail"/>
    <n v="65"/>
    <x v="1"/>
    <n v="2459"/>
    <n v="0.51594488188976373"/>
  </r>
  <r>
    <s v="ORD-01574"/>
    <d v="2024-02-18T00:00:00"/>
    <s v="CUST-0206"/>
    <x v="51"/>
    <s v="R016"/>
    <n v="5"/>
    <n v="960"/>
    <n v="25.2"/>
    <n v="3590.4"/>
    <s v="Completed"/>
    <s v="Mumbai"/>
    <s v="Beauty"/>
    <s v="Retail"/>
    <n v="40"/>
    <x v="1"/>
    <n v="675"/>
    <n v="0.296875"/>
  </r>
  <r>
    <s v="ORD-01575"/>
    <d v="2024-11-08T00:00:00"/>
    <s v="CUST-0072"/>
    <x v="2"/>
    <s v="R010"/>
    <n v="7"/>
    <n v="470"/>
    <n v="21.6"/>
    <n v="2579.36"/>
    <s v="Completed"/>
    <s v="Mumbai"/>
    <s v="Sports"/>
    <s v="Corporate"/>
    <n v="62"/>
    <x v="1"/>
    <n v="302"/>
    <n v="0.35744680851063831"/>
  </r>
  <r>
    <s v="ORD-01576"/>
    <d v="2024-11-29T00:00:00"/>
    <s v="CUST-0004"/>
    <x v="38"/>
    <s v="R027"/>
    <n v="4"/>
    <n v="1220"/>
    <n v="12.6"/>
    <n v="4265.12"/>
    <s v="Completed"/>
    <s v="Delhi"/>
    <s v="Electronics"/>
    <s v="Retail"/>
    <n v="53"/>
    <x v="2"/>
    <n v="517"/>
    <n v="0.57622950819672136"/>
  </r>
  <r>
    <s v="ORD-01577"/>
    <d v="2024-01-02T00:00:00"/>
    <s v="CUST-0249"/>
    <x v="23"/>
    <s v="R008"/>
    <n v="4"/>
    <n v="1010"/>
    <n v="11.3"/>
    <n v="3583.48"/>
    <s v="Completed"/>
    <s v="Mumbai"/>
    <s v="Sports"/>
    <s v="Retail"/>
    <n v="44"/>
    <x v="0"/>
    <n v="516"/>
    <n v="0.4891089108910891"/>
  </r>
  <r>
    <s v="ORD-01578"/>
    <d v="2024-06-11T00:00:00"/>
    <s v="CUST-0139"/>
    <x v="3"/>
    <s v="R005"/>
    <n v="4"/>
    <n v="3660"/>
    <n v="7.2"/>
    <n v="13585.92"/>
    <s v="Completed"/>
    <s v="Hyderabad"/>
    <s v="Grocery"/>
    <s v="SMB"/>
    <n v="65"/>
    <x v="0"/>
    <n v="2214"/>
    <n v="0.39508196721311473"/>
  </r>
  <r>
    <s v="ORD-01579"/>
    <d v="2024-02-23T00:00:00"/>
    <s v="CUST-0019"/>
    <x v="8"/>
    <s v="R010"/>
    <n v="4"/>
    <n v="5490"/>
    <n v="8"/>
    <n v="20203.2"/>
    <s v="Completed"/>
    <s v="Chennai"/>
    <s v="Home"/>
    <s v="Retail"/>
    <n v="22"/>
    <x v="1"/>
    <n v="2549"/>
    <n v="0.53570127504553733"/>
  </r>
  <r>
    <s v="ORD-01580"/>
    <d v="2024-12-19T00:00:00"/>
    <s v="CUST-0210"/>
    <x v="34"/>
    <s v="R003"/>
    <n v="6"/>
    <n v="2270"/>
    <n v="17.100000000000001"/>
    <n v="11290.98"/>
    <s v="Completed"/>
    <s v="Pune"/>
    <s v="Grocery"/>
    <s v="Corporate"/>
    <n v="48"/>
    <x v="0"/>
    <n v="1412"/>
    <n v="0.37797356828193834"/>
  </r>
  <r>
    <s v="ORD-01581"/>
    <d v="2024-10-23T00:00:00"/>
    <s v="CUST-0168"/>
    <x v="34"/>
    <s v="R015"/>
    <n v="8"/>
    <n v="2270"/>
    <n v="11.9"/>
    <n v="15998.96"/>
    <s v="Pending"/>
    <s v="Pune"/>
    <s v="Grocery"/>
    <s v="Retail"/>
    <n v="25"/>
    <x v="1"/>
    <n v="1412"/>
    <n v="0.37797356828193834"/>
  </r>
  <r>
    <s v="ORD-01582"/>
    <d v="2024-10-27T00:00:00"/>
    <s v="CUST-0094"/>
    <x v="12"/>
    <s v="R018"/>
    <n v="6"/>
    <n v="2600"/>
    <n v="5.0999999999999996"/>
    <n v="14804.4"/>
    <s v="Completed"/>
    <s v="Pune"/>
    <s v="Electronics"/>
    <s v="SMB"/>
    <n v="60"/>
    <x v="3"/>
    <n v="1052"/>
    <n v="0.5953846153846154"/>
  </r>
  <r>
    <s v="ORD-01583"/>
    <d v="2024-04-21T00:00:00"/>
    <s v="CUST-0259"/>
    <x v="35"/>
    <s v="R027"/>
    <n v="9"/>
    <n v="3870"/>
    <n v="1.8"/>
    <n v="34203.06"/>
    <s v="Cancelled"/>
    <s v="Mumbai"/>
    <s v="Electronics"/>
    <s v="Retail"/>
    <n v="34"/>
    <x v="2"/>
    <n v="1559"/>
    <n v="0.59715762273901807"/>
  </r>
  <r>
    <s v="ORD-01584"/>
    <d v="2024-06-16T00:00:00"/>
    <s v="CUST-0150"/>
    <x v="53"/>
    <s v="R006"/>
    <n v="3"/>
    <n v="3970"/>
    <n v="8.1999999999999993"/>
    <n v="10933.38"/>
    <s v="Completed"/>
    <s v="Pune"/>
    <s v="Electronics"/>
    <s v="SMB"/>
    <n v="53"/>
    <x v="0"/>
    <n v="2865"/>
    <n v="0.27833753148614609"/>
  </r>
  <r>
    <s v="ORD-01585"/>
    <d v="2024-05-26T00:00:00"/>
    <s v="CUST-0040"/>
    <x v="51"/>
    <s v="R028"/>
    <n v="9"/>
    <n v="960"/>
    <n v="21.7"/>
    <n v="6765.12"/>
    <s v="Cancelled"/>
    <s v="Chennai"/>
    <s v="Beauty"/>
    <s v="Retail"/>
    <n v="28"/>
    <x v="2"/>
    <n v="675"/>
    <n v="0.296875"/>
  </r>
  <r>
    <s v="ORD-01586"/>
    <d v="2024-12-06T00:00:00"/>
    <s v="CUST-0290"/>
    <x v="48"/>
    <s v="R025"/>
    <n v="3"/>
    <n v="5410"/>
    <n v="20.3"/>
    <n v="12935.31"/>
    <s v="Completed"/>
    <s v="Delhi"/>
    <s v="Sports"/>
    <s v="Retail"/>
    <n v="63"/>
    <x v="2"/>
    <n v="2265"/>
    <n v="0.58133086876155271"/>
  </r>
  <r>
    <s v="ORD-01587"/>
    <d v="2024-10-14T00:00:00"/>
    <s v="CUST-0123"/>
    <x v="55"/>
    <s v="R005"/>
    <n v="3"/>
    <n v="3450"/>
    <n v="11.6"/>
    <n v="9149.4"/>
    <s v="Completed"/>
    <s v="Chennai"/>
    <s v="Apparel"/>
    <s v="Corporate"/>
    <n v="44"/>
    <x v="0"/>
    <n v="1748"/>
    <n v="0.49333333333333335"/>
  </r>
  <r>
    <s v="ORD-01588"/>
    <d v="2024-04-10T00:00:00"/>
    <s v="CUST-0053"/>
    <x v="40"/>
    <s v="R008"/>
    <n v="2"/>
    <n v="3020"/>
    <n v="20.8"/>
    <n v="4783.68"/>
    <s v="Pending"/>
    <s v="Delhi"/>
    <s v="Beauty"/>
    <s v="Retail"/>
    <n v="53"/>
    <x v="0"/>
    <n v="1626"/>
    <n v="0.46158940397350995"/>
  </r>
  <r>
    <s v="ORD-01589"/>
    <d v="2024-09-28T00:00:00"/>
    <s v="CUST-0179"/>
    <x v="14"/>
    <s v="R002"/>
    <n v="3"/>
    <n v="190"/>
    <n v="10.7"/>
    <n v="509.01"/>
    <s v="Completed"/>
    <s v="Mumbai"/>
    <s v="Sports"/>
    <s v="SMB"/>
    <n v="54"/>
    <x v="0"/>
    <n v="147"/>
    <n v="0.22631578947368422"/>
  </r>
  <r>
    <s v="ORD-01590"/>
    <d v="2024-01-03T00:00:00"/>
    <s v="CUST-0006"/>
    <x v="30"/>
    <s v="R012"/>
    <n v="4"/>
    <n v="3730"/>
    <n v="6.9"/>
    <n v="13890.52"/>
    <s v="Completed"/>
    <s v="Pune"/>
    <s v="Home"/>
    <s v="SMB"/>
    <n v="44"/>
    <x v="1"/>
    <n v="2135"/>
    <n v="0.42761394101876676"/>
  </r>
  <r>
    <s v="ORD-01591"/>
    <d v="2024-07-30T00:00:00"/>
    <s v="CUST-0272"/>
    <x v="17"/>
    <s v="R025"/>
    <n v="9"/>
    <n v="3450"/>
    <n v="22.2"/>
    <n v="24156.9"/>
    <s v="Cancelled"/>
    <s v="Mumbai"/>
    <s v="Sports"/>
    <s v="SMB"/>
    <n v="47"/>
    <x v="2"/>
    <n v="2467"/>
    <n v="0.28492753623188405"/>
  </r>
  <r>
    <s v="ORD-01592"/>
    <d v="2024-02-14T00:00:00"/>
    <s v="CUST-0274"/>
    <x v="53"/>
    <s v="R002"/>
    <n v="3"/>
    <n v="3970"/>
    <n v="6.8"/>
    <n v="11100.12"/>
    <s v="Completed"/>
    <s v="Bengaluru"/>
    <s v="Electronics"/>
    <s v="Corporate"/>
    <n v="36"/>
    <x v="0"/>
    <n v="2865"/>
    <n v="0.27833753148614609"/>
  </r>
  <r>
    <s v="ORD-01593"/>
    <d v="2024-06-19T00:00:00"/>
    <s v="CUST-0262"/>
    <x v="57"/>
    <s v="R022"/>
    <n v="3"/>
    <n v="1090"/>
    <n v="23.7"/>
    <n v="2495.0100000000002"/>
    <s v="Completed"/>
    <s v="Mumbai"/>
    <s v="Home"/>
    <s v="Retail"/>
    <n v="52"/>
    <x v="3"/>
    <n v="464"/>
    <n v="0.57431192660550456"/>
  </r>
  <r>
    <s v="ORD-01594"/>
    <d v="2024-01-09T00:00:00"/>
    <s v="CUST-0087"/>
    <x v="44"/>
    <s v="R023"/>
    <n v="3"/>
    <n v="2030"/>
    <n v="18.8"/>
    <n v="4945.08"/>
    <s v="Completed"/>
    <s v="Pune"/>
    <s v="Home"/>
    <s v="SMB"/>
    <n v="49"/>
    <x v="3"/>
    <n v="1143"/>
    <n v="0.43694581280788175"/>
  </r>
  <r>
    <s v="ORD-01595"/>
    <d v="2024-03-16T00:00:00"/>
    <s v="CUST-0198"/>
    <x v="37"/>
    <s v="R008"/>
    <n v="2"/>
    <n v="4070"/>
    <n v="14.3"/>
    <n v="6975.98"/>
    <s v="Completed"/>
    <s v="Chennai"/>
    <s v="Grocery"/>
    <s v="Corporate"/>
    <n v="22"/>
    <x v="0"/>
    <n v="2027"/>
    <n v="0.50196560196560192"/>
  </r>
  <r>
    <s v="ORD-01596"/>
    <d v="2024-04-28T00:00:00"/>
    <s v="CUST-0065"/>
    <x v="0"/>
    <s v="R028"/>
    <n v="3"/>
    <n v="3620"/>
    <n v="13.5"/>
    <n v="9393.9"/>
    <s v="Completed"/>
    <s v="Chennai"/>
    <s v="Apparel"/>
    <s v="Corporate"/>
    <n v="49"/>
    <x v="2"/>
    <n v="2509"/>
    <n v="0.3069060773480663"/>
  </r>
  <r>
    <s v="ORD-01597"/>
    <d v="2024-11-27T00:00:00"/>
    <s v="CUST-0209"/>
    <x v="23"/>
    <s v="R001"/>
    <n v="4"/>
    <n v="1010"/>
    <n v="3.3"/>
    <n v="3906.68"/>
    <s v="Completed"/>
    <s v="Pune"/>
    <s v="Sports"/>
    <s v="Retail"/>
    <n v="31"/>
    <x v="0"/>
    <n v="516"/>
    <n v="0.4891089108910891"/>
  </r>
  <r>
    <s v="ORD-01598"/>
    <d v="2024-07-18T00:00:00"/>
    <s v="CUST-0181"/>
    <x v="9"/>
    <s v="R005"/>
    <n v="7"/>
    <n v="970"/>
    <n v="0.1"/>
    <n v="6783.21"/>
    <s v="Completed"/>
    <s v="Delhi"/>
    <s v="Grocery"/>
    <s v="SMB"/>
    <n v="38"/>
    <x v="0"/>
    <n v="434"/>
    <n v="0.5525773195876289"/>
  </r>
  <r>
    <s v="ORD-01599"/>
    <d v="2024-10-06T00:00:00"/>
    <s v="CUST-0007"/>
    <x v="2"/>
    <s v="R027"/>
    <n v="5"/>
    <n v="470"/>
    <n v="18.3"/>
    <n v="1919.95"/>
    <s v="Refunded"/>
    <s v="Bengaluru"/>
    <s v="Sports"/>
    <s v="Retail"/>
    <n v="47"/>
    <x v="2"/>
    <n v="302"/>
    <n v="0.35744680851063831"/>
  </r>
  <r>
    <s v="ORD-01600"/>
    <d v="2024-04-11T00:00:00"/>
    <s v="CUST-0050"/>
    <x v="55"/>
    <s v="R010"/>
    <n v="8"/>
    <n v="3450"/>
    <n v="5.0999999999999996"/>
    <n v="26192.400000000001"/>
    <s v="Refunded"/>
    <s v="Mumbai"/>
    <s v="Apparel"/>
    <s v="Retail"/>
    <n v="37"/>
    <x v="1"/>
    <n v="1748"/>
    <n v="0.49333333333333335"/>
  </r>
  <r>
    <s v="ORD-01601"/>
    <d v="2024-06-22T00:00:00"/>
    <s v="CUST-0155"/>
    <x v="11"/>
    <s v="R022"/>
    <n v="1"/>
    <n v="2640"/>
    <n v="5.9"/>
    <n v="2484.2399999999998"/>
    <s v="Completed"/>
    <s v="Pune"/>
    <s v="Electronics"/>
    <s v="Corporate"/>
    <n v="40"/>
    <x v="3"/>
    <n v="1149"/>
    <n v="0.56477272727272732"/>
  </r>
  <r>
    <s v="ORD-01602"/>
    <d v="2024-03-03T00:00:00"/>
    <s v="CUST-0085"/>
    <x v="25"/>
    <s v="R020"/>
    <n v="10"/>
    <n v="3570"/>
    <n v="21.5"/>
    <n v="28024.5"/>
    <s v="Completed"/>
    <s v="Chennai"/>
    <s v="Electronics"/>
    <s v="Retail"/>
    <n v="26"/>
    <x v="3"/>
    <n v="1665"/>
    <n v="0.53361344537815125"/>
  </r>
  <r>
    <s v="ORD-01603"/>
    <d v="2024-10-16T00:00:00"/>
    <s v="CUST-0285"/>
    <x v="7"/>
    <s v="R016"/>
    <n v="10"/>
    <n v="1430"/>
    <n v="11.4"/>
    <n v="12669.8"/>
    <s v="Cancelled"/>
    <s v="Hyderabad"/>
    <s v="Electronics"/>
    <s v="Retail"/>
    <n v="22"/>
    <x v="1"/>
    <n v="861"/>
    <n v="0.39790209790209791"/>
  </r>
  <r>
    <s v="ORD-01604"/>
    <d v="2024-12-17T00:00:00"/>
    <s v="CUST-0148"/>
    <x v="6"/>
    <s v="R013"/>
    <n v="7"/>
    <n v="960"/>
    <n v="22.9"/>
    <n v="5181.12"/>
    <s v="Completed"/>
    <s v="Chennai"/>
    <s v="Sports"/>
    <s v="Retail"/>
    <n v="32"/>
    <x v="1"/>
    <n v="705"/>
    <n v="0.265625"/>
  </r>
  <r>
    <s v="ORD-01605"/>
    <d v="2024-11-10T00:00:00"/>
    <s v="CUST-0252"/>
    <x v="13"/>
    <s v="R010"/>
    <n v="8"/>
    <n v="3250"/>
    <n v="1.9"/>
    <n v="25506"/>
    <s v="Completed"/>
    <s v="Bengaluru"/>
    <s v="Home"/>
    <s v="Retail"/>
    <n v="27"/>
    <x v="1"/>
    <n v="1556"/>
    <n v="0.52123076923076928"/>
  </r>
  <r>
    <s v="ORD-01606"/>
    <d v="2024-03-05T00:00:00"/>
    <s v="CUST-0141"/>
    <x v="17"/>
    <s v="R018"/>
    <n v="9"/>
    <n v="3450"/>
    <n v="18"/>
    <n v="25461"/>
    <s v="Completed"/>
    <s v="Hyderabad"/>
    <s v="Sports"/>
    <s v="Corporate"/>
    <n v="22"/>
    <x v="3"/>
    <n v="2467"/>
    <n v="0.28492753623188405"/>
  </r>
  <r>
    <s v="ORD-01607"/>
    <d v="2024-02-21T00:00:00"/>
    <s v="CUST-0101"/>
    <x v="10"/>
    <s v="R016"/>
    <n v="5"/>
    <n v="2270"/>
    <n v="11.5"/>
    <n v="10044.75"/>
    <s v="Completed"/>
    <s v="Hyderabad"/>
    <s v="Grocery"/>
    <s v="SMB"/>
    <n v="40"/>
    <x v="1"/>
    <n v="1203"/>
    <n v="0.47004405286343615"/>
  </r>
  <r>
    <s v="ORD-01608"/>
    <d v="2024-06-06T00:00:00"/>
    <s v="CUST-0223"/>
    <x v="40"/>
    <s v="R019"/>
    <n v="6"/>
    <n v="3020"/>
    <n v="12.6"/>
    <n v="15836.88"/>
    <s v="Completed"/>
    <s v="Bengaluru"/>
    <s v="Beauty"/>
    <s v="Retail"/>
    <n v="46"/>
    <x v="3"/>
    <n v="1626"/>
    <n v="0.46158940397350995"/>
  </r>
  <r>
    <s v="ORD-01609"/>
    <d v="2024-01-26T00:00:00"/>
    <s v="CUST-0197"/>
    <x v="11"/>
    <s v="R008"/>
    <n v="8"/>
    <n v="2640"/>
    <n v="14.5"/>
    <n v="18057.599999999999"/>
    <s v="Refunded"/>
    <s v="Bengaluru"/>
    <s v="Electronics"/>
    <s v="Retail"/>
    <n v="55"/>
    <x v="0"/>
    <n v="1149"/>
    <n v="0.56477272727272732"/>
  </r>
  <r>
    <s v="ORD-01610"/>
    <d v="2024-09-26T00:00:00"/>
    <s v="CUST-0260"/>
    <x v="10"/>
    <s v="R027"/>
    <n v="2"/>
    <n v="2270"/>
    <n v="27"/>
    <n v="3314.2"/>
    <s v="Completed"/>
    <s v="Bengaluru"/>
    <s v="Grocery"/>
    <s v="Retail"/>
    <n v="42"/>
    <x v="2"/>
    <n v="1203"/>
    <n v="0.47004405286343615"/>
  </r>
  <r>
    <s v="ORD-01611"/>
    <d v="2024-12-10T00:00:00"/>
    <s v="CUST-0180"/>
    <x v="28"/>
    <s v="R027"/>
    <n v="8"/>
    <n v="2760"/>
    <n v="18"/>
    <n v="18105.599999999999"/>
    <s v="Cancelled"/>
    <s v="Chennai"/>
    <s v="Grocery"/>
    <s v="Retail"/>
    <n v="36"/>
    <x v="2"/>
    <n v="1435"/>
    <n v="0.48007246376811596"/>
  </r>
  <r>
    <s v="ORD-01612"/>
    <d v="2024-04-16T00:00:00"/>
    <s v="CUST-0166"/>
    <x v="0"/>
    <s v="R023"/>
    <n v="8"/>
    <n v="3620"/>
    <n v="7.1"/>
    <n v="26903.84"/>
    <s v="Completed"/>
    <s v="Hyderabad"/>
    <s v="Apparel"/>
    <s v="Retail"/>
    <n v="31"/>
    <x v="3"/>
    <n v="2509"/>
    <n v="0.3069060773480663"/>
  </r>
  <r>
    <s v="ORD-01613"/>
    <d v="2024-07-04T00:00:00"/>
    <s v="CUST-0062"/>
    <x v="52"/>
    <s v="R021"/>
    <n v="8"/>
    <n v="2290"/>
    <n v="16.399999999999999"/>
    <n v="15315.52"/>
    <s v="Completed"/>
    <s v="Pune"/>
    <s v="Beauty"/>
    <s v="Retail"/>
    <n v="54"/>
    <x v="3"/>
    <n v="1219"/>
    <n v="0.46768558951965067"/>
  </r>
  <r>
    <s v="ORD-01614"/>
    <d v="2024-06-19T00:00:00"/>
    <s v="CUST-0130"/>
    <x v="21"/>
    <s v="R019"/>
    <n v="3"/>
    <n v="1650"/>
    <n v="1.8"/>
    <n v="4860.8999999999996"/>
    <s v="Cancelled"/>
    <s v="Bengaluru"/>
    <s v="Beauty"/>
    <s v="Corporate"/>
    <n v="41"/>
    <x v="3"/>
    <n v="1222"/>
    <n v="0.2593939393939394"/>
  </r>
  <r>
    <s v="ORD-01615"/>
    <d v="2024-12-16T00:00:00"/>
    <s v="CUST-0162"/>
    <x v="49"/>
    <s v="R018"/>
    <n v="3"/>
    <n v="5330"/>
    <n v="22.2"/>
    <n v="12440.22"/>
    <s v="Completed"/>
    <s v="Mumbai"/>
    <s v="Electronics"/>
    <s v="Corporate"/>
    <n v="35"/>
    <x v="3"/>
    <n v="2405"/>
    <n v="0.54878048780487809"/>
  </r>
  <r>
    <s v="ORD-01616"/>
    <d v="2024-08-30T00:00:00"/>
    <s v="CUST-0153"/>
    <x v="18"/>
    <s v="R022"/>
    <n v="7"/>
    <n v="1080"/>
    <n v="17.899999999999999"/>
    <n v="6206.76"/>
    <s v="Completed"/>
    <s v="Mumbai"/>
    <s v="Home"/>
    <s v="Retail"/>
    <n v="35"/>
    <x v="3"/>
    <n v="519"/>
    <n v="0.51944444444444449"/>
  </r>
  <r>
    <s v="ORD-01617"/>
    <d v="2024-06-17T00:00:00"/>
    <s v="CUST-0071"/>
    <x v="38"/>
    <s v="R022"/>
    <n v="10"/>
    <n v="1220"/>
    <n v="5.7"/>
    <n v="11504.6"/>
    <s v="Completed"/>
    <s v="Delhi"/>
    <s v="Electronics"/>
    <s v="Corporate"/>
    <n v="46"/>
    <x v="3"/>
    <n v="517"/>
    <n v="0.57622950819672136"/>
  </r>
  <r>
    <s v="ORD-01618"/>
    <d v="2024-12-22T00:00:00"/>
    <s v="CUST-0200"/>
    <x v="29"/>
    <s v="R030"/>
    <n v="10"/>
    <n v="660"/>
    <n v="7.5"/>
    <n v="6105"/>
    <s v="Completed"/>
    <s v="Hyderabad"/>
    <s v="Home"/>
    <s v="Corporate"/>
    <n v="46"/>
    <x v="2"/>
    <n v="329"/>
    <n v="0.50151515151515147"/>
  </r>
  <r>
    <s v="ORD-01619"/>
    <d v="2024-09-22T00:00:00"/>
    <s v="CUST-0266"/>
    <x v="18"/>
    <s v="R020"/>
    <n v="6"/>
    <n v="1080"/>
    <n v="28.9"/>
    <n v="4607.28"/>
    <s v="Completed"/>
    <s v="Pune"/>
    <s v="Home"/>
    <s v="Retail"/>
    <n v="65"/>
    <x v="3"/>
    <n v="519"/>
    <n v="0.51944444444444449"/>
  </r>
  <r>
    <s v="ORD-01620"/>
    <d v="2024-10-19T00:00:00"/>
    <s v="CUST-0171"/>
    <x v="34"/>
    <s v="R020"/>
    <n v="7"/>
    <n v="2270"/>
    <n v="1.4"/>
    <n v="15667.54"/>
    <s v="Completed"/>
    <s v="Chennai"/>
    <s v="Grocery"/>
    <s v="Corporate"/>
    <n v="30"/>
    <x v="3"/>
    <n v="1412"/>
    <n v="0.37797356828193834"/>
  </r>
  <r>
    <s v="ORD-01621"/>
    <d v="2024-07-02T00:00:00"/>
    <s v="CUST-0221"/>
    <x v="5"/>
    <s v="R028"/>
    <n v="3"/>
    <n v="370"/>
    <n v="9.6"/>
    <n v="1003.44"/>
    <s v="Refunded"/>
    <s v="Delhi"/>
    <s v="Home"/>
    <s v="SMB"/>
    <n v="29"/>
    <x v="2"/>
    <n v="288"/>
    <n v="0.22162162162162163"/>
  </r>
  <r>
    <s v="ORD-01622"/>
    <d v="2024-03-14T00:00:00"/>
    <s v="CUST-0038"/>
    <x v="9"/>
    <s v="R009"/>
    <n v="9"/>
    <n v="970"/>
    <n v="29.7"/>
    <n v="6137.19"/>
    <s v="Completed"/>
    <s v="Mumbai"/>
    <s v="Grocery"/>
    <s v="Retail"/>
    <n v="57"/>
    <x v="1"/>
    <n v="434"/>
    <n v="0.5525773195876289"/>
  </r>
  <r>
    <s v="ORD-00613"/>
    <d v="2024-04-23T00:00:00"/>
    <s v="CUST-0174"/>
    <x v="43"/>
    <s v="R003"/>
    <n v="1"/>
    <n v="620"/>
    <n v="10.4"/>
    <n v="555.52"/>
    <s v="Cancelled"/>
    <s v="Pune"/>
    <s v="Apparel"/>
    <s v="Retail"/>
    <n v="54"/>
    <x v="0"/>
    <n v="396"/>
    <n v="0.36129032258064514"/>
  </r>
  <r>
    <s v="ORD-01624"/>
    <d v="2024-08-29T00:00:00"/>
    <s v="CUST-0054"/>
    <x v="3"/>
    <s v="R029"/>
    <n v="5"/>
    <n v="3660"/>
    <n v="8"/>
    <n v="16836"/>
    <s v="Completed"/>
    <s v="Mumbai"/>
    <s v="Grocery"/>
    <s v="Corporate"/>
    <n v="62"/>
    <x v="2"/>
    <n v="2214"/>
    <n v="0.39508196721311473"/>
  </r>
  <r>
    <s v="ORD-01625"/>
    <d v="2024-12-02T00:00:00"/>
    <s v="CUST-0071"/>
    <x v="45"/>
    <s v="R024"/>
    <n v="7"/>
    <n v="2210"/>
    <n v="13.7"/>
    <n v="13350.61"/>
    <s v="Refunded"/>
    <s v="Delhi"/>
    <s v="Grocery"/>
    <s v="Corporate"/>
    <n v="46"/>
    <x v="2"/>
    <n v="1010"/>
    <n v="0.54298642533936647"/>
  </r>
  <r>
    <s v="ORD-01626"/>
    <d v="2024-12-05T00:00:00"/>
    <s v="CUST-0004"/>
    <x v="56"/>
    <s v="R028"/>
    <n v="1"/>
    <n v="3780"/>
    <n v="11.5"/>
    <n v="3345.3"/>
    <s v="Completed"/>
    <s v="Delhi"/>
    <s v="Sports"/>
    <s v="Retail"/>
    <n v="53"/>
    <x v="2"/>
    <n v="1860"/>
    <n v="0.50793650793650791"/>
  </r>
  <r>
    <s v="ORD-01627"/>
    <d v="2024-11-05T00:00:00"/>
    <s v="CUST-0033"/>
    <x v="12"/>
    <s v="R005"/>
    <n v="10"/>
    <n v="2600"/>
    <n v="29.4"/>
    <n v="18356"/>
    <s v="Completed"/>
    <s v="Delhi"/>
    <s v="Electronics"/>
    <s v="Retail"/>
    <n v="35"/>
    <x v="0"/>
    <n v="1052"/>
    <n v="0.5953846153846154"/>
  </r>
  <r>
    <s v="ORD-01628"/>
    <d v="2024-03-14T00:00:00"/>
    <s v="CUST-0079"/>
    <x v="31"/>
    <s v="R017"/>
    <n v="3"/>
    <n v="3780"/>
    <n v="14.4"/>
    <n v="9707.0400000000009"/>
    <s v="Completed"/>
    <s v="Mumbai"/>
    <s v="Grocery"/>
    <s v="Corporate"/>
    <n v="60"/>
    <x v="3"/>
    <n v="2436"/>
    <n v="0.35555555555555557"/>
  </r>
  <r>
    <s v="ORD-01629"/>
    <d v="2024-05-09T00:00:00"/>
    <s v="CUST-0176"/>
    <x v="11"/>
    <s v="R003"/>
    <n v="10"/>
    <n v="2640"/>
    <n v="26.8"/>
    <n v="19324.8"/>
    <s v="Pending"/>
    <s v="Bengaluru"/>
    <s v="Electronics"/>
    <s v="SMB"/>
    <n v="34"/>
    <x v="0"/>
    <n v="1149"/>
    <n v="0.56477272727272732"/>
  </r>
  <r>
    <s v="ORD-01630"/>
    <d v="2024-02-25T00:00:00"/>
    <s v="CUST-0254"/>
    <x v="57"/>
    <s v="R013"/>
    <n v="3"/>
    <n v="1090"/>
    <n v="9.1"/>
    <n v="2972.43"/>
    <s v="Completed"/>
    <s v="Bengaluru"/>
    <s v="Home"/>
    <s v="Retail"/>
    <n v="35"/>
    <x v="1"/>
    <n v="464"/>
    <n v="0.57431192660550456"/>
  </r>
  <r>
    <s v="ORD-01631"/>
    <d v="2024-10-09T00:00:00"/>
    <s v="CUST-0212"/>
    <x v="55"/>
    <s v="R024"/>
    <n v="3"/>
    <n v="3450"/>
    <n v="23"/>
    <n v="7969.5"/>
    <s v="Pending"/>
    <s v="Chennai"/>
    <s v="Apparel"/>
    <s v="SMB"/>
    <n v="46"/>
    <x v="2"/>
    <n v="1748"/>
    <n v="0.49333333333333335"/>
  </r>
  <r>
    <s v="ORD-01632"/>
    <d v="2024-03-14T00:00:00"/>
    <s v="CUST-0109"/>
    <x v="51"/>
    <s v="R015"/>
    <n v="1"/>
    <n v="960"/>
    <n v="1.1000000000000001"/>
    <n v="949.44"/>
    <s v="Completed"/>
    <s v="Pune"/>
    <s v="Beauty"/>
    <s v="Retail"/>
    <n v="42"/>
    <x v="1"/>
    <n v="675"/>
    <n v="0.296875"/>
  </r>
  <r>
    <s v="ORD-01633"/>
    <d v="2024-10-12T00:00:00"/>
    <s v="CUST-0087"/>
    <x v="3"/>
    <s v="R030"/>
    <n v="9"/>
    <n v="3660"/>
    <n v="9"/>
    <n v="29975.4"/>
    <s v="Completed"/>
    <s v="Pune"/>
    <s v="Grocery"/>
    <s v="SMB"/>
    <n v="49"/>
    <x v="2"/>
    <n v="2214"/>
    <n v="0.39508196721311473"/>
  </r>
  <r>
    <s v="ORD-01634"/>
    <d v="2024-05-08T00:00:00"/>
    <s v="CUST-0167"/>
    <x v="30"/>
    <s v="R008"/>
    <n v="3"/>
    <n v="3730"/>
    <n v="15.8"/>
    <n v="9421.98"/>
    <s v="Completed"/>
    <s v="Delhi"/>
    <s v="Home"/>
    <s v="Retail"/>
    <n v="43"/>
    <x v="0"/>
    <n v="2135"/>
    <n v="0.42761394101876676"/>
  </r>
  <r>
    <s v="ORD-01635"/>
    <d v="2024-02-25T00:00:00"/>
    <s v="CUST-0079"/>
    <x v="37"/>
    <s v="R004"/>
    <n v="6"/>
    <n v="4070"/>
    <n v="6.2"/>
    <n v="22905.96"/>
    <s v="Completed"/>
    <s v="Mumbai"/>
    <s v="Grocery"/>
    <s v="Corporate"/>
    <n v="60"/>
    <x v="0"/>
    <n v="2027"/>
    <n v="0.50196560196560192"/>
  </r>
  <r>
    <s v="ORD-01636"/>
    <d v="2024-02-07T00:00:00"/>
    <s v="CUST-0115"/>
    <x v="41"/>
    <s v="R022"/>
    <n v="1"/>
    <n v="2660"/>
    <n v="14.6"/>
    <n v="2271.64"/>
    <s v="Completed"/>
    <s v="Mumbai"/>
    <s v="Electronics"/>
    <s v="SMB"/>
    <n v="65"/>
    <x v="3"/>
    <n v="1259"/>
    <n v="0.52669172932330832"/>
  </r>
  <r>
    <s v="ORD-01637"/>
    <d v="2024-03-27T00:00:00"/>
    <s v="CUST-0184"/>
    <x v="44"/>
    <s v="R003"/>
    <n v="3"/>
    <n v="2030"/>
    <n v="13.3"/>
    <n v="5280.03"/>
    <s v="Cancelled"/>
    <s v="Pune"/>
    <s v="Home"/>
    <s v="Retail"/>
    <n v="63"/>
    <x v="0"/>
    <n v="1143"/>
    <n v="0.43694581280788175"/>
  </r>
  <r>
    <s v="ORD-01638"/>
    <d v="2024-04-11T00:00:00"/>
    <s v="CUST-0084"/>
    <x v="3"/>
    <s v="R001"/>
    <n v="4"/>
    <n v="3660"/>
    <n v="2.2000000000000002"/>
    <n v="14317.92"/>
    <s v="Completed"/>
    <s v="Chennai"/>
    <s v="Grocery"/>
    <s v="Retail"/>
    <n v="28"/>
    <x v="0"/>
    <n v="2214"/>
    <n v="0.39508196721311473"/>
  </r>
  <r>
    <s v="ORD-01639"/>
    <d v="2024-03-13T00:00:00"/>
    <s v="CUST-0186"/>
    <x v="41"/>
    <s v="R006"/>
    <n v="2"/>
    <n v="2660"/>
    <n v="7.2"/>
    <n v="4936.96"/>
    <s v="Cancelled"/>
    <s v="Bengaluru"/>
    <s v="Electronics"/>
    <s v="Retail"/>
    <n v="42"/>
    <x v="0"/>
    <n v="1259"/>
    <n v="0.52669172932330832"/>
  </r>
  <r>
    <s v="ORD-01640"/>
    <d v="2024-11-28T00:00:00"/>
    <s v="CUST-0077"/>
    <x v="24"/>
    <s v="R013"/>
    <n v="2"/>
    <n v="4880"/>
    <n v="23.8"/>
    <n v="7437.12"/>
    <s v="Completed"/>
    <s v="Hyderabad"/>
    <s v="Beauty"/>
    <s v="SMB"/>
    <n v="48"/>
    <x v="1"/>
    <n v="2768"/>
    <n v="0.43278688524590164"/>
  </r>
  <r>
    <s v="ORD-01641"/>
    <d v="2024-04-29T00:00:00"/>
    <s v="CUST-0093"/>
    <x v="55"/>
    <s v="R011"/>
    <n v="1"/>
    <n v="3450"/>
    <n v="1.7"/>
    <n v="3391.35"/>
    <s v="Completed"/>
    <s v="Pune"/>
    <s v="Apparel"/>
    <s v="Retail"/>
    <n v="36"/>
    <x v="1"/>
    <n v="1748"/>
    <n v="0.49333333333333335"/>
  </r>
  <r>
    <s v="ORD-01642"/>
    <d v="2024-09-15T00:00:00"/>
    <s v="CUST-0018"/>
    <x v="40"/>
    <s v="R023"/>
    <n v="4"/>
    <n v="3020"/>
    <n v="17.8"/>
    <n v="9929.76"/>
    <s v="Completed"/>
    <s v="Pune"/>
    <s v="Beauty"/>
    <s v="SMB"/>
    <n v="54"/>
    <x v="3"/>
    <n v="1626"/>
    <n v="0.46158940397350995"/>
  </r>
  <r>
    <s v="ORD-01643"/>
    <d v="2024-08-08T00:00:00"/>
    <s v="CUST-0034"/>
    <x v="58"/>
    <s v="R021"/>
    <n v="6"/>
    <n v="6940"/>
    <n v="8.9"/>
    <n v="37934.04"/>
    <s v="Completed"/>
    <s v="Delhi"/>
    <s v="Sports"/>
    <s v="Retail"/>
    <n v="47"/>
    <x v="3"/>
    <n v="2827"/>
    <n v="0.5926512968299712"/>
  </r>
  <r>
    <s v="ORD-01644"/>
    <d v="2024-08-19T00:00:00"/>
    <s v="CUST-0111"/>
    <x v="28"/>
    <s v="R023"/>
    <n v="10"/>
    <n v="2760"/>
    <n v="8.9"/>
    <n v="25143.599999999999"/>
    <s v="Completed"/>
    <s v="Chennai"/>
    <s v="Grocery"/>
    <s v="SMB"/>
    <n v="64"/>
    <x v="3"/>
    <n v="1435"/>
    <n v="0.48007246376811596"/>
  </r>
  <r>
    <s v="ORD-01645"/>
    <d v="2024-01-19T00:00:00"/>
    <s v="CUST-0210"/>
    <x v="51"/>
    <s v="R020"/>
    <n v="8"/>
    <n v="960"/>
    <n v="20.9"/>
    <n v="6074.88"/>
    <s v="Completed"/>
    <s v="Pune"/>
    <s v="Beauty"/>
    <s v="Corporate"/>
    <n v="48"/>
    <x v="3"/>
    <n v="675"/>
    <n v="0.296875"/>
  </r>
  <r>
    <s v="ORD-01646"/>
    <d v="2024-07-25T00:00:00"/>
    <s v="CUST-0037"/>
    <x v="51"/>
    <s v="R012"/>
    <n v="4"/>
    <n v="960"/>
    <n v="29.1"/>
    <n v="2722.56"/>
    <s v="Completed"/>
    <s v="Bengaluru"/>
    <s v="Beauty"/>
    <s v="Retail"/>
    <n v="52"/>
    <x v="1"/>
    <n v="675"/>
    <n v="0.296875"/>
  </r>
  <r>
    <s v="ORD-01647"/>
    <d v="2024-04-28T00:00:00"/>
    <s v="CUST-0192"/>
    <x v="9"/>
    <s v="R021"/>
    <n v="1"/>
    <n v="970"/>
    <n v="8.4"/>
    <n v="888.52"/>
    <s v="Cancelled"/>
    <s v="Bengaluru"/>
    <s v="Grocery"/>
    <s v="Retail"/>
    <n v="55"/>
    <x v="3"/>
    <n v="434"/>
    <n v="0.5525773195876289"/>
  </r>
  <r>
    <s v="ORD-01648"/>
    <d v="2024-04-18T00:00:00"/>
    <s v="CUST-0038"/>
    <x v="33"/>
    <s v="R023"/>
    <n v="5"/>
    <n v="6080"/>
    <n v="17.600000000000001"/>
    <n v="25049.599999999999"/>
    <s v="Completed"/>
    <s v="Mumbai"/>
    <s v="Beauty"/>
    <s v="Retail"/>
    <n v="57"/>
    <x v="3"/>
    <n v="2617"/>
    <n v="0.56957236842105263"/>
  </r>
  <r>
    <s v="ORD-01649"/>
    <d v="2024-08-21T00:00:00"/>
    <s v="CUST-0034"/>
    <x v="3"/>
    <s v="R013"/>
    <n v="4"/>
    <n v="3660"/>
    <n v="21.8"/>
    <n v="11448.48"/>
    <s v="Pending"/>
    <s v="Delhi"/>
    <s v="Grocery"/>
    <s v="Retail"/>
    <n v="47"/>
    <x v="1"/>
    <n v="2214"/>
    <n v="0.39508196721311473"/>
  </r>
  <r>
    <s v="ORD-01650"/>
    <d v="2024-06-19T00:00:00"/>
    <s v="CUST-0248"/>
    <x v="30"/>
    <s v="R008"/>
    <n v="6"/>
    <n v="3730"/>
    <n v="13.3"/>
    <n v="19403.46"/>
    <s v="Cancelled"/>
    <s v="Chennai"/>
    <s v="Home"/>
    <s v="SMB"/>
    <n v="57"/>
    <x v="0"/>
    <n v="2135"/>
    <n v="0.42761394101876676"/>
  </r>
  <r>
    <s v="ORD-01651"/>
    <d v="2024-11-29T00:00:00"/>
    <s v="CUST-0194"/>
    <x v="35"/>
    <s v="R029"/>
    <n v="8"/>
    <n v="3870"/>
    <n v="21.2"/>
    <n v="24396.48"/>
    <s v="Pending"/>
    <s v="Delhi"/>
    <s v="Electronics"/>
    <s v="SMB"/>
    <n v="55"/>
    <x v="2"/>
    <n v="1559"/>
    <n v="0.59715762273901807"/>
  </r>
  <r>
    <s v="ORD-01652"/>
    <d v="2024-04-08T00:00:00"/>
    <s v="CUST-0114"/>
    <x v="28"/>
    <s v="R016"/>
    <n v="4"/>
    <n v="2760"/>
    <n v="14"/>
    <n v="9494.4"/>
    <s v="Completed"/>
    <s v="Bengaluru"/>
    <s v="Grocery"/>
    <s v="Corporate"/>
    <n v="42"/>
    <x v="1"/>
    <n v="1435"/>
    <n v="0.48007246376811596"/>
  </r>
  <r>
    <s v="ORD-01653"/>
    <d v="2024-11-01T00:00:00"/>
    <s v="CUST-0118"/>
    <x v="50"/>
    <s v="R020"/>
    <n v="5"/>
    <n v="2380"/>
    <n v="16.399999999999999"/>
    <n v="9948.4"/>
    <s v="Completed"/>
    <s v="Hyderabad"/>
    <s v="Grocery"/>
    <s v="Retail"/>
    <n v="26"/>
    <x v="3"/>
    <n v="1182"/>
    <n v="0.50336134453781511"/>
  </r>
  <r>
    <s v="ORD-01654"/>
    <d v="2024-01-16T00:00:00"/>
    <s v="CUST-9719"/>
    <x v="33"/>
    <s v="R015"/>
    <n v="2"/>
    <n v="6080"/>
    <n v="20.100000000000001"/>
    <n v="9715.84"/>
    <s v="Cancelled"/>
    <s v="Mumbai"/>
    <s v="Beauty"/>
    <s v=""/>
    <s v=""/>
    <x v="1"/>
    <n v="2617"/>
    <n v="0.56957236842105263"/>
  </r>
  <r>
    <s v="ORD-01655"/>
    <d v="2024-10-03T00:00:00"/>
    <s v="CUST-0232"/>
    <x v="43"/>
    <s v="R016"/>
    <n v="2"/>
    <n v="620"/>
    <n v="4.3"/>
    <n v="1186.68"/>
    <s v="Completed"/>
    <s v="Hyderabad"/>
    <s v="Apparel"/>
    <s v="Retail"/>
    <n v="38"/>
    <x v="1"/>
    <n v="396"/>
    <n v="0.36129032258064514"/>
  </r>
  <r>
    <s v="ORD-01656"/>
    <d v="2024-12-28T00:00:00"/>
    <s v="CUST-0240"/>
    <x v="35"/>
    <s v="R012"/>
    <n v="7"/>
    <n v="3870"/>
    <n v="5.9"/>
    <n v="25491.69"/>
    <s v="Completed"/>
    <s v="Chennai"/>
    <s v="Electronics"/>
    <s v="Corporate"/>
    <n v="35"/>
    <x v="1"/>
    <n v="1559"/>
    <n v="0.59715762273901807"/>
  </r>
  <r>
    <s v="ORD-01657"/>
    <d v="2024-04-30T00:00:00"/>
    <s v="CUST-0227"/>
    <x v="25"/>
    <s v="R020"/>
    <n v="8"/>
    <n v="3570"/>
    <n v="24.6"/>
    <n v="21534.240000000002"/>
    <s v="Completed"/>
    <s v="Bengaluru"/>
    <s v="Electronics"/>
    <s v="SMB"/>
    <n v="44"/>
    <x v="3"/>
    <n v="1665"/>
    <n v="0.53361344537815125"/>
  </r>
  <r>
    <s v="ORD-01658"/>
    <d v="2024-12-27T00:00:00"/>
    <s v="CUST-0234"/>
    <x v="37"/>
    <s v="R010"/>
    <n v="1"/>
    <n v="4070"/>
    <n v="29.1"/>
    <n v="2885.63"/>
    <s v="Pending"/>
    <s v="Bengaluru"/>
    <s v="Grocery"/>
    <s v="Retail"/>
    <n v="34"/>
    <x v="1"/>
    <n v="2027"/>
    <n v="0.50196560196560192"/>
  </r>
  <r>
    <s v="ORD-01659"/>
    <d v="2024-10-03T00:00:00"/>
    <s v="CUST-0041"/>
    <x v="1"/>
    <s v="R017"/>
    <n v="1"/>
    <n v="820"/>
    <n v="17.899999999999999"/>
    <n v="673.22"/>
    <s v="Completed"/>
    <s v="Bengaluru"/>
    <s v="Apparel"/>
    <s v="SMB"/>
    <n v="26"/>
    <x v="3"/>
    <n v="391"/>
    <n v="0.52317073170731709"/>
  </r>
  <r>
    <s v="ORD-01660"/>
    <d v="2024-12-17T00:00:00"/>
    <s v="CUST-0129"/>
    <x v="40"/>
    <s v="R029"/>
    <n v="5"/>
    <n v="3020"/>
    <n v="26.2"/>
    <n v="11143.8"/>
    <s v="Completed"/>
    <s v="Hyderabad"/>
    <s v="Beauty"/>
    <s v="Retail"/>
    <n v="29"/>
    <x v="2"/>
    <n v="1626"/>
    <n v="0.46158940397350995"/>
  </r>
  <r>
    <s v="ORD-01661"/>
    <d v="2024-04-29T00:00:00"/>
    <s v="CUST-0141"/>
    <x v="59"/>
    <s v="R022"/>
    <n v="10"/>
    <n v="3560"/>
    <n v="15.4"/>
    <n v="30117.599999999999"/>
    <s v="Refunded"/>
    <s v="Hyderabad"/>
    <s v="Apparel"/>
    <s v="Corporate"/>
    <n v="22"/>
    <x v="3"/>
    <n v="2629"/>
    <n v="0.26151685393258428"/>
  </r>
  <r>
    <s v="ORD-01662"/>
    <d v="2024-06-24T00:00:00"/>
    <s v="CUST-0282"/>
    <x v="22"/>
    <s v="R001"/>
    <n v="3"/>
    <n v="3350"/>
    <n v="8.1"/>
    <n v="9235.9500000000007"/>
    <s v="Completed"/>
    <s v="Hyderabad"/>
    <s v="Beauty"/>
    <s v="Corporate"/>
    <n v="29"/>
    <x v="0"/>
    <n v="1728"/>
    <n v="0.48417910447761192"/>
  </r>
  <r>
    <s v="ORD-01663"/>
    <d v="2024-09-07T00:00:00"/>
    <s v="CUST-0269"/>
    <x v="52"/>
    <s v="R025"/>
    <n v="10"/>
    <n v="2290"/>
    <n v="7"/>
    <n v="21297"/>
    <s v="Completed"/>
    <s v="Pune"/>
    <s v="Beauty"/>
    <s v="Retail"/>
    <n v="48"/>
    <x v="2"/>
    <n v="1219"/>
    <n v="0.46768558951965067"/>
  </r>
  <r>
    <s v="ORD-01664"/>
    <d v="2024-07-10T00:00:00"/>
    <s v="CUST-0239"/>
    <x v="3"/>
    <s v="R003"/>
    <n v="6"/>
    <n v="3660"/>
    <n v="29.9"/>
    <n v="15393.96"/>
    <s v="Completed"/>
    <s v="Mumbai"/>
    <s v="Grocery"/>
    <s v="Retail"/>
    <n v="61"/>
    <x v="0"/>
    <n v="2214"/>
    <n v="0.39508196721311473"/>
  </r>
  <r>
    <s v="ORD-01665"/>
    <d v="2024-05-14T00:00:00"/>
    <s v="CUST-0075"/>
    <x v="11"/>
    <s v="R013"/>
    <n v="8"/>
    <n v="2640"/>
    <n v="4.2"/>
    <n v="20232.96"/>
    <s v="Refunded"/>
    <s v="Mumbai"/>
    <s v="Electronics"/>
    <s v="Corporate"/>
    <n v="55"/>
    <x v="1"/>
    <n v="1149"/>
    <n v="0.56477272727272732"/>
  </r>
  <r>
    <s v="ORD-01666"/>
    <d v="2024-04-04T00:00:00"/>
    <s v="CUST-0184"/>
    <x v="5"/>
    <s v="R006"/>
    <n v="5"/>
    <n v="370"/>
    <n v="6"/>
    <n v="1739"/>
    <s v="Completed"/>
    <s v="Pune"/>
    <s v="Home"/>
    <s v="Retail"/>
    <n v="63"/>
    <x v="0"/>
    <n v="288"/>
    <n v="0.22162162162162163"/>
  </r>
  <r>
    <s v="ORD-01667"/>
    <d v="2024-03-26T00:00:00"/>
    <s v="CUST-0144"/>
    <x v="10"/>
    <s v="R007"/>
    <n v="9"/>
    <n v="2270"/>
    <n v="4.7"/>
    <n v="19469.79"/>
    <s v="Completed"/>
    <s v="Chennai"/>
    <s v="Grocery"/>
    <s v="Retail"/>
    <n v="49"/>
    <x v="0"/>
    <n v="1203"/>
    <n v="0.47004405286343615"/>
  </r>
  <r>
    <s v="ORD-01668"/>
    <d v="2024-05-02T00:00:00"/>
    <s v="CUST-0039"/>
    <x v="29"/>
    <s v="R011"/>
    <n v="5"/>
    <n v="660"/>
    <n v="21"/>
    <n v="2607"/>
    <s v="Completed"/>
    <s v="Bengaluru"/>
    <s v="Home"/>
    <s v="Retail"/>
    <n v="37"/>
    <x v="1"/>
    <n v="329"/>
    <n v="0.50151515151515147"/>
  </r>
  <r>
    <s v="ORD-01669"/>
    <d v="2024-04-25T00:00:00"/>
    <s v="CUST-9765"/>
    <x v="6"/>
    <s v="R003"/>
    <n v="2"/>
    <n v="960"/>
    <n v="7.3"/>
    <n v="1779.84"/>
    <s v="Completed"/>
    <s v="Bengaluru"/>
    <s v="Sports"/>
    <s v=""/>
    <s v=""/>
    <x v="0"/>
    <n v="705"/>
    <n v="0.265625"/>
  </r>
  <r>
    <s v="ORD-01670"/>
    <d v="2024-08-05T00:00:00"/>
    <s v="CUST-0159"/>
    <x v="26"/>
    <s v="R009"/>
    <n v="3"/>
    <n v="5100"/>
    <n v="21"/>
    <n v="12087"/>
    <s v="Completed"/>
    <s v="Hyderabad"/>
    <s v="Beauty"/>
    <s v="Retail"/>
    <n v="32"/>
    <x v="1"/>
    <n v="2237"/>
    <n v="0.56137254901960787"/>
  </r>
  <r>
    <s v="ORD-01671"/>
    <d v="2024-10-01T00:00:00"/>
    <s v="CUST-0168"/>
    <x v="4"/>
    <s v="R004"/>
    <n v="3"/>
    <n v="3160"/>
    <n v="13.5"/>
    <n v="8200.2000000000007"/>
    <s v="Completed"/>
    <s v="Pune"/>
    <s v="Apparel"/>
    <s v="Retail"/>
    <n v="25"/>
    <x v="0"/>
    <n v="1886"/>
    <n v="0.4031645569620253"/>
  </r>
  <r>
    <s v="ORD-01672"/>
    <d v="2024-08-20T00:00:00"/>
    <s v="CUST-9552"/>
    <x v="36"/>
    <s v="R005"/>
    <n v="9"/>
    <n v="1540"/>
    <n v="18.2"/>
    <n v="11337.48"/>
    <s v="Cancelled"/>
    <s v="Bengaluru"/>
    <s v="Beauty"/>
    <s v=""/>
    <s v=""/>
    <x v="0"/>
    <n v="647"/>
    <n v="0.57987012987012987"/>
  </r>
  <r>
    <s v="ORD-01673"/>
    <d v="2024-05-19T00:00:00"/>
    <s v="CUST-0056"/>
    <x v="16"/>
    <s v="R024"/>
    <n v="4"/>
    <n v="3450"/>
    <n v="26.4"/>
    <n v="10156.799999999999"/>
    <s v="Pending"/>
    <s v="Bengaluru"/>
    <s v="Beauty"/>
    <s v="SMB"/>
    <n v="46"/>
    <x v="2"/>
    <n v="2420"/>
    <n v="0.29855072463768118"/>
  </r>
  <r>
    <s v="ORD-01674"/>
    <d v="2024-11-02T00:00:00"/>
    <s v="CUST-0239"/>
    <x v="50"/>
    <s v="R026"/>
    <n v="4"/>
    <n v="2380"/>
    <n v="6.9"/>
    <n v="8863.1200000000008"/>
    <s v="Completed"/>
    <s v="Mumbai"/>
    <s v="Grocery"/>
    <s v="Retail"/>
    <n v="61"/>
    <x v="2"/>
    <n v="1182"/>
    <n v="0.50336134453781511"/>
  </r>
  <r>
    <s v="ORD-01675"/>
    <d v="2024-05-07T00:00:00"/>
    <s v="CUST-0168"/>
    <x v="30"/>
    <s v="R003"/>
    <n v="2"/>
    <n v="3730"/>
    <n v="22.9"/>
    <n v="5751.66"/>
    <s v="Completed"/>
    <s v="Pune"/>
    <s v="Home"/>
    <s v="Retail"/>
    <n v="25"/>
    <x v="0"/>
    <n v="2135"/>
    <n v="0.42761394101876676"/>
  </r>
  <r>
    <s v="ORD-01676"/>
    <d v="2024-09-14T00:00:00"/>
    <s v="CUST-0012"/>
    <x v="13"/>
    <s v="R002"/>
    <n v="7"/>
    <n v="3250"/>
    <n v="6"/>
    <n v="21385"/>
    <s v="Completed"/>
    <s v="Pune"/>
    <s v="Home"/>
    <s v="Retail"/>
    <n v="43"/>
    <x v="0"/>
    <n v="1556"/>
    <n v="0.52123076923076928"/>
  </r>
  <r>
    <s v="ORD-01677"/>
    <d v="2024-08-15T00:00:00"/>
    <s v="CUST-0057"/>
    <x v="2"/>
    <s v="R020"/>
    <n v="9"/>
    <n v="470"/>
    <n v="11.6"/>
    <n v="3739.32"/>
    <s v="Completed"/>
    <s v="Pune"/>
    <s v="Sports"/>
    <s v="Retail"/>
    <n v="35"/>
    <x v="3"/>
    <n v="302"/>
    <n v="0.35744680851063831"/>
  </r>
  <r>
    <s v="ORD-01678"/>
    <d v="2024-10-09T00:00:00"/>
    <s v="CUST-0030"/>
    <x v="52"/>
    <s v="R026"/>
    <n v="5"/>
    <n v="2290"/>
    <n v="27.6"/>
    <n v="8289.7999999999993"/>
    <s v="Completed"/>
    <s v="Bengaluru"/>
    <s v="Beauty"/>
    <s v="Corporate"/>
    <n v="43"/>
    <x v="2"/>
    <n v="1219"/>
    <n v="0.46768558951965067"/>
  </r>
  <r>
    <s v="ORD-01679"/>
    <d v="2024-06-19T00:00:00"/>
    <s v="CUST-0166"/>
    <x v="7"/>
    <s v="R029"/>
    <n v="6"/>
    <n v="1430"/>
    <n v="18.399999999999999"/>
    <n v="7001.28"/>
    <s v="Pending"/>
    <s v="Hyderabad"/>
    <s v="Electronics"/>
    <s v="Retail"/>
    <n v="31"/>
    <x v="2"/>
    <n v="861"/>
    <n v="0.39790209790209791"/>
  </r>
  <r>
    <s v="ORD-01680"/>
    <d v="2024-02-14T00:00:00"/>
    <s v="CUST-0188"/>
    <x v="27"/>
    <s v="R002"/>
    <n v="7"/>
    <n v="2860"/>
    <n v="19.5"/>
    <n v="16116.1"/>
    <s v="Completed"/>
    <s v="Bengaluru"/>
    <s v="Sports"/>
    <s v="Retail"/>
    <n v="54"/>
    <x v="0"/>
    <n v="2028"/>
    <n v="0.29090909090909089"/>
  </r>
  <r>
    <s v="ORD-01681"/>
    <d v="2024-05-27T00:00:00"/>
    <s v="CUST-0097"/>
    <x v="16"/>
    <s v="R020"/>
    <n v="8"/>
    <n v="3450"/>
    <n v="25.5"/>
    <n v="20562"/>
    <s v="Pending"/>
    <s v="Mumbai"/>
    <s v="Beauty"/>
    <s v="Retail"/>
    <n v="65"/>
    <x v="3"/>
    <n v="2420"/>
    <n v="0.29855072463768118"/>
  </r>
  <r>
    <s v="ORD-01682"/>
    <d v="2024-10-13T00:00:00"/>
    <s v="CUST-0026"/>
    <x v="48"/>
    <s v="R019"/>
    <n v="7"/>
    <n v="5410"/>
    <n v="15.2"/>
    <n v="32113.759999999998"/>
    <s v="Cancelled"/>
    <s v="Pune"/>
    <s v="Sports"/>
    <s v="Retail"/>
    <n v="62"/>
    <x v="3"/>
    <n v="2265"/>
    <n v="0.58133086876155271"/>
  </r>
  <r>
    <s v="ORD-01683"/>
    <d v="2024-10-23T00:00:00"/>
    <s v="CUST-0026"/>
    <x v="18"/>
    <s v="R025"/>
    <n v="3"/>
    <n v="1080"/>
    <n v="26"/>
    <n v="2397.6"/>
    <s v="Completed"/>
    <s v="Pune"/>
    <s v="Home"/>
    <s v="Retail"/>
    <n v="62"/>
    <x v="2"/>
    <n v="519"/>
    <n v="0.51944444444444449"/>
  </r>
  <r>
    <s v="ORD-01684"/>
    <d v="2024-03-03T00:00:00"/>
    <s v="CUST-0020"/>
    <x v="27"/>
    <s v="R019"/>
    <n v="8"/>
    <n v="2860"/>
    <n v="14.8"/>
    <n v="19493.759999999998"/>
    <s v="Completed"/>
    <s v="Hyderabad"/>
    <s v="Sports"/>
    <s v="Retail"/>
    <n v="46"/>
    <x v="3"/>
    <n v="2028"/>
    <n v="0.29090909090909089"/>
  </r>
  <r>
    <s v="ORD-01685"/>
    <d v="2024-02-10T00:00:00"/>
    <s v="CUST-9740"/>
    <x v="40"/>
    <s v="R013"/>
    <n v="4"/>
    <n v="3020"/>
    <n v="8.1"/>
    <n v="11101.52"/>
    <s v="Completed"/>
    <s v="Hyderabad"/>
    <s v="Beauty"/>
    <s v=""/>
    <s v=""/>
    <x v="1"/>
    <n v="1626"/>
    <n v="0.46158940397350995"/>
  </r>
  <r>
    <s v="ORD-01686"/>
    <d v="2024-12-23T00:00:00"/>
    <s v="CUST-0095"/>
    <x v="6"/>
    <s v="R025"/>
    <n v="4"/>
    <n v="960"/>
    <n v="6.4"/>
    <n v="3594.24"/>
    <s v="Cancelled"/>
    <s v="Mumbai"/>
    <s v="Sports"/>
    <s v="SMB"/>
    <n v="54"/>
    <x v="2"/>
    <n v="705"/>
    <n v="0.265625"/>
  </r>
  <r>
    <s v="ORD-01687"/>
    <d v="2024-10-31T00:00:00"/>
    <s v="CUST-0079"/>
    <x v="35"/>
    <s v="R029"/>
    <n v="4"/>
    <n v="3870"/>
    <n v="15.9"/>
    <n v="13018.68"/>
    <s v="Completed"/>
    <s v="Mumbai"/>
    <s v="Electronics"/>
    <s v="Corporate"/>
    <n v="60"/>
    <x v="2"/>
    <n v="1559"/>
    <n v="0.59715762273901807"/>
  </r>
  <r>
    <s v="ORD-01688"/>
    <d v="2024-03-27T00:00:00"/>
    <s v="CUST-0060"/>
    <x v="4"/>
    <s v="R020"/>
    <n v="5"/>
    <n v="3160"/>
    <n v="29.8"/>
    <n v="11091.6"/>
    <s v="Completed"/>
    <s v="Pune"/>
    <s v="Apparel"/>
    <s v="Retail"/>
    <n v="39"/>
    <x v="3"/>
    <n v="1886"/>
    <n v="0.4031645569620253"/>
  </r>
  <r>
    <s v="ORD-01689"/>
    <d v="2024-04-21T00:00:00"/>
    <s v="CUST-0080"/>
    <x v="16"/>
    <s v="R027"/>
    <n v="5"/>
    <n v="3450"/>
    <n v="29.4"/>
    <n v="12178.5"/>
    <s v="Completed"/>
    <s v="Pune"/>
    <s v="Beauty"/>
    <s v="SMB"/>
    <n v="30"/>
    <x v="2"/>
    <n v="2420"/>
    <n v="0.29855072463768118"/>
  </r>
  <r>
    <s v="ORD-01690"/>
    <d v="2024-08-31T00:00:00"/>
    <s v="CUST-0136"/>
    <x v="51"/>
    <s v="R018"/>
    <n v="10"/>
    <n v="960"/>
    <n v="27"/>
    <n v="7008"/>
    <s v="Cancelled"/>
    <s v="Chennai"/>
    <s v="Beauty"/>
    <s v="SMB"/>
    <n v="26"/>
    <x v="3"/>
    <n v="675"/>
    <n v="0.296875"/>
  </r>
  <r>
    <s v="ORD-01691"/>
    <d v="2024-05-17T00:00:00"/>
    <s v="CUST-0074"/>
    <x v="58"/>
    <s v="R018"/>
    <n v="10"/>
    <n v="6940"/>
    <n v="20.100000000000001"/>
    <n v="55450.6"/>
    <s v="Completed"/>
    <s v="Bengaluru"/>
    <s v="Sports"/>
    <s v="Retail"/>
    <n v="27"/>
    <x v="3"/>
    <n v="2827"/>
    <n v="0.5926512968299712"/>
  </r>
  <r>
    <s v="ORD-01692"/>
    <d v="2024-05-24T00:00:00"/>
    <s v="CUST-0090"/>
    <x v="15"/>
    <s v="R009"/>
    <n v="9"/>
    <n v="2400"/>
    <n v="7.8"/>
    <n v="19915.2"/>
    <s v="Completed"/>
    <s v="Bengaluru"/>
    <s v="Sports"/>
    <s v="Corporate"/>
    <n v="26"/>
    <x v="1"/>
    <n v="974"/>
    <n v="0.59416666666666662"/>
  </r>
  <r>
    <s v="ORD-01693"/>
    <d v="2024-04-15T00:00:00"/>
    <s v="CUST-0300"/>
    <x v="48"/>
    <s v="R017"/>
    <n v="1"/>
    <n v="5410"/>
    <n v="22.8"/>
    <n v="4176.5200000000004"/>
    <s v="Completed"/>
    <s v="Mumbai"/>
    <s v="Sports"/>
    <s v="Retail"/>
    <n v="38"/>
    <x v="3"/>
    <n v="2265"/>
    <n v="0.58133086876155271"/>
  </r>
  <r>
    <s v="ORD-01694"/>
    <d v="2024-12-03T00:00:00"/>
    <s v="CUST-0188"/>
    <x v="38"/>
    <s v="R004"/>
    <n v="7"/>
    <n v="1220"/>
    <n v="18.8"/>
    <n v="6934.48"/>
    <s v="Pending"/>
    <s v="Bengaluru"/>
    <s v="Electronics"/>
    <s v="Retail"/>
    <n v="54"/>
    <x v="0"/>
    <n v="517"/>
    <n v="0.57622950819672136"/>
  </r>
  <r>
    <s v="ORD-01695"/>
    <d v="2024-10-30T00:00:00"/>
    <s v="CUST-0250"/>
    <x v="57"/>
    <s v="R019"/>
    <n v="1"/>
    <n v="1090"/>
    <n v="23.5"/>
    <n v="833.85"/>
    <s v="Completed"/>
    <s v="Delhi"/>
    <s v="Home"/>
    <s v="Retail"/>
    <n v="31"/>
    <x v="3"/>
    <n v="464"/>
    <n v="0.57431192660550456"/>
  </r>
  <r>
    <s v="ORD-01696"/>
    <d v="2024-08-27T00:00:00"/>
    <s v="CUST-0195"/>
    <x v="28"/>
    <s v="R023"/>
    <n v="2"/>
    <n v="2760"/>
    <n v="2.2999999999999998"/>
    <n v="5393.04"/>
    <s v="Completed"/>
    <s v="Bengaluru"/>
    <s v="Grocery"/>
    <s v="Retail"/>
    <n v="28"/>
    <x v="3"/>
    <n v="1435"/>
    <n v="0.48007246376811596"/>
  </r>
  <r>
    <s v="ORD-01697"/>
    <d v="2024-11-30T00:00:00"/>
    <s v="CUST-0185"/>
    <x v="25"/>
    <s v="R026"/>
    <n v="3"/>
    <n v="3570"/>
    <n v="18.399999999999999"/>
    <n v="8739.36"/>
    <s v="Refunded"/>
    <s v="Hyderabad"/>
    <s v="Electronics"/>
    <s v="SMB"/>
    <n v="43"/>
    <x v="2"/>
    <n v="1665"/>
    <n v="0.53361344537815125"/>
  </r>
  <r>
    <s v="ORD-01698"/>
    <d v="2024-07-29T00:00:00"/>
    <s v="CUST-0256"/>
    <x v="38"/>
    <s v="R004"/>
    <n v="7"/>
    <n v="1220"/>
    <n v="25.8"/>
    <n v="6336.68"/>
    <s v="Refunded"/>
    <s v="Hyderabad"/>
    <s v="Electronics"/>
    <s v="Retail"/>
    <n v="28"/>
    <x v="0"/>
    <n v="517"/>
    <n v="0.57622950819672136"/>
  </r>
  <r>
    <s v="ORD-01699"/>
    <d v="2024-07-28T00:00:00"/>
    <s v="CUST-0060"/>
    <x v="17"/>
    <s v="R029"/>
    <n v="6"/>
    <n v="3450"/>
    <n v="13.1"/>
    <n v="17988.3"/>
    <s v="Completed"/>
    <s v="Pune"/>
    <s v="Sports"/>
    <s v="Retail"/>
    <n v="39"/>
    <x v="2"/>
    <n v="2467"/>
    <n v="0.28492753623188405"/>
  </r>
  <r>
    <s v="ORD-01700"/>
    <d v="2024-05-23T00:00:00"/>
    <s v="CUST-0275"/>
    <x v="45"/>
    <s v="R004"/>
    <n v="10"/>
    <n v="2210"/>
    <n v="16.600000000000001"/>
    <n v="18431.400000000001"/>
    <s v="Completed"/>
    <s v="Mumbai"/>
    <s v="Grocery"/>
    <s v="Retail"/>
    <n v="36"/>
    <x v="0"/>
    <n v="1010"/>
    <n v="0.54298642533936647"/>
  </r>
  <r>
    <s v="ORD-01701"/>
    <d v="2024-01-04T00:00:00"/>
    <s v="CUST-0114"/>
    <x v="19"/>
    <s v="R027"/>
    <n v="10"/>
    <n v="2480"/>
    <n v="17.5"/>
    <n v="20460"/>
    <s v="Completed"/>
    <s v="Bengaluru"/>
    <s v="Apparel"/>
    <s v="Corporate"/>
    <n v="42"/>
    <x v="2"/>
    <n v="1173"/>
    <n v="0.52701612903225803"/>
  </r>
  <r>
    <s v="ORD-01702"/>
    <d v="2024-10-01T00:00:00"/>
    <s v="CUST-0060"/>
    <x v="13"/>
    <s v="R019"/>
    <n v="9"/>
    <n v="3250"/>
    <n v="25.9"/>
    <n v="21674.25"/>
    <s v="Completed"/>
    <s v="Pune"/>
    <s v="Home"/>
    <s v="Retail"/>
    <n v="39"/>
    <x v="3"/>
    <n v="1556"/>
    <n v="0.52123076923076928"/>
  </r>
  <r>
    <s v="ORD-01703"/>
    <d v="2024-07-01T00:00:00"/>
    <s v="CUST-0039"/>
    <x v="15"/>
    <s v="R008"/>
    <n v="3"/>
    <n v="2400"/>
    <n v="17.5"/>
    <n v="5940"/>
    <s v="Completed"/>
    <s v="Bengaluru"/>
    <s v="Sports"/>
    <s v="Retail"/>
    <n v="37"/>
    <x v="0"/>
    <n v="974"/>
    <n v="0.59416666666666662"/>
  </r>
  <r>
    <s v="ORD-01704"/>
    <d v="2024-03-21T00:00:00"/>
    <s v="CUST-0033"/>
    <x v="48"/>
    <s v="R006"/>
    <n v="8"/>
    <n v="5410"/>
    <n v="8.3000000000000007"/>
    <n v="39687.760000000002"/>
    <s v="Completed"/>
    <s v="Delhi"/>
    <s v="Sports"/>
    <s v="Retail"/>
    <n v="35"/>
    <x v="0"/>
    <n v="2265"/>
    <n v="0.58133086876155271"/>
  </r>
  <r>
    <s v="ORD-01705"/>
    <d v="2024-11-26T00:00:00"/>
    <s v="CUST-0037"/>
    <x v="12"/>
    <s v="R018"/>
    <n v="1"/>
    <n v="2600"/>
    <n v="5.9"/>
    <n v="2446.6"/>
    <s v="Completed"/>
    <s v="Bengaluru"/>
    <s v="Electronics"/>
    <s v="Retail"/>
    <n v="52"/>
    <x v="3"/>
    <n v="1052"/>
    <n v="0.5953846153846154"/>
  </r>
  <r>
    <s v="ORD-01706"/>
    <d v="2024-11-07T00:00:00"/>
    <s v="CUST-0081"/>
    <x v="46"/>
    <s v="R003"/>
    <n v="10"/>
    <n v="4060"/>
    <n v="2.2999999999999998"/>
    <n v="39666.199999999997"/>
    <s v="Completed"/>
    <s v="Mumbai"/>
    <s v="Grocery"/>
    <s v="Retail"/>
    <n v="25"/>
    <x v="0"/>
    <n v="2911"/>
    <n v="0.28300492610837441"/>
  </r>
  <r>
    <s v="ORD-01707"/>
    <d v="2024-03-01T00:00:00"/>
    <s v="CUST-0279"/>
    <x v="49"/>
    <s v="R020"/>
    <n v="9"/>
    <n v="5330"/>
    <n v="23.5"/>
    <n v="36697.050000000003"/>
    <s v="Completed"/>
    <s v="Mumbai"/>
    <s v="Electronics"/>
    <s v="Retail"/>
    <n v="56"/>
    <x v="3"/>
    <n v="2405"/>
    <n v="0.54878048780487809"/>
  </r>
  <r>
    <s v="ORD-01708"/>
    <d v="2024-11-04T00:00:00"/>
    <s v="CUST-0129"/>
    <x v="22"/>
    <s v="R025"/>
    <n v="7"/>
    <n v="3350"/>
    <n v="13.4"/>
    <n v="20307.7"/>
    <s v="Pending"/>
    <s v="Hyderabad"/>
    <s v="Beauty"/>
    <s v="Retail"/>
    <n v="29"/>
    <x v="2"/>
    <n v="1728"/>
    <n v="0.48417910447761192"/>
  </r>
  <r>
    <s v="ORD-01709"/>
    <d v="2024-12-05T00:00:00"/>
    <s v="CUST-0010"/>
    <x v="47"/>
    <s v="R014"/>
    <n v="4"/>
    <n v="2510"/>
    <n v="26.6"/>
    <n v="7369.36"/>
    <s v="Completed"/>
    <s v="Mumbai"/>
    <s v="Apparel"/>
    <s v="SMB"/>
    <n v="61"/>
    <x v="1"/>
    <n v="1075"/>
    <n v="0.57171314741035861"/>
  </r>
  <r>
    <s v="ORD-01710"/>
    <d v="2024-06-13T00:00:00"/>
    <s v="CUST-0006"/>
    <x v="40"/>
    <s v="R021"/>
    <n v="1"/>
    <n v="3020"/>
    <n v="15.2"/>
    <n v="2560.96"/>
    <s v="Cancelled"/>
    <s v="Pune"/>
    <s v="Beauty"/>
    <s v="SMB"/>
    <n v="44"/>
    <x v="3"/>
    <n v="1626"/>
    <n v="0.46158940397350995"/>
  </r>
  <r>
    <s v="ORD-01711"/>
    <d v="2024-09-04T00:00:00"/>
    <s v="CUST-0206"/>
    <x v="1"/>
    <s v="R029"/>
    <n v="1"/>
    <n v="820"/>
    <n v="6.3"/>
    <n v="768.34"/>
    <s v="Completed"/>
    <s v="Mumbai"/>
    <s v="Apparel"/>
    <s v="Retail"/>
    <n v="40"/>
    <x v="2"/>
    <n v="391"/>
    <n v="0.52317073170731709"/>
  </r>
  <r>
    <s v="ORD-01712"/>
    <d v="2024-07-15T00:00:00"/>
    <s v="CUST-0034"/>
    <x v="4"/>
    <s v="R027"/>
    <n v="4"/>
    <n v="3160"/>
    <n v="3.6"/>
    <n v="12184.96"/>
    <s v="Pending"/>
    <s v="Delhi"/>
    <s v="Apparel"/>
    <s v="Retail"/>
    <n v="47"/>
    <x v="2"/>
    <n v="1886"/>
    <n v="0.4031645569620253"/>
  </r>
  <r>
    <s v="ORD-01713"/>
    <d v="2024-03-19T00:00:00"/>
    <s v="CUST-0121"/>
    <x v="3"/>
    <s v="R012"/>
    <n v="1"/>
    <n v="3660"/>
    <n v="28.2"/>
    <n v="2627.88"/>
    <s v="Pending"/>
    <s v="Delhi"/>
    <s v="Grocery"/>
    <s v="SMB"/>
    <n v="55"/>
    <x v="1"/>
    <n v="2214"/>
    <n v="0.39508196721311473"/>
  </r>
  <r>
    <s v="ORD-01714"/>
    <d v="2024-04-12T00:00:00"/>
    <s v="CUST-0098"/>
    <x v="1"/>
    <s v="R026"/>
    <n v="2"/>
    <n v="820"/>
    <n v="7"/>
    <n v="1525.2"/>
    <s v="Completed"/>
    <s v="Delhi"/>
    <s v="Apparel"/>
    <s v="Retail"/>
    <n v="52"/>
    <x v="2"/>
    <n v="391"/>
    <n v="0.52317073170731709"/>
  </r>
  <r>
    <s v="ORD-01715"/>
    <d v="2024-06-03T00:00:00"/>
    <s v="CUST-0031"/>
    <x v="50"/>
    <s v="R022"/>
    <n v="5"/>
    <n v="2380"/>
    <n v="23"/>
    <n v="9163"/>
    <s v="Completed"/>
    <s v="Hyderabad"/>
    <s v="Grocery"/>
    <s v="Retail"/>
    <n v="53"/>
    <x v="3"/>
    <n v="1182"/>
    <n v="0.50336134453781511"/>
  </r>
  <r>
    <s v="ORD-01716"/>
    <d v="2024-11-16T00:00:00"/>
    <s v="CUST-0185"/>
    <x v="35"/>
    <s v="R013"/>
    <n v="1"/>
    <n v="3870"/>
    <n v="27.3"/>
    <n v="2813.49"/>
    <s v="Completed"/>
    <s v="Hyderabad"/>
    <s v="Electronics"/>
    <s v="SMB"/>
    <n v="43"/>
    <x v="1"/>
    <n v="1559"/>
    <n v="0.59715762273901807"/>
  </r>
  <r>
    <s v="ORD-01717"/>
    <d v="2024-01-10T00:00:00"/>
    <s v="CUST-0011"/>
    <x v="42"/>
    <s v="R007"/>
    <n v="10"/>
    <n v="300"/>
    <n v="14.1"/>
    <n v="2577"/>
    <s v="Cancelled"/>
    <s v="Chennai"/>
    <s v="Electronics"/>
    <s v="Corporate"/>
    <n v="41"/>
    <x v="0"/>
    <n v="128"/>
    <n v="0.57333333333333336"/>
  </r>
  <r>
    <s v="ORD-01718"/>
    <d v="2024-12-21T00:00:00"/>
    <s v="CUST-0223"/>
    <x v="26"/>
    <s v="R027"/>
    <n v="10"/>
    <n v="5100"/>
    <n v="12.7"/>
    <n v="44523"/>
    <s v="Completed"/>
    <s v="Bengaluru"/>
    <s v="Beauty"/>
    <s v="Retail"/>
    <n v="46"/>
    <x v="2"/>
    <n v="2237"/>
    <n v="0.56137254901960787"/>
  </r>
  <r>
    <s v="ORD-01719"/>
    <d v="2024-10-24T00:00:00"/>
    <s v="CUST-0126"/>
    <x v="28"/>
    <s v="R013"/>
    <n v="1"/>
    <n v="2760"/>
    <n v="17.8"/>
    <n v="2268.7199999999998"/>
    <s v="Refunded"/>
    <s v="Mumbai"/>
    <s v="Grocery"/>
    <s v="Retail"/>
    <n v="37"/>
    <x v="1"/>
    <n v="1435"/>
    <n v="0.48007246376811596"/>
  </r>
  <r>
    <s v="ORD-01720"/>
    <d v="2024-03-31T00:00:00"/>
    <s v="CUST-0284"/>
    <x v="49"/>
    <s v="R002"/>
    <n v="8"/>
    <n v="5330"/>
    <n v="16.399999999999999"/>
    <n v="35647.040000000001"/>
    <s v="Completed"/>
    <s v="Hyderabad"/>
    <s v="Electronics"/>
    <s v="SMB"/>
    <n v="65"/>
    <x v="0"/>
    <n v="2405"/>
    <n v="0.54878048780487809"/>
  </r>
  <r>
    <s v="ORD-01721"/>
    <d v="2024-06-14T00:00:00"/>
    <s v="CUST-0011"/>
    <x v="23"/>
    <s v="R016"/>
    <n v="1"/>
    <n v="1010"/>
    <n v="20.399999999999999"/>
    <n v="803.96"/>
    <s v="Cancelled"/>
    <s v="Chennai"/>
    <s v="Sports"/>
    <s v="Corporate"/>
    <n v="41"/>
    <x v="1"/>
    <n v="516"/>
    <n v="0.4891089108910891"/>
  </r>
  <r>
    <s v="ORD-01722"/>
    <d v="2024-03-25T00:00:00"/>
    <s v="CUST-0275"/>
    <x v="41"/>
    <s v="R019"/>
    <n v="10"/>
    <n v="2660"/>
    <n v="29.3"/>
    <n v="18806.2"/>
    <s v="Completed"/>
    <s v="Mumbai"/>
    <s v="Electronics"/>
    <s v="Retail"/>
    <n v="36"/>
    <x v="3"/>
    <n v="1259"/>
    <n v="0.52669172932330832"/>
  </r>
  <r>
    <s v="ORD-01723"/>
    <d v="2024-08-02T00:00:00"/>
    <s v="CUST-0259"/>
    <x v="53"/>
    <s v="R011"/>
    <n v="9"/>
    <n v="3970"/>
    <n v="10.4"/>
    <n v="32014.080000000002"/>
    <s v="Pending"/>
    <s v="Mumbai"/>
    <s v="Electronics"/>
    <s v="Retail"/>
    <n v="34"/>
    <x v="1"/>
    <n v="2865"/>
    <n v="0.27833753148614609"/>
  </r>
  <r>
    <s v="ORD-01724"/>
    <d v="2024-06-29T00:00:00"/>
    <s v="CUST-0089"/>
    <x v="0"/>
    <s v="R008"/>
    <n v="3"/>
    <n v="3620"/>
    <n v="22"/>
    <n v="8470.7999999999993"/>
    <s v="Completed"/>
    <s v="Mumbai"/>
    <s v="Apparel"/>
    <s v="SMB"/>
    <n v="43"/>
    <x v="0"/>
    <n v="2509"/>
    <n v="0.3069060773480663"/>
  </r>
  <r>
    <s v="ORD-01725"/>
    <d v="2024-04-01T00:00:00"/>
    <s v="CUST-0232"/>
    <x v="34"/>
    <s v="R018"/>
    <n v="6"/>
    <n v="2270"/>
    <n v="11.1"/>
    <n v="12108.18"/>
    <s v="Cancelled"/>
    <s v="Hyderabad"/>
    <s v="Grocery"/>
    <s v="Retail"/>
    <n v="38"/>
    <x v="3"/>
    <n v="1412"/>
    <n v="0.37797356828193834"/>
  </r>
  <r>
    <s v="ORD-01726"/>
    <d v="2024-09-08T00:00:00"/>
    <s v="CUST-0220"/>
    <x v="34"/>
    <s v="R014"/>
    <n v="4"/>
    <n v="2270"/>
    <n v="27.2"/>
    <n v="6610.24"/>
    <s v="Pending"/>
    <s v="Chennai"/>
    <s v="Grocery"/>
    <s v="Retail"/>
    <n v="34"/>
    <x v="1"/>
    <n v="1412"/>
    <n v="0.37797356828193834"/>
  </r>
  <r>
    <s v="ORD-01727"/>
    <d v="2024-10-11T00:00:00"/>
    <s v="CUST-0137"/>
    <x v="39"/>
    <s v="R012"/>
    <n v="8"/>
    <n v="4610"/>
    <n v="24.5"/>
    <n v="27844.400000000001"/>
    <s v="Completed"/>
    <s v="Mumbai"/>
    <s v="Home"/>
    <s v="Retail"/>
    <n v="41"/>
    <x v="1"/>
    <n v="1850"/>
    <n v="0.59869848156182215"/>
  </r>
  <r>
    <s v="ORD-01728"/>
    <d v="2024-03-15T00:00:00"/>
    <s v="CUST-0132"/>
    <x v="14"/>
    <s v="R020"/>
    <n v="6"/>
    <n v="190"/>
    <n v="8.6999999999999993"/>
    <n v="1040.82"/>
    <s v="Cancelled"/>
    <s v="Delhi"/>
    <s v="Sports"/>
    <s v="Retail"/>
    <n v="41"/>
    <x v="3"/>
    <n v="147"/>
    <n v="0.22631578947368422"/>
  </r>
  <r>
    <s v="ORD-01729"/>
    <d v="2024-11-21T00:00:00"/>
    <s v="CUST-0226"/>
    <x v="44"/>
    <s v="R026"/>
    <n v="5"/>
    <n v="2030"/>
    <n v="0.9"/>
    <n v="10058.65"/>
    <s v="Cancelled"/>
    <s v="Chennai"/>
    <s v="Home"/>
    <s v="Corporate"/>
    <n v="52"/>
    <x v="2"/>
    <n v="1143"/>
    <n v="0.43694581280788175"/>
  </r>
  <r>
    <s v="ORD-01730"/>
    <d v="2024-11-18T00:00:00"/>
    <s v="CUST-0080"/>
    <x v="37"/>
    <s v="R020"/>
    <n v="1"/>
    <n v="4070"/>
    <n v="9.3000000000000007"/>
    <n v="3691.49"/>
    <s v="Refunded"/>
    <s v="Pune"/>
    <s v="Grocery"/>
    <s v="SMB"/>
    <n v="30"/>
    <x v="3"/>
    <n v="2027"/>
    <n v="0.50196560196560192"/>
  </r>
  <r>
    <s v="ORD-01731"/>
    <d v="2024-06-17T00:00:00"/>
    <s v="CUST-0068"/>
    <x v="52"/>
    <s v="R001"/>
    <n v="3"/>
    <n v="2290"/>
    <n v="12.1"/>
    <n v="6038.73"/>
    <s v="Completed"/>
    <s v="Delhi"/>
    <s v="Beauty"/>
    <s v="SMB"/>
    <n v="48"/>
    <x v="0"/>
    <n v="1219"/>
    <n v="0.46768558951965067"/>
  </r>
  <r>
    <s v="ORD-01732"/>
    <d v="2024-08-10T00:00:00"/>
    <s v="CUST-0146"/>
    <x v="30"/>
    <s v="R020"/>
    <n v="7"/>
    <n v="3730"/>
    <n v="4.5"/>
    <n v="24935.05"/>
    <s v="Completed"/>
    <s v="Hyderabad"/>
    <s v="Home"/>
    <s v="Retail"/>
    <n v="22"/>
    <x v="3"/>
    <n v="2135"/>
    <n v="0.42761394101876676"/>
  </r>
  <r>
    <s v="ORD-01733"/>
    <d v="2024-01-15T00:00:00"/>
    <s v="CUST-0106"/>
    <x v="43"/>
    <s v="R005"/>
    <n v="5"/>
    <n v="620"/>
    <n v="7.5"/>
    <n v="2867.5"/>
    <s v="Completed"/>
    <s v="Pune"/>
    <s v="Apparel"/>
    <s v="Retail"/>
    <n v="22"/>
    <x v="0"/>
    <n v="396"/>
    <n v="0.36129032258064514"/>
  </r>
  <r>
    <s v="ORD-01734"/>
    <d v="2024-06-12T00:00:00"/>
    <s v="CUST-0096"/>
    <x v="11"/>
    <s v="R010"/>
    <n v="8"/>
    <n v="2640"/>
    <n v="16.399999999999999"/>
    <n v="17656.32"/>
    <s v="Completed"/>
    <s v="Delhi"/>
    <s v="Electronics"/>
    <s v="Corporate"/>
    <n v="27"/>
    <x v="1"/>
    <n v="1149"/>
    <n v="0.56477272727272732"/>
  </r>
  <r>
    <s v="ORD-01735"/>
    <d v="2024-09-29T00:00:00"/>
    <s v="CUST-0248"/>
    <x v="3"/>
    <s v="R004"/>
    <n v="6"/>
    <n v="3660"/>
    <n v="6.2"/>
    <n v="20598.48"/>
    <s v="Completed"/>
    <s v="Chennai"/>
    <s v="Grocery"/>
    <s v="SMB"/>
    <n v="57"/>
    <x v="0"/>
    <n v="2214"/>
    <n v="0.39508196721311473"/>
  </r>
  <r>
    <s v="ORD-01736"/>
    <d v="2024-08-03T00:00:00"/>
    <s v="CUST-0297"/>
    <x v="1"/>
    <s v="R020"/>
    <n v="2"/>
    <n v="820"/>
    <n v="25.4"/>
    <n v="1223.44"/>
    <s v="Completed"/>
    <s v="Hyderabad"/>
    <s v="Apparel"/>
    <s v="Retail"/>
    <n v="50"/>
    <x v="3"/>
    <n v="391"/>
    <n v="0.52317073170731709"/>
  </r>
  <r>
    <s v="ORD-01737"/>
    <d v="2024-10-31T00:00:00"/>
    <s v="CUST-0120"/>
    <x v="19"/>
    <s v="R021"/>
    <n v="3"/>
    <n v="2480"/>
    <n v="28.7"/>
    <n v="5304.72"/>
    <s v="Pending"/>
    <s v="Mumbai"/>
    <s v="Apparel"/>
    <s v="Retail"/>
    <n v="29"/>
    <x v="3"/>
    <n v="1173"/>
    <n v="0.52701612903225803"/>
  </r>
  <r>
    <s v="ORD-01738"/>
    <d v="2024-08-30T00:00:00"/>
    <s v="CUST-0148"/>
    <x v="33"/>
    <s v="R028"/>
    <n v="10"/>
    <n v="6080"/>
    <n v="18.899999999999999"/>
    <n v="49308.800000000003"/>
    <s v="Completed"/>
    <s v="Chennai"/>
    <s v="Beauty"/>
    <s v="Retail"/>
    <n v="32"/>
    <x v="2"/>
    <n v="2617"/>
    <n v="0.56957236842105263"/>
  </r>
  <r>
    <s v="ORD-01739"/>
    <d v="2024-02-14T00:00:00"/>
    <s v="CUST-0008"/>
    <x v="14"/>
    <s v="R022"/>
    <n v="1"/>
    <n v="190"/>
    <n v="5.7"/>
    <n v="179.17"/>
    <s v="Completed"/>
    <s v="Pune"/>
    <s v="Sports"/>
    <s v="SMB"/>
    <n v="39"/>
    <x v="3"/>
    <n v="147"/>
    <n v="0.22631578947368422"/>
  </r>
  <r>
    <s v="ORD-01740"/>
    <d v="2024-06-20T00:00:00"/>
    <s v="CUST-0013"/>
    <x v="56"/>
    <s v="R026"/>
    <n v="2"/>
    <n v="3780"/>
    <n v="11.8"/>
    <n v="6667.92"/>
    <s v="Completed"/>
    <s v="Delhi"/>
    <s v="Sports"/>
    <s v="Retail"/>
    <n v="41"/>
    <x v="2"/>
    <n v="1860"/>
    <n v="0.50793650793650791"/>
  </r>
  <r>
    <s v="ORD-01741"/>
    <d v="2024-11-06T00:00:00"/>
    <s v="CUST-0234"/>
    <x v="13"/>
    <s v="R001"/>
    <n v="5"/>
    <n v="3250"/>
    <n v="19.899999999999999"/>
    <n v="13016.25"/>
    <s v="Completed"/>
    <s v="Bengaluru"/>
    <s v="Home"/>
    <s v="Retail"/>
    <n v="34"/>
    <x v="0"/>
    <n v="1556"/>
    <n v="0.52123076923076928"/>
  </r>
  <r>
    <s v="ORD-01742"/>
    <d v="2024-03-14T00:00:00"/>
    <s v="CUST-0207"/>
    <x v="44"/>
    <s v="R008"/>
    <n v="7"/>
    <n v="2030"/>
    <n v="4.0999999999999996"/>
    <n v="13627.39"/>
    <s v="Completed"/>
    <s v="Hyderabad"/>
    <s v="Home"/>
    <s v="SMB"/>
    <n v="34"/>
    <x v="0"/>
    <n v="1143"/>
    <n v="0.43694581280788175"/>
  </r>
  <r>
    <s v="ORD-01743"/>
    <d v="2024-12-25T00:00:00"/>
    <s v="CUST-0245"/>
    <x v="24"/>
    <s v="R012"/>
    <n v="5"/>
    <n v="4880"/>
    <n v="22.9"/>
    <n v="18812.400000000001"/>
    <s v="Completed"/>
    <s v="Hyderabad"/>
    <s v="Beauty"/>
    <s v="Retail"/>
    <n v="65"/>
    <x v="1"/>
    <n v="2768"/>
    <n v="0.43278688524590164"/>
  </r>
  <r>
    <s v="ORD-01744"/>
    <d v="2024-01-06T00:00:00"/>
    <s v="CUST-0044"/>
    <x v="22"/>
    <s v="R020"/>
    <n v="3"/>
    <n v="3350"/>
    <n v="15.2"/>
    <n v="8522.4"/>
    <s v="Pending"/>
    <s v="Hyderabad"/>
    <s v="Beauty"/>
    <s v="SMB"/>
    <n v="29"/>
    <x v="3"/>
    <n v="1728"/>
    <n v="0.48417910447761192"/>
  </r>
  <r>
    <s v="ORD-01745"/>
    <d v="2024-05-13T00:00:00"/>
    <s v="CUST-0264"/>
    <x v="27"/>
    <s v="R029"/>
    <n v="10"/>
    <n v="2860"/>
    <n v="15"/>
    <n v="24310"/>
    <s v="Completed"/>
    <s v="Pune"/>
    <s v="Sports"/>
    <s v="Retail"/>
    <n v="59"/>
    <x v="2"/>
    <n v="2028"/>
    <n v="0.29090909090909089"/>
  </r>
  <r>
    <s v="ORD-01746"/>
    <d v="2024-06-01T00:00:00"/>
    <s v="CUST-0193"/>
    <x v="16"/>
    <s v="R018"/>
    <n v="5"/>
    <n v="3450"/>
    <n v="2.2999999999999998"/>
    <n v="16853.25"/>
    <s v="Completed"/>
    <s v="Bengaluru"/>
    <s v="Beauty"/>
    <s v="Retail"/>
    <n v="42"/>
    <x v="3"/>
    <n v="2420"/>
    <n v="0.29855072463768118"/>
  </r>
  <r>
    <s v="ORD-01747"/>
    <d v="2024-04-15T00:00:00"/>
    <s v="CUST-0006"/>
    <x v="10"/>
    <s v="R015"/>
    <n v="3"/>
    <n v="2270"/>
    <n v="2.8"/>
    <n v="6619.32"/>
    <s v="Pending"/>
    <s v="Pune"/>
    <s v="Grocery"/>
    <s v="SMB"/>
    <n v="44"/>
    <x v="1"/>
    <n v="1203"/>
    <n v="0.47004405286343615"/>
  </r>
  <r>
    <s v="ORD-01748"/>
    <d v="2024-03-03T00:00:00"/>
    <s v="CUST-0221"/>
    <x v="3"/>
    <s v="R007"/>
    <n v="8"/>
    <n v="3660"/>
    <n v="16.8"/>
    <n v="24360.959999999999"/>
    <s v="Completed"/>
    <s v="Delhi"/>
    <s v="Grocery"/>
    <s v="SMB"/>
    <n v="29"/>
    <x v="0"/>
    <n v="2214"/>
    <n v="0.39508196721311473"/>
  </r>
  <r>
    <s v="ORD-01749"/>
    <d v="2024-06-26T00:00:00"/>
    <s v="CUST-0151"/>
    <x v="40"/>
    <s v="R008"/>
    <n v="7"/>
    <n v="3020"/>
    <n v="17.8"/>
    <n v="17377.080000000002"/>
    <s v="Completed"/>
    <s v="Mumbai"/>
    <s v="Beauty"/>
    <s v="Retail"/>
    <n v="53"/>
    <x v="0"/>
    <n v="1626"/>
    <n v="0.46158940397350995"/>
  </r>
  <r>
    <s v="ORD-01750"/>
    <d v="2024-10-22T00:00:00"/>
    <s v="CUST-0188"/>
    <x v="18"/>
    <s v="R014"/>
    <n v="7"/>
    <n v="1080"/>
    <n v="12.9"/>
    <n v="6584.76"/>
    <s v="Completed"/>
    <s v="Bengaluru"/>
    <s v="Home"/>
    <s v="Retail"/>
    <n v="54"/>
    <x v="1"/>
    <n v="519"/>
    <n v="0.51944444444444449"/>
  </r>
  <r>
    <s v="ORD-01751"/>
    <d v="2024-07-21T00:00:00"/>
    <s v="CUST-0010"/>
    <x v="34"/>
    <s v="R012"/>
    <n v="2"/>
    <n v="2270"/>
    <n v="8.6"/>
    <n v="4149.5600000000004"/>
    <s v="Cancelled"/>
    <s v="Mumbai"/>
    <s v="Grocery"/>
    <s v="SMB"/>
    <n v="61"/>
    <x v="1"/>
    <n v="1412"/>
    <n v="0.37797356828193834"/>
  </r>
  <r>
    <s v="ORD-01752"/>
    <d v="2024-06-02T00:00:00"/>
    <s v="CUST-0018"/>
    <x v="43"/>
    <s v="R012"/>
    <n v="10"/>
    <n v="620"/>
    <n v="26.1"/>
    <n v="4581.8"/>
    <s v="Completed"/>
    <s v="Pune"/>
    <s v="Apparel"/>
    <s v="SMB"/>
    <n v="54"/>
    <x v="1"/>
    <n v="396"/>
    <n v="0.36129032258064514"/>
  </r>
  <r>
    <s v="ORD-01753"/>
    <d v="2024-09-26T00:00:00"/>
    <s v="CUST-0262"/>
    <x v="46"/>
    <s v="R015"/>
    <n v="2"/>
    <n v="4060"/>
    <n v="3.8"/>
    <n v="7811.44"/>
    <s v="Completed"/>
    <s v="Mumbai"/>
    <s v="Grocery"/>
    <s v="Retail"/>
    <n v="52"/>
    <x v="1"/>
    <n v="2911"/>
    <n v="0.28300492610837441"/>
  </r>
  <r>
    <s v="ORD-01754"/>
    <d v="2024-07-15T00:00:00"/>
    <s v="CUST-0282"/>
    <x v="31"/>
    <s v="R012"/>
    <n v="1"/>
    <n v="3780"/>
    <n v="27.9"/>
    <n v="2725.38"/>
    <s v="Completed"/>
    <s v="Hyderabad"/>
    <s v="Grocery"/>
    <s v="Corporate"/>
    <n v="29"/>
    <x v="1"/>
    <n v="2436"/>
    <n v="0.35555555555555557"/>
  </r>
  <r>
    <s v="ORD-01755"/>
    <d v="2024-11-21T00:00:00"/>
    <s v="CUST-0194"/>
    <x v="50"/>
    <s v="R022"/>
    <n v="8"/>
    <n v="2380"/>
    <n v="3.8"/>
    <n v="18316.48"/>
    <s v="Completed"/>
    <s v="Delhi"/>
    <s v="Grocery"/>
    <s v="SMB"/>
    <n v="55"/>
    <x v="3"/>
    <n v="1182"/>
    <n v="0.50336134453781511"/>
  </r>
  <r>
    <s v="ORD-01756"/>
    <d v="2024-03-27T00:00:00"/>
    <s v="CUST-0161"/>
    <x v="37"/>
    <s v="R024"/>
    <n v="7"/>
    <n v="4070"/>
    <n v="0.3"/>
    <n v="28404.53"/>
    <s v="Completed"/>
    <s v="Chennai"/>
    <s v="Grocery"/>
    <s v="Retail"/>
    <n v="38"/>
    <x v="2"/>
    <n v="2027"/>
    <n v="0.50196560196560192"/>
  </r>
  <r>
    <s v="ORD-01757"/>
    <d v="2024-06-16T00:00:00"/>
    <s v="CUST-0120"/>
    <x v="11"/>
    <s v="R020"/>
    <n v="6"/>
    <n v="2640"/>
    <n v="3.4"/>
    <n v="15301.44"/>
    <s v="Completed"/>
    <s v="Mumbai"/>
    <s v="Electronics"/>
    <s v="Retail"/>
    <n v="29"/>
    <x v="3"/>
    <n v="1149"/>
    <n v="0.56477272727272732"/>
  </r>
  <r>
    <s v="ORD-01758"/>
    <d v="2024-03-26T00:00:00"/>
    <s v="CUST-0250"/>
    <x v="56"/>
    <s v="R030"/>
    <n v="10"/>
    <n v="3780"/>
    <n v="13.3"/>
    <n v="32772.6"/>
    <s v="Completed"/>
    <s v="Delhi"/>
    <s v="Sports"/>
    <s v="Retail"/>
    <n v="31"/>
    <x v="2"/>
    <n v="1860"/>
    <n v="0.50793650793650791"/>
  </r>
  <r>
    <s v="ORD-01759"/>
    <d v="2024-01-11T00:00:00"/>
    <s v="CUST-0054"/>
    <x v="22"/>
    <s v="R009"/>
    <n v="9"/>
    <n v="3350"/>
    <n v="12.8"/>
    <n v="26290.799999999999"/>
    <s v="Completed"/>
    <s v="Mumbai"/>
    <s v="Beauty"/>
    <s v="Corporate"/>
    <n v="62"/>
    <x v="1"/>
    <n v="1728"/>
    <n v="0.48417910447761192"/>
  </r>
  <r>
    <s v="ORD-01760"/>
    <d v="2024-06-16T00:00:00"/>
    <s v="CUST-0247"/>
    <x v="4"/>
    <s v="R024"/>
    <n v="7"/>
    <n v="3160"/>
    <n v="15.3"/>
    <n v="18735.64"/>
    <s v="Completed"/>
    <s v="Pune"/>
    <s v="Apparel"/>
    <s v="SMB"/>
    <n v="35"/>
    <x v="2"/>
    <n v="1886"/>
    <n v="0.4031645569620253"/>
  </r>
  <r>
    <s v="ORD-01761"/>
    <d v="2024-05-16T00:00:00"/>
    <s v="CUST-0127"/>
    <x v="27"/>
    <s v="R004"/>
    <n v="6"/>
    <n v="2860"/>
    <n v="17.5"/>
    <n v="14157"/>
    <s v="Completed"/>
    <s v="Bengaluru"/>
    <s v="Sports"/>
    <s v="SMB"/>
    <n v="36"/>
    <x v="0"/>
    <n v="2028"/>
    <n v="0.29090909090909089"/>
  </r>
  <r>
    <s v="ORD-01762"/>
    <d v="2024-02-19T00:00:00"/>
    <s v="CUST-0030"/>
    <x v="42"/>
    <s v="R010"/>
    <n v="9"/>
    <n v="300"/>
    <n v="25.2"/>
    <n v="2019.6"/>
    <s v="Completed"/>
    <s v="Bengaluru"/>
    <s v="Electronics"/>
    <s v="Corporate"/>
    <n v="43"/>
    <x v="1"/>
    <n v="128"/>
    <n v="0.57333333333333336"/>
  </r>
  <r>
    <s v="ORD-01763"/>
    <d v="2024-01-05T00:00:00"/>
    <s v="CUST-0205"/>
    <x v="14"/>
    <s v="R020"/>
    <n v="5"/>
    <n v="190"/>
    <n v="1.8"/>
    <n v="932.9"/>
    <s v="Completed"/>
    <s v="Pune"/>
    <s v="Sports"/>
    <s v="Corporate"/>
    <n v="29"/>
    <x v="3"/>
    <n v="147"/>
    <n v="0.22631578947368422"/>
  </r>
  <r>
    <s v="ORD-01764"/>
    <d v="2024-08-29T00:00:00"/>
    <s v="CUST-0172"/>
    <x v="23"/>
    <s v="R021"/>
    <n v="7"/>
    <n v="1010"/>
    <n v="11.2"/>
    <n v="6278.16"/>
    <s v="Completed"/>
    <s v="Pune"/>
    <s v="Sports"/>
    <s v="Retail"/>
    <n v="65"/>
    <x v="3"/>
    <n v="516"/>
    <n v="0.4891089108910891"/>
  </r>
  <r>
    <s v="ORD-01765"/>
    <d v="2024-08-11T00:00:00"/>
    <s v="CUST-0283"/>
    <x v="17"/>
    <s v="R001"/>
    <n v="8"/>
    <n v="3450"/>
    <n v="8.4"/>
    <n v="25281.599999999999"/>
    <s v="Completed"/>
    <s v="Delhi"/>
    <s v="Sports"/>
    <s v="SMB"/>
    <n v="50"/>
    <x v="0"/>
    <n v="2467"/>
    <n v="0.28492753623188405"/>
  </r>
  <r>
    <s v="ORD-01766"/>
    <d v="2024-11-01T00:00:00"/>
    <s v="CUST-0005"/>
    <x v="42"/>
    <s v="R001"/>
    <n v="3"/>
    <n v="300"/>
    <n v="7.5"/>
    <n v="832.5"/>
    <s v="Refunded"/>
    <s v="Chennai"/>
    <s v="Electronics"/>
    <s v="Corporate"/>
    <n v="52"/>
    <x v="0"/>
    <n v="128"/>
    <n v="0.57333333333333336"/>
  </r>
  <r>
    <s v="ORD-01767"/>
    <d v="2024-03-19T00:00:00"/>
    <s v="CUST-0095"/>
    <x v="30"/>
    <s v="R018"/>
    <n v="4"/>
    <n v="3730"/>
    <n v="24.8"/>
    <n v="11219.84"/>
    <s v="Completed"/>
    <s v="Mumbai"/>
    <s v="Home"/>
    <s v="SMB"/>
    <n v="54"/>
    <x v="3"/>
    <n v="2135"/>
    <n v="0.42761394101876676"/>
  </r>
  <r>
    <s v="ORD-01768"/>
    <d v="2024-06-19T00:00:00"/>
    <s v="CUST-0142"/>
    <x v="15"/>
    <s v="R020"/>
    <n v="5"/>
    <n v="2400"/>
    <n v="9.1999999999999993"/>
    <n v="10896"/>
    <s v="Completed"/>
    <s v="Chennai"/>
    <s v="Sports"/>
    <s v="Corporate"/>
    <n v="55"/>
    <x v="3"/>
    <n v="974"/>
    <n v="0.59416666666666662"/>
  </r>
  <r>
    <s v="ORD-01769"/>
    <d v="2024-11-13T00:00:00"/>
    <s v="CUST-0028"/>
    <x v="28"/>
    <s v="R001"/>
    <n v="3"/>
    <n v="2760"/>
    <n v="2.4"/>
    <n v="8081.28"/>
    <s v="Completed"/>
    <s v="Bengaluru"/>
    <s v="Grocery"/>
    <s v="Retail"/>
    <n v="59"/>
    <x v="0"/>
    <n v="1435"/>
    <n v="0.48007246376811596"/>
  </r>
  <r>
    <s v="ORD-01770"/>
    <d v="2024-09-13T00:00:00"/>
    <s v="CUST-0118"/>
    <x v="2"/>
    <s v="R009"/>
    <n v="8"/>
    <n v="470"/>
    <n v="24.8"/>
    <n v="2827.52"/>
    <s v="Pending"/>
    <s v="Hyderabad"/>
    <s v="Sports"/>
    <s v="Retail"/>
    <n v="26"/>
    <x v="1"/>
    <n v="302"/>
    <n v="0.35744680851063831"/>
  </r>
  <r>
    <s v="ORD-01771"/>
    <d v="2024-12-07T00:00:00"/>
    <s v="CUST-0231"/>
    <x v="2"/>
    <s v="R027"/>
    <n v="3"/>
    <n v="470"/>
    <n v="18.600000000000001"/>
    <n v="1147.74"/>
    <s v="Completed"/>
    <s v="Chennai"/>
    <s v="Sports"/>
    <s v="Retail"/>
    <n v="61"/>
    <x v="2"/>
    <n v="302"/>
    <n v="0.35744680851063831"/>
  </r>
  <r>
    <s v="ORD-01772"/>
    <d v="2024-10-15T00:00:00"/>
    <s v="CUST-0264"/>
    <x v="5"/>
    <s v="R028"/>
    <n v="2"/>
    <n v="370"/>
    <n v="24"/>
    <n v="562.4"/>
    <s v="Completed"/>
    <s v="Pune"/>
    <s v="Home"/>
    <s v="Retail"/>
    <n v="59"/>
    <x v="2"/>
    <n v="288"/>
    <n v="0.22162162162162163"/>
  </r>
  <r>
    <s v="ORD-01773"/>
    <d v="2024-02-07T00:00:00"/>
    <s v="CUST-0120"/>
    <x v="45"/>
    <s v="R001"/>
    <n v="6"/>
    <n v="2210"/>
    <n v="28.3"/>
    <n v="9507.42"/>
    <s v="Cancelled"/>
    <s v="Mumbai"/>
    <s v="Grocery"/>
    <s v="Retail"/>
    <n v="29"/>
    <x v="0"/>
    <n v="1010"/>
    <n v="0.54298642533936647"/>
  </r>
  <r>
    <s v="ORD-01774"/>
    <d v="2024-09-14T00:00:00"/>
    <s v="CUST-0185"/>
    <x v="58"/>
    <s v="R002"/>
    <n v="3"/>
    <n v="6940"/>
    <n v="27.2"/>
    <n v="15156.96"/>
    <s v="Refunded"/>
    <s v="Hyderabad"/>
    <s v="Sports"/>
    <s v="SMB"/>
    <n v="43"/>
    <x v="0"/>
    <n v="2827"/>
    <n v="0.5926512968299712"/>
  </r>
  <r>
    <s v="ORD-01775"/>
    <d v="2024-05-11T00:00:00"/>
    <s v="CUST-0174"/>
    <x v="44"/>
    <s v="R018"/>
    <n v="10"/>
    <n v="2030"/>
    <n v="25.6"/>
    <n v="15103.2"/>
    <s v="Completed"/>
    <s v="Pune"/>
    <s v="Home"/>
    <s v="Retail"/>
    <n v="54"/>
    <x v="3"/>
    <n v="1143"/>
    <n v="0.43694581280788175"/>
  </r>
  <r>
    <s v="ORD-01776"/>
    <d v="2024-08-29T00:00:00"/>
    <s v="CUST-0174"/>
    <x v="23"/>
    <s v="R017"/>
    <n v="9"/>
    <n v="1010"/>
    <n v="9.3000000000000007"/>
    <n v="8244.6299999999992"/>
    <s v="Completed"/>
    <s v="Pune"/>
    <s v="Sports"/>
    <s v="Retail"/>
    <n v="54"/>
    <x v="3"/>
    <n v="516"/>
    <n v="0.4891089108910891"/>
  </r>
  <r>
    <s v="ORD-01777"/>
    <d v="2024-10-06T00:00:00"/>
    <s v="CUST-0084"/>
    <x v="47"/>
    <s v="R002"/>
    <n v="5"/>
    <n v="2510"/>
    <n v="22.2"/>
    <n v="9763.9"/>
    <s v="Completed"/>
    <s v="Chennai"/>
    <s v="Apparel"/>
    <s v="Retail"/>
    <n v="28"/>
    <x v="0"/>
    <n v="1075"/>
    <n v="0.57171314741035861"/>
  </r>
  <r>
    <s v="ORD-01778"/>
    <d v="2024-05-29T00:00:00"/>
    <s v="CUST-0270"/>
    <x v="5"/>
    <s v="R002"/>
    <n v="10"/>
    <n v="370"/>
    <n v="29"/>
    <n v="2627"/>
    <s v="Completed"/>
    <s v="Bengaluru"/>
    <s v="Home"/>
    <s v="Retail"/>
    <n v="29"/>
    <x v="0"/>
    <n v="288"/>
    <n v="0.22162162162162163"/>
  </r>
  <r>
    <s v="ORD-01779"/>
    <d v="2024-04-21T00:00:00"/>
    <s v="CUST-0178"/>
    <x v="19"/>
    <s v="R021"/>
    <n v="3"/>
    <n v="2480"/>
    <n v="9.6"/>
    <n v="6725.76"/>
    <s v="Completed"/>
    <s v="Hyderabad"/>
    <s v="Apparel"/>
    <s v="Retail"/>
    <n v="25"/>
    <x v="3"/>
    <n v="1173"/>
    <n v="0.52701612903225803"/>
  </r>
  <r>
    <s v="ORD-01780"/>
    <d v="2024-12-18T00:00:00"/>
    <s v="CUST-0019"/>
    <x v="11"/>
    <s v="R017"/>
    <n v="3"/>
    <n v="2640"/>
    <n v="10.199999999999999"/>
    <n v="7112.16"/>
    <s v="Cancelled"/>
    <s v="Chennai"/>
    <s v="Electronics"/>
    <s v="Retail"/>
    <n v="22"/>
    <x v="3"/>
    <n v="1149"/>
    <n v="0.56477272727272732"/>
  </r>
  <r>
    <s v="ORD-01781"/>
    <d v="2024-07-31T00:00:00"/>
    <s v="CUST-0276"/>
    <x v="57"/>
    <s v="R020"/>
    <n v="1"/>
    <n v="1090"/>
    <n v="21.6"/>
    <n v="854.56"/>
    <s v="Cancelled"/>
    <s v="Chennai"/>
    <s v="Home"/>
    <s v="Retail"/>
    <n v="26"/>
    <x v="3"/>
    <n v="464"/>
    <n v="0.57431192660550456"/>
  </r>
  <r>
    <s v="ORD-01782"/>
    <d v="2024-11-10T00:00:00"/>
    <s v="CUST-0076"/>
    <x v="22"/>
    <s v="R002"/>
    <n v="10"/>
    <n v="3350"/>
    <n v="12.1"/>
    <n v="29446.5"/>
    <s v="Completed"/>
    <s v="Mumbai"/>
    <s v="Beauty"/>
    <s v="Retail"/>
    <n v="38"/>
    <x v="0"/>
    <n v="1728"/>
    <n v="0.48417910447761192"/>
  </r>
  <r>
    <s v="ORD-01783"/>
    <d v="2024-09-27T00:00:00"/>
    <s v="CUST-0085"/>
    <x v="33"/>
    <s v="R015"/>
    <n v="4"/>
    <n v="6080"/>
    <n v="26.7"/>
    <n v="17826.560000000001"/>
    <s v="Cancelled"/>
    <s v="Chennai"/>
    <s v="Beauty"/>
    <s v="Retail"/>
    <n v="26"/>
    <x v="1"/>
    <n v="2617"/>
    <n v="0.56957236842105263"/>
  </r>
  <r>
    <s v="ORD-01784"/>
    <d v="2024-03-21T00:00:00"/>
    <s v="CUST-0245"/>
    <x v="51"/>
    <s v="R002"/>
    <n v="3"/>
    <n v="960"/>
    <n v="13.2"/>
    <n v="2499.84"/>
    <s v="Completed"/>
    <s v="Hyderabad"/>
    <s v="Beauty"/>
    <s v="Retail"/>
    <n v="65"/>
    <x v="0"/>
    <n v="675"/>
    <n v="0.296875"/>
  </r>
  <r>
    <s v="ORD-01785"/>
    <d v="2024-11-14T00:00:00"/>
    <s v="CUST-0135"/>
    <x v="3"/>
    <s v="R007"/>
    <n v="9"/>
    <n v="3660"/>
    <n v="9.3000000000000007"/>
    <n v="29876.58"/>
    <s v="Cancelled"/>
    <s v="Pune"/>
    <s v="Grocery"/>
    <s v="SMB"/>
    <n v="24"/>
    <x v="0"/>
    <n v="2214"/>
    <n v="0.39508196721311473"/>
  </r>
  <r>
    <s v="ORD-01786"/>
    <d v="2024-04-06T00:00:00"/>
    <s v="CUST-0224"/>
    <x v="16"/>
    <s v="R019"/>
    <n v="6"/>
    <n v="3450"/>
    <n v="8.1999999999999993"/>
    <n v="19002.599999999999"/>
    <s v="Completed"/>
    <s v="Chennai"/>
    <s v="Beauty"/>
    <s v="Corporate"/>
    <n v="24"/>
    <x v="3"/>
    <n v="2420"/>
    <n v="0.29855072463768118"/>
  </r>
  <r>
    <s v="ORD-01787"/>
    <d v="2024-05-09T00:00:00"/>
    <s v="CUST-0036"/>
    <x v="39"/>
    <s v="R020"/>
    <n v="7"/>
    <n v="4610"/>
    <n v="10.4"/>
    <n v="28913.919999999998"/>
    <s v="Completed"/>
    <s v="Mumbai"/>
    <s v="Home"/>
    <s v="Retail"/>
    <n v="35"/>
    <x v="3"/>
    <n v="1850"/>
    <n v="0.59869848156182215"/>
  </r>
  <r>
    <s v="ORD-01788"/>
    <d v="2024-08-25T00:00:00"/>
    <s v="CUST-0197"/>
    <x v="6"/>
    <s v="R009"/>
    <n v="2"/>
    <n v="960"/>
    <n v="16.5"/>
    <n v="1603.2"/>
    <s v="Completed"/>
    <s v="Bengaluru"/>
    <s v="Sports"/>
    <s v="Retail"/>
    <n v="55"/>
    <x v="1"/>
    <n v="705"/>
    <n v="0.265625"/>
  </r>
  <r>
    <s v="ORD-01789"/>
    <d v="2024-09-18T00:00:00"/>
    <s v="CUST-0111"/>
    <x v="5"/>
    <s v="R023"/>
    <n v="7"/>
    <n v="370"/>
    <n v="1.4"/>
    <n v="2553.7399999999998"/>
    <s v="Refunded"/>
    <s v="Chennai"/>
    <s v="Home"/>
    <s v="SMB"/>
    <n v="64"/>
    <x v="3"/>
    <n v="288"/>
    <n v="0.22162162162162163"/>
  </r>
  <r>
    <s v="ORD-01790"/>
    <d v="2024-08-31T00:00:00"/>
    <s v="CUST-0198"/>
    <x v="10"/>
    <s v="R004"/>
    <n v="3"/>
    <n v="2270"/>
    <n v="12.6"/>
    <n v="5951.94"/>
    <s v="Completed"/>
    <s v="Chennai"/>
    <s v="Grocery"/>
    <s v="Corporate"/>
    <n v="22"/>
    <x v="0"/>
    <n v="1203"/>
    <n v="0.47004405286343615"/>
  </r>
  <r>
    <s v="ORD-00268"/>
    <d v="2024-01-10T00:00:00"/>
    <s v="CUST-0049"/>
    <x v="13"/>
    <s v="R014"/>
    <n v="1"/>
    <n v="3250"/>
    <n v="17.8"/>
    <n v="2671.5"/>
    <s v="Completed"/>
    <s v="Mumbai"/>
    <s v="Home"/>
    <s v="Corporate"/>
    <n v="42"/>
    <x v="1"/>
    <n v="1556"/>
    <n v="0.52123076923076928"/>
  </r>
  <r>
    <s v="ORD-01792"/>
    <d v="2024-04-22T00:00:00"/>
    <s v="CUST-0029"/>
    <x v="43"/>
    <s v="R018"/>
    <n v="5"/>
    <n v="620"/>
    <n v="19.399999999999999"/>
    <n v="2498.6"/>
    <s v="Pending"/>
    <s v="Chennai"/>
    <s v="Apparel"/>
    <s v="Corporate"/>
    <n v="54"/>
    <x v="3"/>
    <n v="396"/>
    <n v="0.36129032258064514"/>
  </r>
  <r>
    <s v="ORD-01793"/>
    <d v="2024-11-04T00:00:00"/>
    <s v="CUST-0018"/>
    <x v="41"/>
    <s v="R005"/>
    <n v="6"/>
    <n v="2660"/>
    <n v="14.9"/>
    <n v="13581.96"/>
    <s v="Completed"/>
    <s v="Pune"/>
    <s v="Electronics"/>
    <s v="SMB"/>
    <n v="54"/>
    <x v="0"/>
    <n v="1259"/>
    <n v="0.52669172932330832"/>
  </r>
  <r>
    <s v="ORD-01794"/>
    <d v="2024-08-22T00:00:00"/>
    <s v="CUST-0007"/>
    <x v="0"/>
    <s v="R001"/>
    <n v="5"/>
    <n v="3620"/>
    <n v="21"/>
    <n v="14299"/>
    <s v="Cancelled"/>
    <s v="Bengaluru"/>
    <s v="Apparel"/>
    <s v="Retail"/>
    <n v="47"/>
    <x v="0"/>
    <n v="2509"/>
    <n v="0.3069060773480663"/>
  </r>
  <r>
    <s v="ORD-01795"/>
    <d v="2024-10-15T00:00:00"/>
    <s v="CUST-0014"/>
    <x v="32"/>
    <s v="R021"/>
    <n v="1"/>
    <n v="3640"/>
    <n v="15.8"/>
    <n v="3064.88"/>
    <s v="Completed"/>
    <s v="Bengaluru"/>
    <s v="Apparel"/>
    <s v="Retail"/>
    <n v="48"/>
    <x v="3"/>
    <n v="2611"/>
    <n v="0.28269230769230769"/>
  </r>
  <r>
    <s v="ORD-01796"/>
    <d v="2024-06-01T00:00:00"/>
    <s v="CUST-0215"/>
    <x v="38"/>
    <s v="R007"/>
    <n v="1"/>
    <n v="1220"/>
    <n v="0.6"/>
    <n v="1212.68"/>
    <s v="Refunded"/>
    <s v="Hyderabad"/>
    <s v="Electronics"/>
    <s v="Retail"/>
    <n v="52"/>
    <x v="0"/>
    <n v="517"/>
    <n v="0.57622950819672136"/>
  </r>
  <r>
    <s v="ORD-01797"/>
    <d v="2024-02-28T00:00:00"/>
    <s v="CUST-0056"/>
    <x v="19"/>
    <s v="R002"/>
    <n v="10"/>
    <n v="2480"/>
    <n v="0.6"/>
    <n v="24651.200000000001"/>
    <s v="Completed"/>
    <s v="Bengaluru"/>
    <s v="Apparel"/>
    <s v="SMB"/>
    <n v="46"/>
    <x v="0"/>
    <n v="1173"/>
    <n v="0.52701612903225803"/>
  </r>
  <r>
    <s v="ORD-01798"/>
    <d v="2024-12-08T00:00:00"/>
    <s v="CUST-0231"/>
    <x v="21"/>
    <s v="R027"/>
    <n v="9"/>
    <n v="1650"/>
    <n v="26.8"/>
    <n v="10870.2"/>
    <s v="Completed"/>
    <s v="Chennai"/>
    <s v="Beauty"/>
    <s v="Retail"/>
    <n v="61"/>
    <x v="2"/>
    <n v="1222"/>
    <n v="0.2593939393939394"/>
  </r>
  <r>
    <s v="ORD-01799"/>
    <d v="2024-09-25T00:00:00"/>
    <s v="CUST-0138"/>
    <x v="40"/>
    <s v="R008"/>
    <n v="10"/>
    <n v="3020"/>
    <n v="2.6"/>
    <n v="29414.799999999999"/>
    <s v="Completed"/>
    <s v="Chennai"/>
    <s v="Beauty"/>
    <s v="Retail"/>
    <n v="24"/>
    <x v="0"/>
    <n v="1626"/>
    <n v="0.46158940397350995"/>
  </r>
  <r>
    <s v="ORD-01800"/>
    <d v="2024-09-09T00:00:00"/>
    <s v="CUST-0007"/>
    <x v="55"/>
    <s v="R014"/>
    <n v="5"/>
    <n v="3450"/>
    <n v="25.3"/>
    <n v="12885.75"/>
    <s v="Completed"/>
    <s v="Bengaluru"/>
    <s v="Apparel"/>
    <s v="Retail"/>
    <n v="47"/>
    <x v="1"/>
    <n v="1748"/>
    <n v="0.49333333333333335"/>
  </r>
  <r>
    <s v="ORD-01801"/>
    <d v="2024-06-14T00:00:00"/>
    <s v="CUST-0118"/>
    <x v="38"/>
    <s v="R019"/>
    <n v="7"/>
    <n v="1220"/>
    <n v="13.1"/>
    <n v="7421.26"/>
    <s v="Completed"/>
    <s v="Hyderabad"/>
    <s v="Electronics"/>
    <s v="Retail"/>
    <n v="26"/>
    <x v="3"/>
    <n v="517"/>
    <n v="0.57622950819672136"/>
  </r>
  <r>
    <s v="ORD-01802"/>
    <d v="2024-10-13T00:00:00"/>
    <s v="CUST-0064"/>
    <x v="31"/>
    <s v="R005"/>
    <n v="10"/>
    <n v="3780"/>
    <n v="23.7"/>
    <n v="28841.4"/>
    <s v="Completed"/>
    <s v="Hyderabad"/>
    <s v="Grocery"/>
    <s v="SMB"/>
    <n v="40"/>
    <x v="0"/>
    <n v="2436"/>
    <n v="0.35555555555555557"/>
  </r>
  <r>
    <s v="ORD-01803"/>
    <d v="2024-04-23T00:00:00"/>
    <s v="CUST-0298"/>
    <x v="41"/>
    <s v="R002"/>
    <n v="8"/>
    <n v="2660"/>
    <n v="16.100000000000001"/>
    <n v="17853.919999999998"/>
    <s v="Completed"/>
    <s v="Delhi"/>
    <s v="Electronics"/>
    <s v="Retail"/>
    <n v="44"/>
    <x v="0"/>
    <n v="1259"/>
    <n v="0.52669172932330832"/>
  </r>
  <r>
    <s v="ORD-01804"/>
    <d v="2024-02-16T00:00:00"/>
    <s v="CUST-0020"/>
    <x v="57"/>
    <s v="R008"/>
    <n v="6"/>
    <n v="1090"/>
    <n v="20"/>
    <n v="5232"/>
    <s v="Pending"/>
    <s v="Hyderabad"/>
    <s v="Home"/>
    <s v="Retail"/>
    <n v="46"/>
    <x v="0"/>
    <n v="464"/>
    <n v="0.57431192660550456"/>
  </r>
  <r>
    <s v="ORD-01805"/>
    <d v="2024-02-02T00:00:00"/>
    <s v="CUST-9725"/>
    <x v="29"/>
    <s v="R016"/>
    <n v="2"/>
    <n v="660"/>
    <n v="18.7"/>
    <n v="1073.1600000000001"/>
    <s v="Completed"/>
    <s v="Mumbai"/>
    <s v="Home"/>
    <s v=""/>
    <s v=""/>
    <x v="1"/>
    <n v="329"/>
    <n v="0.50151515151515147"/>
  </r>
  <r>
    <s v="ORD-01806"/>
    <d v="2024-02-10T00:00:00"/>
    <s v="CUST-0063"/>
    <x v="57"/>
    <s v="R015"/>
    <n v="7"/>
    <n v="1090"/>
    <n v="19.399999999999999"/>
    <n v="6149.78"/>
    <s v="Pending"/>
    <s v="Mumbai"/>
    <s v="Home"/>
    <s v="SMB"/>
    <n v="53"/>
    <x v="1"/>
    <n v="464"/>
    <n v="0.57431192660550456"/>
  </r>
  <r>
    <s v="ORD-01807"/>
    <d v="2024-05-17T00:00:00"/>
    <s v="CUST-0193"/>
    <x v="45"/>
    <s v="R015"/>
    <n v="3"/>
    <n v="2210"/>
    <n v="11"/>
    <n v="5900.7"/>
    <s v="Completed"/>
    <s v="Bengaluru"/>
    <s v="Grocery"/>
    <s v="Retail"/>
    <n v="42"/>
    <x v="1"/>
    <n v="1010"/>
    <n v="0.54298642533936647"/>
  </r>
  <r>
    <s v="ORD-01808"/>
    <d v="2024-05-08T00:00:00"/>
    <s v="CUST-0142"/>
    <x v="53"/>
    <s v="R029"/>
    <n v="2"/>
    <n v="3970"/>
    <n v="24.9"/>
    <n v="5962.94"/>
    <s v="Completed"/>
    <s v="Chennai"/>
    <s v="Electronics"/>
    <s v="Corporate"/>
    <n v="55"/>
    <x v="2"/>
    <n v="2865"/>
    <n v="0.27833753148614609"/>
  </r>
  <r>
    <s v="ORD-01809"/>
    <d v="2024-04-21T00:00:00"/>
    <s v="CUST-0264"/>
    <x v="39"/>
    <s v="R021"/>
    <n v="7"/>
    <n v="4610"/>
    <n v="6.3"/>
    <n v="30236.99"/>
    <s v="Completed"/>
    <s v="Pune"/>
    <s v="Home"/>
    <s v="Retail"/>
    <n v="59"/>
    <x v="3"/>
    <n v="1850"/>
    <n v="0.59869848156182215"/>
  </r>
  <r>
    <s v="ORD-01810"/>
    <d v="2024-04-21T00:00:00"/>
    <s v="CUST-0121"/>
    <x v="51"/>
    <s v="R026"/>
    <n v="10"/>
    <n v="960"/>
    <n v="14.6"/>
    <n v="8198.4"/>
    <s v="Completed"/>
    <s v="Delhi"/>
    <s v="Beauty"/>
    <s v="SMB"/>
    <n v="55"/>
    <x v="2"/>
    <n v="675"/>
    <n v="0.296875"/>
  </r>
  <r>
    <s v="ORD-01811"/>
    <d v="2024-11-04T00:00:00"/>
    <s v="CUST-0152"/>
    <x v="40"/>
    <s v="R016"/>
    <n v="8"/>
    <n v="3020"/>
    <n v="14.5"/>
    <n v="20656.8"/>
    <s v="Completed"/>
    <s v="Bengaluru"/>
    <s v="Beauty"/>
    <s v="SMB"/>
    <n v="64"/>
    <x v="1"/>
    <n v="1626"/>
    <n v="0.46158940397350995"/>
  </r>
  <r>
    <s v="ORD-01812"/>
    <d v="2024-12-03T00:00:00"/>
    <s v="CUST-0008"/>
    <x v="19"/>
    <s v="R026"/>
    <n v="7"/>
    <n v="2480"/>
    <n v="17.3"/>
    <n v="14356.72"/>
    <s v="Completed"/>
    <s v="Pune"/>
    <s v="Apparel"/>
    <s v="SMB"/>
    <n v="39"/>
    <x v="2"/>
    <n v="1173"/>
    <n v="0.52701612903225803"/>
  </r>
  <r>
    <s v="ORD-01813"/>
    <d v="2024-02-08T00:00:00"/>
    <s v="CUST-0285"/>
    <x v="35"/>
    <s v="R013"/>
    <n v="10"/>
    <n v="3870"/>
    <n v="22.4"/>
    <n v="30031.200000000001"/>
    <s v="Pending"/>
    <s v="Hyderabad"/>
    <s v="Electronics"/>
    <s v="Retail"/>
    <n v="22"/>
    <x v="1"/>
    <n v="1559"/>
    <n v="0.59715762273901807"/>
  </r>
  <r>
    <s v="ORD-01814"/>
    <d v="2024-09-16T00:00:00"/>
    <s v="CUST-0072"/>
    <x v="29"/>
    <s v="R022"/>
    <n v="6"/>
    <n v="660"/>
    <n v="27.3"/>
    <n v="2878.92"/>
    <s v="Completed"/>
    <s v="Mumbai"/>
    <s v="Home"/>
    <s v="Corporate"/>
    <n v="62"/>
    <x v="3"/>
    <n v="329"/>
    <n v="0.50151515151515147"/>
  </r>
  <r>
    <s v="ORD-01815"/>
    <d v="2024-01-30T00:00:00"/>
    <s v="CUST-9630"/>
    <x v="35"/>
    <s v="R026"/>
    <n v="3"/>
    <n v="3870"/>
    <n v="7.6"/>
    <n v="10727.64"/>
    <s v="Cancelled"/>
    <s v="Chennai"/>
    <s v="Electronics"/>
    <s v=""/>
    <s v=""/>
    <x v="2"/>
    <n v="1559"/>
    <n v="0.59715762273901807"/>
  </r>
  <r>
    <s v="ORD-01816"/>
    <d v="2024-09-07T00:00:00"/>
    <s v="CUST-0243"/>
    <x v="19"/>
    <s v="R006"/>
    <n v="10"/>
    <n v="2480"/>
    <n v="21.5"/>
    <n v="19468"/>
    <s v="Pending"/>
    <s v="Pune"/>
    <s v="Apparel"/>
    <s v="SMB"/>
    <n v="44"/>
    <x v="0"/>
    <n v="1173"/>
    <n v="0.52701612903225803"/>
  </r>
  <r>
    <s v="ORD-01817"/>
    <d v="2024-12-17T00:00:00"/>
    <s v="CUST-0231"/>
    <x v="11"/>
    <s v="R001"/>
    <n v="8"/>
    <n v="2640"/>
    <n v="22.3"/>
    <n v="16410.240000000002"/>
    <s v="Completed"/>
    <s v="Chennai"/>
    <s v="Electronics"/>
    <s v="Retail"/>
    <n v="61"/>
    <x v="0"/>
    <n v="1149"/>
    <n v="0.56477272727272732"/>
  </r>
  <r>
    <s v="ORD-01818"/>
    <d v="2024-09-24T00:00:00"/>
    <s v="CUST-0229"/>
    <x v="9"/>
    <s v="R001"/>
    <n v="8"/>
    <n v="970"/>
    <n v="13.1"/>
    <n v="6743.44"/>
    <s v="Completed"/>
    <s v="Hyderabad"/>
    <s v="Grocery"/>
    <s v="SMB"/>
    <n v="25"/>
    <x v="0"/>
    <n v="434"/>
    <n v="0.5525773195876289"/>
  </r>
  <r>
    <s v="ORD-01819"/>
    <d v="2024-05-04T00:00:00"/>
    <s v="CUST-0218"/>
    <x v="6"/>
    <s v="R001"/>
    <n v="6"/>
    <n v="960"/>
    <n v="3.2"/>
    <n v="5575.68"/>
    <s v="Completed"/>
    <s v="Mumbai"/>
    <s v="Sports"/>
    <s v="Retail"/>
    <n v="39"/>
    <x v="0"/>
    <n v="705"/>
    <n v="0.265625"/>
  </r>
  <r>
    <s v="ORD-01820"/>
    <d v="2024-06-26T00:00:00"/>
    <s v="CUST-0015"/>
    <x v="44"/>
    <s v="R008"/>
    <n v="9"/>
    <n v="2030"/>
    <n v="12.6"/>
    <n v="15967.98"/>
    <s v="Cancelled"/>
    <s v="Chennai"/>
    <s v="Home"/>
    <s v="Retail"/>
    <n v="31"/>
    <x v="0"/>
    <n v="1143"/>
    <n v="0.43694581280788175"/>
  </r>
  <r>
    <s v="ORD-01821"/>
    <d v="2024-04-05T00:00:00"/>
    <s v="CUST-0291"/>
    <x v="52"/>
    <s v="R024"/>
    <n v="10"/>
    <n v="2290"/>
    <n v="22.2"/>
    <n v="17816.2"/>
    <s v="Completed"/>
    <s v="Pune"/>
    <s v="Beauty"/>
    <s v="SMB"/>
    <n v="29"/>
    <x v="2"/>
    <n v="1219"/>
    <n v="0.46768558951965067"/>
  </r>
  <r>
    <s v="ORD-01822"/>
    <d v="2024-03-22T00:00:00"/>
    <s v="CUST-0276"/>
    <x v="1"/>
    <s v="R027"/>
    <n v="7"/>
    <n v="820"/>
    <n v="6.4"/>
    <n v="5372.64"/>
    <s v="Refunded"/>
    <s v="Chennai"/>
    <s v="Apparel"/>
    <s v="Retail"/>
    <n v="26"/>
    <x v="2"/>
    <n v="391"/>
    <n v="0.52317073170731709"/>
  </r>
  <r>
    <s v="ORD-01823"/>
    <d v="2024-11-18T00:00:00"/>
    <s v="CUST-0139"/>
    <x v="18"/>
    <s v="R030"/>
    <n v="5"/>
    <n v="1080"/>
    <n v="6"/>
    <n v="5076"/>
    <s v="Completed"/>
    <s v="Hyderabad"/>
    <s v="Home"/>
    <s v="SMB"/>
    <n v="65"/>
    <x v="2"/>
    <n v="519"/>
    <n v="0.51944444444444449"/>
  </r>
  <r>
    <s v="ORD-01824"/>
    <d v="2024-01-19T00:00:00"/>
    <s v="CUST-0087"/>
    <x v="14"/>
    <s v="R028"/>
    <n v="4"/>
    <n v="190"/>
    <n v="6.3"/>
    <n v="712.12"/>
    <s v="Refunded"/>
    <s v="Pune"/>
    <s v="Sports"/>
    <s v="SMB"/>
    <n v="49"/>
    <x v="2"/>
    <n v="147"/>
    <n v="0.22631578947368422"/>
  </r>
  <r>
    <s v="ORD-01825"/>
    <d v="2024-01-28T00:00:00"/>
    <s v="CUST-0203"/>
    <x v="47"/>
    <s v="R029"/>
    <n v="6"/>
    <n v="2510"/>
    <n v="11.5"/>
    <n v="13328.1"/>
    <s v="Completed"/>
    <s v="Chennai"/>
    <s v="Apparel"/>
    <s v="SMB"/>
    <n v="55"/>
    <x v="2"/>
    <n v="1075"/>
    <n v="0.57171314741035861"/>
  </r>
  <r>
    <s v="ORD-01826"/>
    <d v="2024-01-08T00:00:00"/>
    <s v="CUST-0180"/>
    <x v="59"/>
    <s v="R015"/>
    <n v="2"/>
    <n v="3560"/>
    <n v="10.5"/>
    <n v="6372.4"/>
    <s v="Completed"/>
    <s v="Chennai"/>
    <s v="Apparel"/>
    <s v="Retail"/>
    <n v="36"/>
    <x v="1"/>
    <n v="2629"/>
    <n v="0.26151685393258428"/>
  </r>
  <r>
    <s v="ORD-01827"/>
    <d v="2024-09-21T00:00:00"/>
    <s v="CUST-0130"/>
    <x v="1"/>
    <s v="R013"/>
    <n v="3"/>
    <n v="820"/>
    <n v="13"/>
    <n v="2140.1999999999998"/>
    <s v="Cancelled"/>
    <s v="Bengaluru"/>
    <s v="Apparel"/>
    <s v="Corporate"/>
    <n v="41"/>
    <x v="1"/>
    <n v="391"/>
    <n v="0.52317073170731709"/>
  </r>
  <r>
    <s v="ORD-01828"/>
    <d v="2024-07-27T00:00:00"/>
    <s v="CUST-0049"/>
    <x v="32"/>
    <s v="R003"/>
    <n v="6"/>
    <n v="3640"/>
    <n v="14"/>
    <n v="18782.400000000001"/>
    <s v="Completed"/>
    <s v="Mumbai"/>
    <s v="Apparel"/>
    <s v="Corporate"/>
    <n v="42"/>
    <x v="0"/>
    <n v="2611"/>
    <n v="0.28269230769230769"/>
  </r>
  <r>
    <s v="ORD-01829"/>
    <d v="2024-03-19T00:00:00"/>
    <s v="CUST-0182"/>
    <x v="3"/>
    <s v="R019"/>
    <n v="5"/>
    <n v="3660"/>
    <n v="28.7"/>
    <n v="13047.9"/>
    <s v="Completed"/>
    <s v="Mumbai"/>
    <s v="Grocery"/>
    <s v="Retail"/>
    <n v="54"/>
    <x v="3"/>
    <n v="2214"/>
    <n v="0.39508196721311473"/>
  </r>
  <r>
    <s v="ORD-01830"/>
    <d v="2024-08-17T00:00:00"/>
    <s v="CUST-0291"/>
    <x v="27"/>
    <s v="R030"/>
    <n v="2"/>
    <n v="2860"/>
    <n v="21.1"/>
    <n v="4513.08"/>
    <s v="Completed"/>
    <s v="Pune"/>
    <s v="Sports"/>
    <s v="SMB"/>
    <n v="29"/>
    <x v="2"/>
    <n v="2028"/>
    <n v="0.29090909090909089"/>
  </r>
  <r>
    <s v="ORD-01831"/>
    <d v="2024-07-08T00:00:00"/>
    <s v="CUST-0167"/>
    <x v="20"/>
    <s v="R019"/>
    <n v="1"/>
    <n v="2720"/>
    <n v="22.1"/>
    <n v="2118.88"/>
    <s v="Completed"/>
    <s v="Delhi"/>
    <s v="Apparel"/>
    <s v="Retail"/>
    <n v="43"/>
    <x v="3"/>
    <n v="1962"/>
    <n v="0.2786764705882353"/>
  </r>
  <r>
    <s v="ORD-01832"/>
    <d v="2024-12-07T00:00:00"/>
    <s v="CUST-0223"/>
    <x v="27"/>
    <s v="R004"/>
    <n v="6"/>
    <n v="2860"/>
    <n v="10.5"/>
    <n v="15358.2"/>
    <s v="Cancelled"/>
    <s v="Bengaluru"/>
    <s v="Sports"/>
    <s v="Retail"/>
    <n v="46"/>
    <x v="0"/>
    <n v="2028"/>
    <n v="0.29090909090909089"/>
  </r>
  <r>
    <s v="ORD-01833"/>
    <d v="2024-01-14T00:00:00"/>
    <s v="CUST-0050"/>
    <x v="47"/>
    <s v="R020"/>
    <n v="1"/>
    <n v="2510"/>
    <n v="12"/>
    <n v="2208.8000000000002"/>
    <s v="Completed"/>
    <s v="Mumbai"/>
    <s v="Apparel"/>
    <s v="Retail"/>
    <n v="37"/>
    <x v="3"/>
    <n v="1075"/>
    <n v="0.57171314741035861"/>
  </r>
  <r>
    <s v="ORD-01834"/>
    <d v="2024-10-28T00:00:00"/>
    <s v="CUST-0242"/>
    <x v="47"/>
    <s v="R020"/>
    <n v="4"/>
    <n v="2510"/>
    <n v="23.2"/>
    <n v="7710.72"/>
    <s v="Completed"/>
    <s v="Chennai"/>
    <s v="Apparel"/>
    <s v="SMB"/>
    <n v="59"/>
    <x v="3"/>
    <n v="1075"/>
    <n v="0.57171314741035861"/>
  </r>
  <r>
    <s v="ORD-01835"/>
    <d v="2024-09-20T00:00:00"/>
    <s v="CUST-0144"/>
    <x v="51"/>
    <s v="R005"/>
    <n v="8"/>
    <n v="960"/>
    <n v="20.3"/>
    <n v="6120.96"/>
    <s v="Pending"/>
    <s v="Chennai"/>
    <s v="Beauty"/>
    <s v="Retail"/>
    <n v="49"/>
    <x v="0"/>
    <n v="675"/>
    <n v="0.296875"/>
  </r>
  <r>
    <s v="ORD-01836"/>
    <d v="2024-04-24T00:00:00"/>
    <s v="CUST-0140"/>
    <x v="8"/>
    <s v="R010"/>
    <n v="3"/>
    <n v="5490"/>
    <n v="25.2"/>
    <n v="12319.56"/>
    <s v="Completed"/>
    <s v="Hyderabad"/>
    <s v="Home"/>
    <s v="SMB"/>
    <n v="39"/>
    <x v="1"/>
    <n v="2549"/>
    <n v="0.53570127504553733"/>
  </r>
  <r>
    <s v="ORD-01837"/>
    <d v="2024-12-21T00:00:00"/>
    <s v="CUST-0174"/>
    <x v="47"/>
    <s v="R006"/>
    <n v="2"/>
    <n v="2510"/>
    <n v="28.2"/>
    <n v="3604.36"/>
    <s v="Completed"/>
    <s v="Pune"/>
    <s v="Apparel"/>
    <s v="Retail"/>
    <n v="54"/>
    <x v="0"/>
    <n v="1075"/>
    <n v="0.57171314741035861"/>
  </r>
  <r>
    <s v="ORD-01838"/>
    <d v="2024-04-04T00:00:00"/>
    <s v="CUST-0290"/>
    <x v="1"/>
    <s v="R011"/>
    <n v="1"/>
    <n v="820"/>
    <n v="4.7"/>
    <n v="781.46"/>
    <s v="Completed"/>
    <s v="Delhi"/>
    <s v="Apparel"/>
    <s v="Retail"/>
    <n v="63"/>
    <x v="1"/>
    <n v="391"/>
    <n v="0.52317073170731709"/>
  </r>
  <r>
    <s v="ORD-01839"/>
    <d v="2024-06-10T00:00:00"/>
    <s v="CUST-0170"/>
    <x v="42"/>
    <s v="R018"/>
    <n v="6"/>
    <n v="300"/>
    <n v="13.3"/>
    <n v="1560.6"/>
    <s v="Completed"/>
    <s v="Mumbai"/>
    <s v="Electronics"/>
    <s v="SMB"/>
    <n v="22"/>
    <x v="3"/>
    <n v="128"/>
    <n v="0.57333333333333336"/>
  </r>
  <r>
    <s v="ORD-01840"/>
    <d v="2024-07-19T00:00:00"/>
    <s v="CUST-0180"/>
    <x v="22"/>
    <s v="R016"/>
    <n v="4"/>
    <n v="3350"/>
    <n v="5.8"/>
    <n v="12622.8"/>
    <s v="Pending"/>
    <s v="Chennai"/>
    <s v="Beauty"/>
    <s v="Retail"/>
    <n v="36"/>
    <x v="1"/>
    <n v="1728"/>
    <n v="0.48417910447761192"/>
  </r>
  <r>
    <s v="ORD-01841"/>
    <d v="2024-11-09T00:00:00"/>
    <s v="CUST-0286"/>
    <x v="13"/>
    <s v="R025"/>
    <n v="3"/>
    <n v="3250"/>
    <n v="19.600000000000001"/>
    <n v="7839"/>
    <s v="Pending"/>
    <s v="Delhi"/>
    <s v="Home"/>
    <s v="Retail"/>
    <n v="62"/>
    <x v="2"/>
    <n v="1556"/>
    <n v="0.52123076923076928"/>
  </r>
  <r>
    <s v="ORD-01842"/>
    <d v="2024-02-22T00:00:00"/>
    <s v="CUST-0056"/>
    <x v="21"/>
    <s v="R027"/>
    <n v="10"/>
    <n v="1650"/>
    <n v="22.5"/>
    <n v="12787.5"/>
    <s v="Cancelled"/>
    <s v="Bengaluru"/>
    <s v="Beauty"/>
    <s v="SMB"/>
    <n v="46"/>
    <x v="2"/>
    <n v="1222"/>
    <n v="0.2593939393939394"/>
  </r>
  <r>
    <s v="ORD-01843"/>
    <d v="2024-08-02T00:00:00"/>
    <s v="CUST-0292"/>
    <x v="38"/>
    <s v="R026"/>
    <n v="2"/>
    <n v="1220"/>
    <n v="10.5"/>
    <n v="2183.8000000000002"/>
    <s v="Completed"/>
    <s v="Bengaluru"/>
    <s v="Electronics"/>
    <s v="Retail"/>
    <n v="32"/>
    <x v="2"/>
    <n v="517"/>
    <n v="0.57622950819672136"/>
  </r>
  <r>
    <s v="ORD-01844"/>
    <d v="2024-08-17T00:00:00"/>
    <s v="CUST-0020"/>
    <x v="51"/>
    <s v="R026"/>
    <n v="7"/>
    <n v="960"/>
    <n v="5.4"/>
    <n v="6357.12"/>
    <s v="Refunded"/>
    <s v="Hyderabad"/>
    <s v="Beauty"/>
    <s v="Retail"/>
    <n v="46"/>
    <x v="2"/>
    <n v="675"/>
    <n v="0.296875"/>
  </r>
  <r>
    <s v="ORD-01845"/>
    <d v="2024-04-07T00:00:00"/>
    <s v="CUST-0089"/>
    <x v="24"/>
    <s v="R014"/>
    <n v="3"/>
    <n v="4880"/>
    <n v="17.100000000000001"/>
    <n v="12136.56"/>
    <s v="Completed"/>
    <s v="Mumbai"/>
    <s v="Beauty"/>
    <s v="SMB"/>
    <n v="43"/>
    <x v="1"/>
    <n v="2768"/>
    <n v="0.43278688524590164"/>
  </r>
  <r>
    <s v="ORD-01846"/>
    <d v="2024-04-08T00:00:00"/>
    <s v="CUST-0242"/>
    <x v="10"/>
    <s v="R028"/>
    <n v="5"/>
    <n v="2270"/>
    <n v="12.4"/>
    <n v="9942.6"/>
    <s v="Completed"/>
    <s v="Chennai"/>
    <s v="Grocery"/>
    <s v="SMB"/>
    <n v="59"/>
    <x v="2"/>
    <n v="1203"/>
    <n v="0.47004405286343615"/>
  </r>
  <r>
    <s v="ORD-01847"/>
    <d v="2024-05-01T00:00:00"/>
    <s v="CUST-0249"/>
    <x v="57"/>
    <s v="R028"/>
    <n v="1"/>
    <n v="1090"/>
    <n v="17.3"/>
    <n v="901.43"/>
    <s v="Completed"/>
    <s v="Mumbai"/>
    <s v="Home"/>
    <s v="Retail"/>
    <n v="44"/>
    <x v="2"/>
    <n v="464"/>
    <n v="0.57431192660550456"/>
  </r>
  <r>
    <s v="ORD-01848"/>
    <d v="2024-08-31T00:00:00"/>
    <s v="CUST-0032"/>
    <x v="54"/>
    <s v="R029"/>
    <n v="8"/>
    <n v="5080"/>
    <n v="0.9"/>
    <n v="40274.239999999998"/>
    <s v="Completed"/>
    <s v="Hyderabad"/>
    <s v="Home"/>
    <s v="Retail"/>
    <n v="28"/>
    <x v="2"/>
    <n v="2459"/>
    <n v="0.51594488188976373"/>
  </r>
  <r>
    <s v="ORD-01849"/>
    <d v="2024-10-04T00:00:00"/>
    <s v="CUST-0217"/>
    <x v="39"/>
    <s v="R017"/>
    <n v="7"/>
    <n v="4610"/>
    <n v="0.9"/>
    <n v="31979.57"/>
    <s v="Completed"/>
    <s v="Pune"/>
    <s v="Home"/>
    <s v="SMB"/>
    <n v="59"/>
    <x v="3"/>
    <n v="1850"/>
    <n v="0.59869848156182215"/>
  </r>
  <r>
    <s v="ORD-01850"/>
    <d v="2024-08-23T00:00:00"/>
    <s v="CUST-0284"/>
    <x v="40"/>
    <s v="R028"/>
    <n v="1"/>
    <n v="3020"/>
    <n v="10.3"/>
    <n v="2708.94"/>
    <s v="Completed"/>
    <s v="Hyderabad"/>
    <s v="Beauty"/>
    <s v="SMB"/>
    <n v="65"/>
    <x v="2"/>
    <n v="1626"/>
    <n v="0.46158940397350995"/>
  </r>
  <r>
    <s v="ORD-01851"/>
    <d v="2024-06-10T00:00:00"/>
    <s v="CUST-0167"/>
    <x v="34"/>
    <s v="R028"/>
    <n v="6"/>
    <n v="2270"/>
    <n v="23.1"/>
    <n v="10473.780000000001"/>
    <s v="Completed"/>
    <s v="Delhi"/>
    <s v="Grocery"/>
    <s v="Retail"/>
    <n v="43"/>
    <x v="2"/>
    <n v="1412"/>
    <n v="0.37797356828193834"/>
  </r>
  <r>
    <s v="ORD-01852"/>
    <d v="2024-11-09T00:00:00"/>
    <s v="CUST-0008"/>
    <x v="37"/>
    <s v="R010"/>
    <n v="6"/>
    <n v="4070"/>
    <n v="28.9"/>
    <n v="17362.62"/>
    <s v="Completed"/>
    <s v="Pune"/>
    <s v="Grocery"/>
    <s v="SMB"/>
    <n v="39"/>
    <x v="1"/>
    <n v="2027"/>
    <n v="0.50196560196560192"/>
  </r>
  <r>
    <s v="ORD-01853"/>
    <d v="2024-12-24T00:00:00"/>
    <s v="CUST-0277"/>
    <x v="38"/>
    <s v="R017"/>
    <n v="5"/>
    <n v="1220"/>
    <n v="18.7"/>
    <n v="4959.3"/>
    <s v="Completed"/>
    <s v="Chennai"/>
    <s v="Electronics"/>
    <s v="Corporate"/>
    <n v="34"/>
    <x v="3"/>
    <n v="517"/>
    <n v="0.57622950819672136"/>
  </r>
  <r>
    <s v="ORD-01854"/>
    <d v="2024-04-30T00:00:00"/>
    <s v="CUST-0025"/>
    <x v="19"/>
    <s v="R024"/>
    <n v="8"/>
    <n v="2480"/>
    <n v="3.2"/>
    <n v="19205.12"/>
    <s v="Cancelled"/>
    <s v="Bengaluru"/>
    <s v="Apparel"/>
    <s v="Retail"/>
    <n v="23"/>
    <x v="2"/>
    <n v="1173"/>
    <n v="0.52701612903225803"/>
  </r>
  <r>
    <s v="ORD-01855"/>
    <d v="2024-09-19T00:00:00"/>
    <s v="CUST-0228"/>
    <x v="27"/>
    <s v="R007"/>
    <n v="7"/>
    <n v="2860"/>
    <n v="8.4"/>
    <n v="18338.32"/>
    <s v="Completed"/>
    <s v="Pune"/>
    <s v="Sports"/>
    <s v="Corporate"/>
    <n v="37"/>
    <x v="0"/>
    <n v="2028"/>
    <n v="0.29090909090909089"/>
  </r>
  <r>
    <s v="ORD-01856"/>
    <d v="2024-03-14T00:00:00"/>
    <s v="CUST-0078"/>
    <x v="31"/>
    <s v="R024"/>
    <n v="1"/>
    <n v="3780"/>
    <n v="16.3"/>
    <n v="3163.86"/>
    <s v="Cancelled"/>
    <s v="Delhi"/>
    <s v="Grocery"/>
    <s v="Retail"/>
    <n v="31"/>
    <x v="2"/>
    <n v="2436"/>
    <n v="0.35555555555555557"/>
  </r>
  <r>
    <s v="ORD-01857"/>
    <d v="2024-07-31T00:00:00"/>
    <s v="CUST-0205"/>
    <x v="27"/>
    <s v="R025"/>
    <n v="6"/>
    <n v="2860"/>
    <n v="10.7"/>
    <n v="15323.88"/>
    <s v="Completed"/>
    <s v="Pune"/>
    <s v="Sports"/>
    <s v="Corporate"/>
    <n v="29"/>
    <x v="2"/>
    <n v="2028"/>
    <n v="0.29090909090909089"/>
  </r>
  <r>
    <s v="ORD-01858"/>
    <d v="2024-12-26T00:00:00"/>
    <s v="CUST-0044"/>
    <x v="15"/>
    <s v="R027"/>
    <n v="3"/>
    <n v="2400"/>
    <n v="20.7"/>
    <n v="5709.6"/>
    <s v="Completed"/>
    <s v="Hyderabad"/>
    <s v="Sports"/>
    <s v="SMB"/>
    <n v="29"/>
    <x v="2"/>
    <n v="974"/>
    <n v="0.59416666666666662"/>
  </r>
  <r>
    <s v="ORD-01859"/>
    <d v="2024-02-08T00:00:00"/>
    <s v="CUST-0188"/>
    <x v="50"/>
    <s v="R025"/>
    <n v="8"/>
    <n v="2380"/>
    <n v="22.3"/>
    <n v="14794.08"/>
    <s v="Refunded"/>
    <s v="Bengaluru"/>
    <s v="Grocery"/>
    <s v="Retail"/>
    <n v="54"/>
    <x v="2"/>
    <n v="1182"/>
    <n v="0.50336134453781511"/>
  </r>
  <r>
    <s v="ORD-01860"/>
    <d v="2024-08-29T00:00:00"/>
    <s v="CUST-0165"/>
    <x v="26"/>
    <s v="R006"/>
    <n v="7"/>
    <n v="5100"/>
    <n v="22.9"/>
    <n v="27524.7"/>
    <s v="Cancelled"/>
    <s v="Pune"/>
    <s v="Beauty"/>
    <s v="Retail"/>
    <n v="29"/>
    <x v="0"/>
    <n v="2237"/>
    <n v="0.56137254901960787"/>
  </r>
  <r>
    <s v="ORD-01861"/>
    <d v="2024-06-20T00:00:00"/>
    <s v="CUST-0059"/>
    <x v="42"/>
    <s v="R015"/>
    <n v="7"/>
    <n v="300"/>
    <n v="15.3"/>
    <n v="1778.7"/>
    <s v="Completed"/>
    <s v="Pune"/>
    <s v="Electronics"/>
    <s v="Corporate"/>
    <n v="29"/>
    <x v="1"/>
    <n v="128"/>
    <n v="0.57333333333333336"/>
  </r>
  <r>
    <s v="ORD-01862"/>
    <d v="2024-05-16T00:00:00"/>
    <s v="CUST-0280"/>
    <x v="17"/>
    <s v="R010"/>
    <n v="5"/>
    <n v="3450"/>
    <n v="16.8"/>
    <n v="14352"/>
    <s v="Completed"/>
    <s v="Delhi"/>
    <s v="Sports"/>
    <s v="SMB"/>
    <n v="27"/>
    <x v="1"/>
    <n v="2467"/>
    <n v="0.28492753623188405"/>
  </r>
  <r>
    <s v="ORD-01863"/>
    <d v="2024-12-08T00:00:00"/>
    <s v="CUST-0153"/>
    <x v="27"/>
    <s v="R014"/>
    <n v="4"/>
    <n v="2860"/>
    <n v="14.3"/>
    <n v="9804.08"/>
    <s v="Completed"/>
    <s v="Mumbai"/>
    <s v="Sports"/>
    <s v="Retail"/>
    <n v="35"/>
    <x v="1"/>
    <n v="2028"/>
    <n v="0.29090909090909089"/>
  </r>
  <r>
    <s v="ORD-01864"/>
    <d v="2024-12-01T00:00:00"/>
    <s v="CUST-0251"/>
    <x v="20"/>
    <s v="R001"/>
    <n v="6"/>
    <n v="2720"/>
    <n v="25.1"/>
    <n v="12223.68"/>
    <s v="Cancelled"/>
    <s v="Mumbai"/>
    <s v="Apparel"/>
    <s v="Retail"/>
    <n v="44"/>
    <x v="0"/>
    <n v="1962"/>
    <n v="0.2786764705882353"/>
  </r>
  <r>
    <s v="ORD-01865"/>
    <d v="2024-05-17T00:00:00"/>
    <s v="CUST-0255"/>
    <x v="30"/>
    <s v="R028"/>
    <n v="3"/>
    <n v="3730"/>
    <n v="24.8"/>
    <n v="8414.8799999999992"/>
    <s v="Completed"/>
    <s v="Chennai"/>
    <s v="Home"/>
    <s v="Corporate"/>
    <n v="51"/>
    <x v="2"/>
    <n v="2135"/>
    <n v="0.42761394101876676"/>
  </r>
  <r>
    <s v="ORD-01866"/>
    <d v="2024-12-22T00:00:00"/>
    <s v="CUST-0076"/>
    <x v="46"/>
    <s v="R002"/>
    <n v="2"/>
    <n v="4060"/>
    <n v="11.3"/>
    <n v="7202.44"/>
    <s v="Completed"/>
    <s v="Mumbai"/>
    <s v="Grocery"/>
    <s v="Retail"/>
    <n v="38"/>
    <x v="0"/>
    <n v="2911"/>
    <n v="0.28300492610837441"/>
  </r>
  <r>
    <s v="ORD-01867"/>
    <d v="2024-01-04T00:00:00"/>
    <s v="CUST-0195"/>
    <x v="52"/>
    <s v="R018"/>
    <n v="6"/>
    <n v="2290"/>
    <n v="26.8"/>
    <n v="10057.68"/>
    <s v="Refunded"/>
    <s v="Bengaluru"/>
    <s v="Beauty"/>
    <s v="Retail"/>
    <n v="28"/>
    <x v="3"/>
    <n v="1219"/>
    <n v="0.46768558951965067"/>
  </r>
  <r>
    <s v="ORD-01868"/>
    <d v="2024-05-06T00:00:00"/>
    <s v="CUST-0164"/>
    <x v="58"/>
    <s v="R013"/>
    <n v="1"/>
    <n v="6940"/>
    <n v="15.7"/>
    <n v="5850.42"/>
    <s v="Completed"/>
    <s v="Chennai"/>
    <s v="Sports"/>
    <s v="Retail"/>
    <n v="60"/>
    <x v="1"/>
    <n v="2827"/>
    <n v="0.5926512968299712"/>
  </r>
  <r>
    <s v="ORD-01869"/>
    <d v="2024-11-27T00:00:00"/>
    <s v="CUST-0239"/>
    <x v="30"/>
    <s v="R009"/>
    <n v="3"/>
    <n v="3730"/>
    <n v="18.100000000000001"/>
    <n v="9164.61"/>
    <s v="Completed"/>
    <s v="Mumbai"/>
    <s v="Home"/>
    <s v="Retail"/>
    <n v="61"/>
    <x v="1"/>
    <n v="2135"/>
    <n v="0.42761394101876676"/>
  </r>
  <r>
    <s v="ORD-01870"/>
    <d v="2024-08-24T00:00:00"/>
    <s v="CUST-0133"/>
    <x v="30"/>
    <s v="R002"/>
    <n v="8"/>
    <n v="3730"/>
    <n v="12.5"/>
    <n v="26110"/>
    <s v="Completed"/>
    <s v="Chennai"/>
    <s v="Home"/>
    <s v="Retail"/>
    <n v="26"/>
    <x v="0"/>
    <n v="2135"/>
    <n v="0.42761394101876676"/>
  </r>
  <r>
    <s v="ORD-01871"/>
    <d v="2024-12-18T00:00:00"/>
    <s v="CUST-0286"/>
    <x v="50"/>
    <s v="R015"/>
    <n v="9"/>
    <n v="2380"/>
    <n v="8.1"/>
    <n v="19684.98"/>
    <s v="Cancelled"/>
    <s v="Delhi"/>
    <s v="Grocery"/>
    <s v="Retail"/>
    <n v="62"/>
    <x v="1"/>
    <n v="1182"/>
    <n v="0.50336134453781511"/>
  </r>
  <r>
    <s v="ORD-01872"/>
    <d v="2024-07-02T00:00:00"/>
    <s v="CUST-0122"/>
    <x v="18"/>
    <s v="R002"/>
    <n v="6"/>
    <n v="1080"/>
    <n v="8.8000000000000007"/>
    <n v="5909.76"/>
    <s v="Completed"/>
    <s v="Mumbai"/>
    <s v="Home"/>
    <s v="Retail"/>
    <n v="44"/>
    <x v="0"/>
    <n v="519"/>
    <n v="0.51944444444444449"/>
  </r>
  <r>
    <s v="ORD-01712"/>
    <d v="2024-04-19T00:00:00"/>
    <s v="CUST-0285"/>
    <x v="2"/>
    <s v="R013"/>
    <n v="5"/>
    <n v="470"/>
    <n v="1.3"/>
    <n v="2319.4499999999998"/>
    <s v="Completed"/>
    <s v="Hyderabad"/>
    <s v="Sports"/>
    <s v="Retail"/>
    <n v="22"/>
    <x v="1"/>
    <n v="302"/>
    <n v="0.35744680851063831"/>
  </r>
  <r>
    <s v="ORD-01874"/>
    <d v="2024-08-12T00:00:00"/>
    <s v="CUST-0174"/>
    <x v="5"/>
    <s v="R026"/>
    <n v="4"/>
    <n v="370"/>
    <n v="13.1"/>
    <n v="1286.1199999999999"/>
    <s v="Completed"/>
    <s v="Pune"/>
    <s v="Home"/>
    <s v="Retail"/>
    <n v="54"/>
    <x v="2"/>
    <n v="288"/>
    <n v="0.22162162162162163"/>
  </r>
  <r>
    <s v="ORD-01875"/>
    <d v="2024-08-13T00:00:00"/>
    <s v="CUST-0115"/>
    <x v="4"/>
    <s v="R007"/>
    <n v="7"/>
    <n v="3160"/>
    <n v="12.3"/>
    <n v="19399.240000000002"/>
    <s v="Completed"/>
    <s v="Mumbai"/>
    <s v="Apparel"/>
    <s v="SMB"/>
    <n v="65"/>
    <x v="0"/>
    <n v="1886"/>
    <n v="0.4031645569620253"/>
  </r>
  <r>
    <s v="ORD-01876"/>
    <d v="2024-12-19T00:00:00"/>
    <s v="CUST-0028"/>
    <x v="59"/>
    <s v="R024"/>
    <n v="5"/>
    <n v="3560"/>
    <n v="24"/>
    <n v="13528"/>
    <s v="Completed"/>
    <s v="Bengaluru"/>
    <s v="Apparel"/>
    <s v="Retail"/>
    <n v="59"/>
    <x v="2"/>
    <n v="2629"/>
    <n v="0.26151685393258428"/>
  </r>
  <r>
    <s v="ORD-01877"/>
    <d v="2024-05-05T00:00:00"/>
    <s v="CUST-0111"/>
    <x v="44"/>
    <s v="R021"/>
    <n v="6"/>
    <n v="2030"/>
    <n v="20.5"/>
    <n v="9683.1"/>
    <s v="Completed"/>
    <s v="Chennai"/>
    <s v="Home"/>
    <s v="SMB"/>
    <n v="64"/>
    <x v="3"/>
    <n v="1143"/>
    <n v="0.43694581280788175"/>
  </r>
  <r>
    <s v="ORD-01878"/>
    <d v="2024-02-29T00:00:00"/>
    <s v="CUST-0240"/>
    <x v="11"/>
    <s v="R018"/>
    <n v="5"/>
    <n v="2640"/>
    <n v="21.3"/>
    <n v="10388.4"/>
    <s v="Pending"/>
    <s v="Chennai"/>
    <s v="Electronics"/>
    <s v="Corporate"/>
    <n v="35"/>
    <x v="3"/>
    <n v="1149"/>
    <n v="0.56477272727272732"/>
  </r>
  <r>
    <s v="ORD-01879"/>
    <d v="2024-12-03T00:00:00"/>
    <s v="CUST-0222"/>
    <x v="34"/>
    <s v="R002"/>
    <n v="4"/>
    <n v="2270"/>
    <n v="15.8"/>
    <n v="7645.36"/>
    <s v="Completed"/>
    <s v="Chennai"/>
    <s v="Grocery"/>
    <s v="Retail"/>
    <n v="37"/>
    <x v="0"/>
    <n v="1412"/>
    <n v="0.37797356828193834"/>
  </r>
  <r>
    <s v="ORD-01880"/>
    <d v="2024-10-23T00:00:00"/>
    <s v="CUST-0251"/>
    <x v="5"/>
    <s v="R002"/>
    <n v="1"/>
    <n v="370"/>
    <n v="27"/>
    <n v="270.10000000000002"/>
    <s v="Pending"/>
    <s v="Mumbai"/>
    <s v="Home"/>
    <s v="Retail"/>
    <n v="44"/>
    <x v="0"/>
    <n v="288"/>
    <n v="0.22162162162162163"/>
  </r>
  <r>
    <s v="ORD-01881"/>
    <d v="2024-03-15T00:00:00"/>
    <s v="CUST-0203"/>
    <x v="26"/>
    <s v="R017"/>
    <n v="9"/>
    <n v="5100"/>
    <n v="2.4"/>
    <n v="44798.400000000001"/>
    <s v="Completed"/>
    <s v="Chennai"/>
    <s v="Beauty"/>
    <s v="SMB"/>
    <n v="55"/>
    <x v="3"/>
    <n v="2237"/>
    <n v="0.56137254901960787"/>
  </r>
  <r>
    <s v="ORD-01882"/>
    <d v="2024-01-31T00:00:00"/>
    <s v="CUST-0285"/>
    <x v="5"/>
    <s v="R023"/>
    <n v="6"/>
    <n v="370"/>
    <n v="18.7"/>
    <n v="1804.86"/>
    <s v="Cancelled"/>
    <s v="Hyderabad"/>
    <s v="Home"/>
    <s v="Retail"/>
    <n v="22"/>
    <x v="3"/>
    <n v="288"/>
    <n v="0.22162162162162163"/>
  </r>
  <r>
    <s v="ORD-01883"/>
    <d v="2024-06-22T00:00:00"/>
    <s v="CUST-0135"/>
    <x v="9"/>
    <s v="R004"/>
    <n v="6"/>
    <n v="970"/>
    <n v="21.6"/>
    <n v="4562.88"/>
    <s v="Completed"/>
    <s v="Pune"/>
    <s v="Grocery"/>
    <s v="SMB"/>
    <n v="24"/>
    <x v="0"/>
    <n v="434"/>
    <n v="0.5525773195876289"/>
  </r>
  <r>
    <s v="ORD-01884"/>
    <d v="2024-11-26T00:00:00"/>
    <s v="CUST-9967"/>
    <x v="45"/>
    <s v="R029"/>
    <n v="3"/>
    <n v="2210"/>
    <n v="8.5"/>
    <n v="6066.45"/>
    <s v="Completed"/>
    <s v="Delhi"/>
    <s v="Grocery"/>
    <s v=""/>
    <s v=""/>
    <x v="2"/>
    <n v="1010"/>
    <n v="0.54298642533936647"/>
  </r>
  <r>
    <s v="ORD-01885"/>
    <d v="2024-06-14T00:00:00"/>
    <s v="CUST-0096"/>
    <x v="21"/>
    <s v="R002"/>
    <n v="1"/>
    <n v="1650"/>
    <n v="19.7"/>
    <n v="1324.95"/>
    <s v="Completed"/>
    <s v="Delhi"/>
    <s v="Beauty"/>
    <s v="Corporate"/>
    <n v="27"/>
    <x v="0"/>
    <n v="1222"/>
    <n v="0.2593939393939394"/>
  </r>
  <r>
    <s v="ORD-01886"/>
    <d v="2024-07-07T00:00:00"/>
    <s v="CUST-0266"/>
    <x v="58"/>
    <s v="R003"/>
    <n v="5"/>
    <n v="6940"/>
    <n v="7.7"/>
    <n v="32028.1"/>
    <s v="Completed"/>
    <s v="Pune"/>
    <s v="Sports"/>
    <s v="Retail"/>
    <n v="65"/>
    <x v="0"/>
    <n v="2827"/>
    <n v="0.5926512968299712"/>
  </r>
  <r>
    <s v="ORD-01887"/>
    <d v="2024-04-10T00:00:00"/>
    <s v="CUST-0059"/>
    <x v="45"/>
    <s v="R022"/>
    <n v="2"/>
    <n v="2210"/>
    <n v="5.6"/>
    <n v="4172.4799999999996"/>
    <s v="Cancelled"/>
    <s v="Pune"/>
    <s v="Grocery"/>
    <s v="Corporate"/>
    <n v="29"/>
    <x v="3"/>
    <n v="1010"/>
    <n v="0.54298642533936647"/>
  </r>
  <r>
    <s v="ORD-01888"/>
    <d v="2024-03-29T00:00:00"/>
    <s v="CUST-0094"/>
    <x v="12"/>
    <s v="R014"/>
    <n v="9"/>
    <n v="2600"/>
    <n v="3.1"/>
    <n v="22674.6"/>
    <s v="Completed"/>
    <s v="Pune"/>
    <s v="Electronics"/>
    <s v="SMB"/>
    <n v="60"/>
    <x v="1"/>
    <n v="1052"/>
    <n v="0.5953846153846154"/>
  </r>
  <r>
    <s v="ORD-01889"/>
    <d v="2024-07-21T00:00:00"/>
    <s v="CUST-0254"/>
    <x v="56"/>
    <s v="R003"/>
    <n v="7"/>
    <n v="3780"/>
    <n v="13.3"/>
    <n v="22940.82"/>
    <s v="Completed"/>
    <s v="Bengaluru"/>
    <s v="Sports"/>
    <s v="Retail"/>
    <n v="35"/>
    <x v="0"/>
    <n v="1860"/>
    <n v="0.50793650793650791"/>
  </r>
  <r>
    <s v="ORD-01890"/>
    <d v="2024-11-25T00:00:00"/>
    <s v="CUST-0022"/>
    <x v="15"/>
    <s v="R013"/>
    <n v="4"/>
    <n v="2400"/>
    <n v="16.600000000000001"/>
    <n v="8006.4"/>
    <s v="Pending"/>
    <s v="Bengaluru"/>
    <s v="Sports"/>
    <s v="Corporate"/>
    <n v="55"/>
    <x v="1"/>
    <n v="974"/>
    <n v="0.59416666666666662"/>
  </r>
  <r>
    <s v="ORD-01891"/>
    <d v="2024-11-07T00:00:00"/>
    <s v="CUST-0168"/>
    <x v="42"/>
    <s v="R005"/>
    <n v="10"/>
    <n v="300"/>
    <n v="23.9"/>
    <n v="2283"/>
    <s v="Completed"/>
    <s v="Pune"/>
    <s v="Electronics"/>
    <s v="Retail"/>
    <n v="25"/>
    <x v="0"/>
    <n v="128"/>
    <n v="0.57333333333333336"/>
  </r>
  <r>
    <s v="ORD-01892"/>
    <d v="2024-12-14T00:00:00"/>
    <s v="CUST-0175"/>
    <x v="3"/>
    <s v="R010"/>
    <n v="1"/>
    <n v="3660"/>
    <n v="1.5"/>
    <n v="3605.1"/>
    <s v="Pending"/>
    <s v="Delhi"/>
    <s v="Grocery"/>
    <s v="Corporate"/>
    <n v="55"/>
    <x v="1"/>
    <n v="2214"/>
    <n v="0.39508196721311473"/>
  </r>
  <r>
    <s v="ORD-01893"/>
    <d v="2024-08-30T00:00:00"/>
    <s v="CUST-0193"/>
    <x v="17"/>
    <s v="R011"/>
    <n v="9"/>
    <n v="3450"/>
    <n v="21.8"/>
    <n v="24281.1"/>
    <s v="Completed"/>
    <s v="Bengaluru"/>
    <s v="Sports"/>
    <s v="Retail"/>
    <n v="42"/>
    <x v="1"/>
    <n v="2467"/>
    <n v="0.28492753623188405"/>
  </r>
  <r>
    <s v="ORD-01894"/>
    <d v="2024-04-28T00:00:00"/>
    <s v="CUST-0284"/>
    <x v="55"/>
    <s v="R007"/>
    <n v="10"/>
    <n v="3450"/>
    <n v="15.7"/>
    <n v="29083.5"/>
    <s v="Cancelled"/>
    <s v="Hyderabad"/>
    <s v="Apparel"/>
    <s v="SMB"/>
    <n v="65"/>
    <x v="0"/>
    <n v="1748"/>
    <n v="0.49333333333333335"/>
  </r>
  <r>
    <s v="ORD-01895"/>
    <d v="2024-04-30T00:00:00"/>
    <s v="CUST-0071"/>
    <x v="37"/>
    <s v="R008"/>
    <n v="2"/>
    <n v="4070"/>
    <n v="10.8"/>
    <n v="7260.88"/>
    <s v="Completed"/>
    <s v="Delhi"/>
    <s v="Grocery"/>
    <s v="Corporate"/>
    <n v="46"/>
    <x v="0"/>
    <n v="2027"/>
    <n v="0.50196560196560192"/>
  </r>
  <r>
    <s v="ORD-01896"/>
    <d v="2024-03-21T00:00:00"/>
    <s v="CUST-0102"/>
    <x v="56"/>
    <s v="R023"/>
    <n v="4"/>
    <n v="3780"/>
    <n v="17.100000000000001"/>
    <n v="12534.48"/>
    <s v="Completed"/>
    <s v="Chennai"/>
    <s v="Sports"/>
    <s v="SMB"/>
    <n v="62"/>
    <x v="3"/>
    <n v="1860"/>
    <n v="0.50793650793650791"/>
  </r>
  <r>
    <s v="ORD-01897"/>
    <d v="2024-11-26T00:00:00"/>
    <s v="CUST-0036"/>
    <x v="28"/>
    <s v="R004"/>
    <n v="1"/>
    <n v="2760"/>
    <n v="2.5"/>
    <n v="2691"/>
    <s v="Cancelled"/>
    <s v="Mumbai"/>
    <s v="Grocery"/>
    <s v="Retail"/>
    <n v="35"/>
    <x v="0"/>
    <n v="1435"/>
    <n v="0.48007246376811596"/>
  </r>
  <r>
    <s v="ORD-01898"/>
    <d v="2024-07-20T00:00:00"/>
    <s v="CUST-0273"/>
    <x v="24"/>
    <s v="R030"/>
    <n v="2"/>
    <n v="4880"/>
    <n v="11"/>
    <n v="8686.4"/>
    <s v="Completed"/>
    <s v="Hyderabad"/>
    <s v="Beauty"/>
    <s v="Corporate"/>
    <n v="32"/>
    <x v="2"/>
    <n v="2768"/>
    <n v="0.43278688524590164"/>
  </r>
  <r>
    <s v="ORD-01899"/>
    <d v="2024-10-15T00:00:00"/>
    <s v="CUST-0262"/>
    <x v="50"/>
    <s v="R022"/>
    <n v="10"/>
    <n v="2380"/>
    <n v="28.3"/>
    <n v="17064.599999999999"/>
    <s v="Completed"/>
    <s v="Mumbai"/>
    <s v="Grocery"/>
    <s v="Retail"/>
    <n v="52"/>
    <x v="3"/>
    <n v="1182"/>
    <n v="0.50336134453781511"/>
  </r>
  <r>
    <s v="ORD-01900"/>
    <d v="2024-06-06T00:00:00"/>
    <s v="CUST-0083"/>
    <x v="52"/>
    <s v="R003"/>
    <n v="3"/>
    <n v="2290"/>
    <n v="11.1"/>
    <n v="6107.43"/>
    <s v="Cancelled"/>
    <s v="Bengaluru"/>
    <s v="Beauty"/>
    <s v="Corporate"/>
    <n v="31"/>
    <x v="0"/>
    <n v="1219"/>
    <n v="0.46768558951965067"/>
  </r>
  <r>
    <s v="ORD-01901"/>
    <d v="2024-05-05T00:00:00"/>
    <s v="CUST-0273"/>
    <x v="28"/>
    <s v="R004"/>
    <n v="6"/>
    <n v="2760"/>
    <n v="16.5"/>
    <n v="13827.6"/>
    <s v="Completed"/>
    <s v="Hyderabad"/>
    <s v="Grocery"/>
    <s v="Corporate"/>
    <n v="32"/>
    <x v="0"/>
    <n v="1435"/>
    <n v="0.48007246376811596"/>
  </r>
  <r>
    <s v="ORD-01902"/>
    <d v="2024-08-19T00:00:00"/>
    <s v="CUST-0047"/>
    <x v="46"/>
    <s v="R027"/>
    <n v="5"/>
    <n v="4060"/>
    <n v="22.5"/>
    <n v="15732.5"/>
    <s v="Completed"/>
    <s v="Pune"/>
    <s v="Grocery"/>
    <s v="Retail"/>
    <n v="49"/>
    <x v="2"/>
    <n v="2911"/>
    <n v="0.28300492610837441"/>
  </r>
  <r>
    <s v="ORD-01903"/>
    <d v="2024-03-16T00:00:00"/>
    <s v="CUST-0084"/>
    <x v="11"/>
    <s v="R006"/>
    <n v="8"/>
    <n v="2640"/>
    <n v="11.8"/>
    <n v="18627.84"/>
    <s v="Completed"/>
    <s v="Chennai"/>
    <s v="Electronics"/>
    <s v="Retail"/>
    <n v="28"/>
    <x v="0"/>
    <n v="1149"/>
    <n v="0.56477272727272732"/>
  </r>
  <r>
    <s v="ORD-01904"/>
    <d v="2024-01-18T00:00:00"/>
    <s v="CUST-0093"/>
    <x v="39"/>
    <s v="R005"/>
    <n v="2"/>
    <n v="4610"/>
    <n v="10.4"/>
    <n v="8261.1200000000008"/>
    <s v="Pending"/>
    <s v="Pune"/>
    <s v="Home"/>
    <s v="Retail"/>
    <n v="36"/>
    <x v="0"/>
    <n v="1850"/>
    <n v="0.59869848156182215"/>
  </r>
  <r>
    <s v="ORD-01905"/>
    <d v="2024-04-01T00:00:00"/>
    <s v="CUST-0282"/>
    <x v="45"/>
    <s v="R028"/>
    <n v="6"/>
    <n v="2210"/>
    <n v="22.5"/>
    <n v="10276.5"/>
    <s v="Cancelled"/>
    <s v="Hyderabad"/>
    <s v="Grocery"/>
    <s v="Corporate"/>
    <n v="29"/>
    <x v="2"/>
    <n v="1010"/>
    <n v="0.54298642533936647"/>
  </r>
  <r>
    <s v="ORD-01906"/>
    <d v="2024-05-08T00:00:00"/>
    <s v="CUST-0246"/>
    <x v="45"/>
    <s v="R011"/>
    <n v="4"/>
    <n v="2210"/>
    <n v="21.5"/>
    <n v="6939.4"/>
    <s v="Pending"/>
    <s v="Delhi"/>
    <s v="Grocery"/>
    <s v="SMB"/>
    <n v="29"/>
    <x v="1"/>
    <n v="1010"/>
    <n v="0.54298642533936647"/>
  </r>
  <r>
    <s v="ORD-01907"/>
    <d v="2024-04-18T00:00:00"/>
    <s v="CUST-0243"/>
    <x v="57"/>
    <s v="R013"/>
    <n v="6"/>
    <n v="1090"/>
    <n v="28.3"/>
    <n v="4689.18"/>
    <s v="Completed"/>
    <s v="Pune"/>
    <s v="Home"/>
    <s v="SMB"/>
    <n v="44"/>
    <x v="1"/>
    <n v="464"/>
    <n v="0.57431192660550456"/>
  </r>
  <r>
    <s v="ORD-01908"/>
    <d v="2024-11-29T00:00:00"/>
    <s v="CUST-0298"/>
    <x v="5"/>
    <s v="R003"/>
    <n v="9"/>
    <n v="370"/>
    <n v="13.8"/>
    <n v="2870.46"/>
    <s v="Completed"/>
    <s v="Delhi"/>
    <s v="Home"/>
    <s v="Retail"/>
    <n v="44"/>
    <x v="0"/>
    <n v="288"/>
    <n v="0.22162162162162163"/>
  </r>
  <r>
    <s v="ORD-01909"/>
    <d v="2024-09-20T00:00:00"/>
    <s v="CUST-0124"/>
    <x v="25"/>
    <s v="R025"/>
    <n v="10"/>
    <n v="3570"/>
    <n v="3"/>
    <n v="34629"/>
    <s v="Cancelled"/>
    <s v="Pune"/>
    <s v="Electronics"/>
    <s v="Retail"/>
    <n v="57"/>
    <x v="2"/>
    <n v="1665"/>
    <n v="0.53361344537815125"/>
  </r>
  <r>
    <s v="ORD-01910"/>
    <d v="2024-08-05T00:00:00"/>
    <s v="CUST-0070"/>
    <x v="13"/>
    <s v="R016"/>
    <n v="10"/>
    <n v="3250"/>
    <n v="20.3"/>
    <n v="25902.5"/>
    <s v="Completed"/>
    <s v="Mumbai"/>
    <s v="Home"/>
    <s v="Retail"/>
    <n v="42"/>
    <x v="1"/>
    <n v="1556"/>
    <n v="0.52123076923076928"/>
  </r>
  <r>
    <s v="ORD-01911"/>
    <d v="2024-05-24T00:00:00"/>
    <s v="CUST-0054"/>
    <x v="13"/>
    <s v="R028"/>
    <n v="6"/>
    <n v="3250"/>
    <n v="25.8"/>
    <n v="14469"/>
    <s v="Pending"/>
    <s v="Mumbai"/>
    <s v="Home"/>
    <s v="Corporate"/>
    <n v="62"/>
    <x v="2"/>
    <n v="1556"/>
    <n v="0.52123076923076928"/>
  </r>
  <r>
    <s v="ORD-01912"/>
    <d v="2024-11-14T00:00:00"/>
    <s v="CUST-0208"/>
    <x v="6"/>
    <s v="R024"/>
    <n v="9"/>
    <n v="960"/>
    <n v="29"/>
    <n v="6134.4"/>
    <s v="Completed"/>
    <s v="Mumbai"/>
    <s v="Sports"/>
    <s v="Retail"/>
    <n v="49"/>
    <x v="2"/>
    <n v="705"/>
    <n v="0.265625"/>
  </r>
  <r>
    <s v="ORD-01913"/>
    <d v="2024-08-31T00:00:00"/>
    <s v="CUST-0181"/>
    <x v="33"/>
    <s v="R015"/>
    <n v="9"/>
    <n v="6080"/>
    <n v="21"/>
    <n v="43228.800000000003"/>
    <s v="Completed"/>
    <s v="Delhi"/>
    <s v="Beauty"/>
    <s v="SMB"/>
    <n v="38"/>
    <x v="1"/>
    <n v="2617"/>
    <n v="0.56957236842105263"/>
  </r>
  <r>
    <s v="ORD-01914"/>
    <d v="2024-03-15T00:00:00"/>
    <s v="CUST-0259"/>
    <x v="39"/>
    <s v="R020"/>
    <n v="6"/>
    <n v="4610"/>
    <n v="13.5"/>
    <n v="23925.9"/>
    <s v="Completed"/>
    <s v="Mumbai"/>
    <s v="Home"/>
    <s v="Retail"/>
    <n v="34"/>
    <x v="3"/>
    <n v="1850"/>
    <n v="0.59869848156182215"/>
  </r>
  <r>
    <s v="ORD-01915"/>
    <d v="2024-06-03T00:00:00"/>
    <s v="CUST-0277"/>
    <x v="54"/>
    <s v="R021"/>
    <n v="7"/>
    <n v="5080"/>
    <n v="25.4"/>
    <n v="26527.759999999998"/>
    <s v="Completed"/>
    <s v="Chennai"/>
    <s v="Home"/>
    <s v="Corporate"/>
    <n v="34"/>
    <x v="3"/>
    <n v="2459"/>
    <n v="0.51594488188976373"/>
  </r>
  <r>
    <s v="ORD-01916"/>
    <d v="2024-09-15T00:00:00"/>
    <s v="CUST-0173"/>
    <x v="22"/>
    <s v="R017"/>
    <n v="5"/>
    <n v="3350"/>
    <n v="2.2000000000000002"/>
    <n v="16381.5"/>
    <s v="Completed"/>
    <s v="Mumbai"/>
    <s v="Beauty"/>
    <s v="Retail"/>
    <n v="65"/>
    <x v="3"/>
    <n v="1728"/>
    <n v="0.48417910447761192"/>
  </r>
  <r>
    <s v="ORD-01917"/>
    <d v="2024-11-04T00:00:00"/>
    <s v="CUST-0091"/>
    <x v="31"/>
    <s v="R014"/>
    <n v="1"/>
    <n v="3780"/>
    <n v="13.7"/>
    <n v="3262.14"/>
    <s v="Completed"/>
    <s v="Delhi"/>
    <s v="Grocery"/>
    <s v="Retail"/>
    <n v="55"/>
    <x v="1"/>
    <n v="2436"/>
    <n v="0.35555555555555557"/>
  </r>
  <r>
    <s v="ORD-01918"/>
    <d v="2024-03-01T00:00:00"/>
    <s v="CUST-0142"/>
    <x v="24"/>
    <s v="R020"/>
    <n v="4"/>
    <n v="4880"/>
    <n v="11.6"/>
    <n v="17255.68"/>
    <s v="Completed"/>
    <s v="Chennai"/>
    <s v="Beauty"/>
    <s v="Corporate"/>
    <n v="55"/>
    <x v="3"/>
    <n v="2768"/>
    <n v="0.43278688524590164"/>
  </r>
  <r>
    <s v="ORD-01919"/>
    <d v="2024-04-03T00:00:00"/>
    <s v="CUST-0011"/>
    <x v="26"/>
    <s v="R029"/>
    <n v="3"/>
    <n v="5100"/>
    <n v="24.2"/>
    <n v="11597.4"/>
    <s v="Completed"/>
    <s v=" Chennai "/>
    <s v="Beauty"/>
    <s v="Corporate"/>
    <n v="41"/>
    <x v="2"/>
    <n v="2237"/>
    <n v="0.56137254901960787"/>
  </r>
  <r>
    <s v="ORD-01920"/>
    <d v="2024-12-08T00:00:00"/>
    <s v="CUST-0074"/>
    <x v="41"/>
    <s v="R023"/>
    <n v="5"/>
    <n v="2660"/>
    <n v="4.7"/>
    <n v="12674.9"/>
    <s v="Completed"/>
    <s v="Bengaluru"/>
    <s v="Electronics"/>
    <s v="Retail"/>
    <n v="27"/>
    <x v="3"/>
    <n v="1259"/>
    <n v="0.52669172932330832"/>
  </r>
  <r>
    <s v="ORD-01921"/>
    <d v="2024-06-01T00:00:00"/>
    <s v="CUST-0131"/>
    <x v="50"/>
    <s v="R017"/>
    <n v="10"/>
    <n v="2380"/>
    <n v="1"/>
    <n v="23562"/>
    <s v="Completed"/>
    <s v="Delhi"/>
    <s v="Grocery"/>
    <s v="SMB"/>
    <n v="28"/>
    <x v="3"/>
    <n v="1182"/>
    <n v="0.50336134453781511"/>
  </r>
  <r>
    <s v="ORD-01922"/>
    <d v="2024-09-18T00:00:00"/>
    <s v="CUST-0093"/>
    <x v="24"/>
    <s v="R002"/>
    <n v="9"/>
    <n v="4880"/>
    <n v="7.2"/>
    <n v="40757.760000000002"/>
    <s v="Completed"/>
    <s v="Pune"/>
    <s v="Beauty"/>
    <s v="Retail"/>
    <n v="36"/>
    <x v="0"/>
    <n v="2768"/>
    <n v="0.43278688524590164"/>
  </r>
  <r>
    <s v="ORD-01923"/>
    <d v="2024-04-29T00:00:00"/>
    <s v="CUST-0229"/>
    <x v="30"/>
    <s v="R014"/>
    <n v="1"/>
    <n v="3730"/>
    <n v="15.3"/>
    <n v="3159.31"/>
    <s v="Completed"/>
    <s v="Hyderabad"/>
    <s v="Home"/>
    <s v="SMB"/>
    <n v="25"/>
    <x v="1"/>
    <n v="2135"/>
    <n v="0.42761394101876676"/>
  </r>
  <r>
    <s v="ORD-01924"/>
    <d v="2024-05-30T00:00:00"/>
    <s v="CUST-0293"/>
    <x v="56"/>
    <s v="R003"/>
    <n v="10"/>
    <n v="3780"/>
    <n v="2.7"/>
    <n v="36779.4"/>
    <s v="Completed"/>
    <s v="Bengaluru"/>
    <s v="Sports"/>
    <s v="Retail"/>
    <n v="27"/>
    <x v="0"/>
    <n v="1860"/>
    <n v="0.50793650793650791"/>
  </r>
  <r>
    <s v="ORD-01925"/>
    <d v="2024-03-30T00:00:00"/>
    <s v="CUST-0105"/>
    <x v="0"/>
    <s v="R023"/>
    <n v="2"/>
    <n v="3620"/>
    <n v="23"/>
    <n v="5574.8"/>
    <s v="Completed"/>
    <s v="Chennai"/>
    <s v="Apparel"/>
    <s v="SMB"/>
    <n v="51"/>
    <x v="3"/>
    <n v="2509"/>
    <n v="0.3069060773480663"/>
  </r>
  <r>
    <s v="ORD-01926"/>
    <d v="2024-09-01T00:00:00"/>
    <s v="CUST-0003"/>
    <x v="54"/>
    <s v="R021"/>
    <n v="9"/>
    <n v="5080"/>
    <n v="19.899999999999999"/>
    <n v="36621.72"/>
    <s v="Completed"/>
    <s v="Mumbai"/>
    <s v="Home"/>
    <s v="Retail"/>
    <n v="33"/>
    <x v="3"/>
    <n v="2459"/>
    <n v="0.51594488188976373"/>
  </r>
  <r>
    <s v="ORD-01927"/>
    <d v="2024-09-26T00:00:00"/>
    <s v="CUST-0092"/>
    <x v="59"/>
    <s v="R024"/>
    <n v="2"/>
    <n v="3560"/>
    <n v="5.5"/>
    <n v="6728.4"/>
    <s v="Completed"/>
    <s v="Bengaluru"/>
    <s v="Apparel"/>
    <s v="SMB"/>
    <n v="28"/>
    <x v="2"/>
    <n v="2629"/>
    <n v="0.26151685393258428"/>
  </r>
  <r>
    <s v="ORD-01928"/>
    <d v="2024-02-27T00:00:00"/>
    <s v="CUST-0050"/>
    <x v="9"/>
    <s v="R001"/>
    <n v="6"/>
    <n v="970"/>
    <n v="22.5"/>
    <n v="4510.5"/>
    <s v="Refunded"/>
    <s v="Mumbai"/>
    <s v="Grocery"/>
    <s v="Retail"/>
    <n v="37"/>
    <x v="0"/>
    <n v="434"/>
    <n v="0.5525773195876289"/>
  </r>
  <r>
    <s v="ORD-01929"/>
    <d v="2024-12-24T00:00:00"/>
    <s v="CUST-0237"/>
    <x v="22"/>
    <s v="R014"/>
    <n v="9"/>
    <n v="3350"/>
    <n v="5.0999999999999996"/>
    <n v="28612.35"/>
    <s v="Completed"/>
    <s v="Mumbai"/>
    <s v="Beauty"/>
    <s v="Retail"/>
    <n v="49"/>
    <x v="1"/>
    <n v="1728"/>
    <n v="0.48417910447761192"/>
  </r>
  <r>
    <s v="ORD-01930"/>
    <d v="2024-08-21T00:00:00"/>
    <s v="CUST-9905"/>
    <x v="5"/>
    <s v="R011"/>
    <n v="6"/>
    <n v="370"/>
    <n v="17.8"/>
    <n v="1824.84"/>
    <s v="Completed"/>
    <s v="Mumbai"/>
    <s v="Home"/>
    <s v=""/>
    <s v=""/>
    <x v="1"/>
    <n v="288"/>
    <n v="0.22162162162162163"/>
  </r>
  <r>
    <s v="ORD-01931"/>
    <d v="2024-03-14T00:00:00"/>
    <s v="CUST-0175"/>
    <x v="10"/>
    <s v="R011"/>
    <n v="3"/>
    <n v="2270"/>
    <n v="8.4"/>
    <n v="6237.96"/>
    <s v="Pending"/>
    <s v="Delhi"/>
    <s v="Grocery"/>
    <s v="Corporate"/>
    <n v="55"/>
    <x v="1"/>
    <n v="1203"/>
    <n v="0.47004405286343615"/>
  </r>
  <r>
    <s v="ORD-01932"/>
    <d v="2024-06-21T00:00:00"/>
    <s v="CUST-0271"/>
    <x v="17"/>
    <s v="R021"/>
    <n v="3"/>
    <n v="3450"/>
    <n v="7.2"/>
    <n v="9604.7999999999993"/>
    <s v="Completed"/>
    <s v="Bengaluru"/>
    <s v="Sports"/>
    <s v="Corporate"/>
    <n v="41"/>
    <x v="3"/>
    <n v="2467"/>
    <n v="0.28492753623188405"/>
  </r>
  <r>
    <s v="ORD-01933"/>
    <d v="2024-12-07T00:00:00"/>
    <s v="CUST-0129"/>
    <x v="23"/>
    <s v="R008"/>
    <n v="9"/>
    <n v="1010"/>
    <n v="17.8"/>
    <n v="7471.98"/>
    <s v="Completed"/>
    <s v="Hyderabad"/>
    <s v="Sports"/>
    <s v="Retail"/>
    <n v="29"/>
    <x v="0"/>
    <n v="516"/>
    <n v="0.4891089108910891"/>
  </r>
  <r>
    <s v="ORD-01934"/>
    <d v="2024-03-22T00:00:00"/>
    <s v="CUST-0156"/>
    <x v="39"/>
    <s v="R003"/>
    <n v="5"/>
    <n v="4610"/>
    <n v="29.8"/>
    <n v="16181.1"/>
    <s v="Cancelled"/>
    <s v="Mumbai"/>
    <s v="Home"/>
    <s v="Retail"/>
    <n v="33"/>
    <x v="0"/>
    <n v="1850"/>
    <n v="0.59869848156182215"/>
  </r>
  <r>
    <s v="ORD-01935"/>
    <d v="2024-07-24T00:00:00"/>
    <s v="CUST-0048"/>
    <x v="5"/>
    <s v="R003"/>
    <n v="6"/>
    <n v="370"/>
    <n v="17.899999999999999"/>
    <n v="1822.62"/>
    <s v="Completed"/>
    <s v="Delhi"/>
    <s v="Home"/>
    <s v="Retail"/>
    <n v="59"/>
    <x v="0"/>
    <n v="288"/>
    <n v="0.22162162162162163"/>
  </r>
  <r>
    <s v="ORD-01936"/>
    <d v="2024-03-01T00:00:00"/>
    <s v="CUST-0224"/>
    <x v="50"/>
    <s v="R026"/>
    <n v="6"/>
    <n v="2380"/>
    <n v="13.6"/>
    <n v="12337.92"/>
    <s v="Cancelled"/>
    <s v="Chennai"/>
    <s v="Grocery"/>
    <s v="Corporate"/>
    <n v="24"/>
    <x v="2"/>
    <n v="1182"/>
    <n v="0.50336134453781511"/>
  </r>
  <r>
    <s v="ORD-01937"/>
    <d v="2024-03-28T00:00:00"/>
    <s v="CUST-0101"/>
    <x v="51"/>
    <s v="R023"/>
    <n v="6"/>
    <n v="960"/>
    <n v="15"/>
    <n v="4896"/>
    <s v="Pending"/>
    <s v="Hyderabad"/>
    <s v="Beauty"/>
    <s v="SMB"/>
    <n v="40"/>
    <x v="3"/>
    <n v="675"/>
    <n v="0.296875"/>
  </r>
  <r>
    <s v="ORD-01938"/>
    <d v="2024-05-10T00:00:00"/>
    <s v="CUST-0269"/>
    <x v="6"/>
    <s v="R002"/>
    <n v="3"/>
    <n v="960"/>
    <n v="12.3"/>
    <n v="2525.7600000000002"/>
    <s v="Completed"/>
    <s v="Pune"/>
    <s v="Sports"/>
    <s v="Retail"/>
    <n v="48"/>
    <x v="0"/>
    <n v="705"/>
    <n v="0.265625"/>
  </r>
  <r>
    <s v="ORD-01939"/>
    <d v="2024-05-01T00:00:00"/>
    <s v="CUST-0097"/>
    <x v="43"/>
    <s v="R029"/>
    <n v="7"/>
    <n v="620"/>
    <n v="5.8"/>
    <n v="4088.28"/>
    <s v="Completed"/>
    <s v="Mumbai"/>
    <s v="Apparel"/>
    <s v="Retail"/>
    <n v="65"/>
    <x v="2"/>
    <n v="396"/>
    <n v="0.36129032258064514"/>
  </r>
  <r>
    <s v="ORD-01940"/>
    <d v="2024-06-24T00:00:00"/>
    <s v="CUST-0062"/>
    <x v="6"/>
    <s v="R020"/>
    <n v="1"/>
    <n v="960"/>
    <n v="4.5999999999999996"/>
    <n v="915.84"/>
    <s v="Completed"/>
    <s v="Pune"/>
    <s v="Sports"/>
    <s v="Retail"/>
    <n v="54"/>
    <x v="3"/>
    <n v="705"/>
    <n v="0.265625"/>
  </r>
  <r>
    <s v="ORD-01941"/>
    <d v="2024-08-16T00:00:00"/>
    <s v="CUST-0124"/>
    <x v="16"/>
    <s v="R028"/>
    <n v="4"/>
    <n v="3450"/>
    <n v="13.3"/>
    <n v="11964.6"/>
    <s v="Completed"/>
    <s v="Pune"/>
    <s v="Beauty"/>
    <s v="Retail"/>
    <n v="57"/>
    <x v="2"/>
    <n v="2420"/>
    <n v="0.29855072463768118"/>
  </r>
  <r>
    <s v="ORD-01942"/>
    <d v="2024-11-30T00:00:00"/>
    <s v="CUST-0185"/>
    <x v="20"/>
    <s v="R019"/>
    <n v="10"/>
    <n v="2720"/>
    <n v="3.4"/>
    <n v="26275.200000000001"/>
    <s v="Completed"/>
    <s v="Hyderabad"/>
    <s v="Apparel"/>
    <s v="SMB"/>
    <n v="43"/>
    <x v="3"/>
    <n v="1962"/>
    <n v="0.2786764705882353"/>
  </r>
  <r>
    <s v="ORD-01943"/>
    <d v="2024-06-09T00:00:00"/>
    <s v="CUST-0115"/>
    <x v="16"/>
    <s v="R019"/>
    <n v="1"/>
    <n v="3450"/>
    <n v="29.4"/>
    <n v="2435.6999999999998"/>
    <s v="Completed"/>
    <s v="Mumbai"/>
    <s v="Beauty"/>
    <s v="SMB"/>
    <n v="65"/>
    <x v="3"/>
    <n v="2420"/>
    <n v="0.29855072463768118"/>
  </r>
  <r>
    <s v="ORD-01944"/>
    <d v="2024-08-25T00:00:00"/>
    <s v="CUST-0097"/>
    <x v="21"/>
    <s v="R024"/>
    <n v="5"/>
    <n v="1650"/>
    <n v="29.4"/>
    <n v="5824.5"/>
    <s v="Completed"/>
    <s v="Mumbai"/>
    <s v="Beauty"/>
    <s v="Retail"/>
    <n v="65"/>
    <x v="2"/>
    <n v="1222"/>
    <n v="0.2593939393939394"/>
  </r>
  <r>
    <s v="ORD-01945"/>
    <d v="2024-12-13T00:00:00"/>
    <s v="CUST-0221"/>
    <x v="0"/>
    <s v="R009"/>
    <n v="2"/>
    <n v="3620"/>
    <n v="15.6"/>
    <n v="6110.56"/>
    <s v="Completed"/>
    <s v="Delhi"/>
    <s v="Apparel"/>
    <s v="SMB"/>
    <n v="29"/>
    <x v="1"/>
    <n v="2509"/>
    <n v="0.3069060773480663"/>
  </r>
  <r>
    <s v="ORD-01946"/>
    <d v="2024-10-27T00:00:00"/>
    <s v="CUST-0098"/>
    <x v="42"/>
    <s v="R012"/>
    <n v="3"/>
    <n v="300"/>
    <n v="24.8"/>
    <n v="676.8"/>
    <s v="Completed"/>
    <s v="Delhi"/>
    <s v="Electronics"/>
    <s v="Retail"/>
    <n v="52"/>
    <x v="1"/>
    <n v="128"/>
    <n v="0.57333333333333336"/>
  </r>
  <r>
    <s v="ORD-01947"/>
    <d v="2024-02-16T00:00:00"/>
    <s v="CUST-0203"/>
    <x v="36"/>
    <s v="R001"/>
    <n v="3"/>
    <n v="1540"/>
    <n v="29.5"/>
    <n v="3257.1"/>
    <s v="Completed"/>
    <s v="Chennai"/>
    <s v="Beauty"/>
    <s v="SMB"/>
    <n v="55"/>
    <x v="0"/>
    <n v="647"/>
    <n v="0.57987012987012987"/>
  </r>
  <r>
    <s v="ORD-01948"/>
    <d v="2024-09-16T00:00:00"/>
    <s v="CUST-0074"/>
    <x v="10"/>
    <s v="R019"/>
    <n v="10"/>
    <n v="2270"/>
    <n v="5.5"/>
    <n v="21451.5"/>
    <s v="Cancelled"/>
    <s v="Bengaluru"/>
    <s v="Grocery"/>
    <s v="Retail"/>
    <n v="27"/>
    <x v="3"/>
    <n v="1203"/>
    <n v="0.47004405286343615"/>
  </r>
  <r>
    <s v="ORD-01949"/>
    <d v="2024-02-28T00:00:00"/>
    <s v="CUST-0217"/>
    <x v="11"/>
    <s v="R008"/>
    <n v="3"/>
    <n v="2640"/>
    <n v="28.2"/>
    <n v="5686.56"/>
    <s v="Refunded"/>
    <s v="Pune"/>
    <s v="Electronics"/>
    <s v="SMB"/>
    <n v="59"/>
    <x v="0"/>
    <n v="1149"/>
    <n v="0.56477272727272732"/>
  </r>
  <r>
    <s v="ORD-01950"/>
    <d v="2024-08-03T00:00:00"/>
    <s v="CUST-0021"/>
    <x v="11"/>
    <s v="R015"/>
    <n v="10"/>
    <n v="2640"/>
    <n v="25.9"/>
    <n v="19562.400000000001"/>
    <s v="Completed"/>
    <s v="Pune"/>
    <s v="Electronics"/>
    <s v="Retail"/>
    <n v="44"/>
    <x v="1"/>
    <n v="1149"/>
    <n v="0.56477272727272732"/>
  </r>
  <r>
    <s v="ORD-01951"/>
    <d v="2024-09-03T00:00:00"/>
    <s v="CUST-0004"/>
    <x v="7"/>
    <s v="R030"/>
    <n v="2"/>
    <n v="1430"/>
    <n v="5"/>
    <n v="2717"/>
    <s v="Cancelled"/>
    <s v="Delhi"/>
    <s v="Electronics"/>
    <s v="Retail"/>
    <n v="53"/>
    <x v="2"/>
    <n v="861"/>
    <n v="0.39790209790209791"/>
  </r>
  <r>
    <s v="ORD-01952"/>
    <d v="2024-11-22T00:00:00"/>
    <s v="CUST-0080"/>
    <x v="25"/>
    <s v="R020"/>
    <n v="6"/>
    <n v="3570"/>
    <n v="28.5"/>
    <n v="15315.3"/>
    <s v="Cancelled"/>
    <s v="Pune"/>
    <s v="Electronics"/>
    <s v="SMB"/>
    <n v="30"/>
    <x v="3"/>
    <n v="1665"/>
    <n v="0.53361344537815125"/>
  </r>
  <r>
    <s v="ORD-01953"/>
    <d v="2024-06-01T00:00:00"/>
    <s v="CUST-0113"/>
    <x v="25"/>
    <s v="R024"/>
    <n v="1"/>
    <n v="3570"/>
    <n v="7.7"/>
    <n v="3295.11"/>
    <s v="Completed"/>
    <s v="Delhi"/>
    <s v="Electronics"/>
    <s v="Retail"/>
    <n v="30"/>
    <x v="2"/>
    <n v="1665"/>
    <n v="0.53361344537815125"/>
  </r>
  <r>
    <s v="ORD-01954"/>
    <d v="2024-03-26T00:00:00"/>
    <s v="CUST-0023"/>
    <x v="35"/>
    <s v="R030"/>
    <n v="9"/>
    <n v="3870"/>
    <n v="11.9"/>
    <n v="30685.23"/>
    <s v="Cancelled"/>
    <s v="Chennai"/>
    <s v="Electronics"/>
    <s v="SMB"/>
    <n v="43"/>
    <x v="2"/>
    <n v="1559"/>
    <n v="0.59715762273901807"/>
  </r>
  <r>
    <s v="ORD-01955"/>
    <d v="2024-08-11T00:00:00"/>
    <s v="CUST-0136"/>
    <x v="58"/>
    <s v="R014"/>
    <n v="5"/>
    <n v="6940"/>
    <n v="17.399999999999999"/>
    <n v="28662.2"/>
    <s v="Completed"/>
    <s v="Chennai"/>
    <s v="Sports"/>
    <s v="SMB"/>
    <n v="26"/>
    <x v="1"/>
    <n v="2827"/>
    <n v="0.5926512968299712"/>
  </r>
  <r>
    <s v="ORD-01956"/>
    <d v="2024-01-21T00:00:00"/>
    <s v="CUST-0031"/>
    <x v="5"/>
    <s v="R026"/>
    <n v="6"/>
    <n v="370"/>
    <n v="8.1"/>
    <n v="2040.18"/>
    <s v="Cancelled"/>
    <s v="Hyderabad"/>
    <s v="Home"/>
    <s v="Retail"/>
    <n v="53"/>
    <x v="2"/>
    <n v="288"/>
    <n v="0.22162162162162163"/>
  </r>
  <r>
    <s v="ORD-01957"/>
    <d v="2024-09-14T00:00:00"/>
    <s v="CUST-0175"/>
    <x v="59"/>
    <s v="R027"/>
    <n v="8"/>
    <n v="3560"/>
    <n v="23.3"/>
    <n v="21844.16"/>
    <s v="Completed"/>
    <s v="Delhi"/>
    <s v="Apparel"/>
    <s v="Corporate"/>
    <n v="55"/>
    <x v="2"/>
    <n v="2629"/>
    <n v="0.26151685393258428"/>
  </r>
  <r>
    <s v="ORD-01958"/>
    <d v="2024-12-07T00:00:00"/>
    <s v="CUST-0249"/>
    <x v="38"/>
    <s v="R028"/>
    <n v="4"/>
    <n v="1220"/>
    <n v="2.7"/>
    <n v="4748.24"/>
    <s v="Completed"/>
    <s v="Mumbai"/>
    <s v="Electronics"/>
    <s v="Retail"/>
    <n v="44"/>
    <x v="2"/>
    <n v="517"/>
    <n v="0.57622950819672136"/>
  </r>
  <r>
    <s v="ORD-01959"/>
    <d v="2024-11-02T00:00:00"/>
    <s v="CUST-0138"/>
    <x v="37"/>
    <s v="R020"/>
    <n v="10"/>
    <n v="4070"/>
    <n v="11.6"/>
    <n v="35978.800000000003"/>
    <s v="Completed"/>
    <s v="Chennai"/>
    <s v="Grocery"/>
    <s v="Retail"/>
    <n v="24"/>
    <x v="3"/>
    <n v="2027"/>
    <n v="0.50196560196560192"/>
  </r>
  <r>
    <s v="ORD-01960"/>
    <d v="2024-02-14T00:00:00"/>
    <s v="CUST-0290"/>
    <x v="3"/>
    <s v="R019"/>
    <n v="10"/>
    <n v="3660"/>
    <n v="28.8"/>
    <n v="26059.200000000001"/>
    <s v="Completed"/>
    <s v="Delhi"/>
    <s v="Grocery"/>
    <s v="Retail"/>
    <n v="63"/>
    <x v="3"/>
    <n v="2214"/>
    <n v="0.39508196721311473"/>
  </r>
  <r>
    <s v="ORD-01961"/>
    <d v="2024-06-06T00:00:00"/>
    <s v="CUST-0151"/>
    <x v="54"/>
    <s v="R018"/>
    <n v="5"/>
    <n v="5080"/>
    <n v="12.1"/>
    <n v="22326.6"/>
    <s v="Completed"/>
    <s v="Mumbai"/>
    <s v="Home"/>
    <s v="Retail"/>
    <n v="53"/>
    <x v="3"/>
    <n v="2459"/>
    <n v="0.51594488188976373"/>
  </r>
  <r>
    <s v="ORD-01962"/>
    <d v="2024-02-16T00:00:00"/>
    <s v="CUST-0290"/>
    <x v="39"/>
    <s v="R013"/>
    <n v="10"/>
    <n v="4610"/>
    <n v="22.5"/>
    <n v="35727.5"/>
    <s v="Completed"/>
    <s v="Delhi"/>
    <s v="Home"/>
    <s v="Retail"/>
    <n v="63"/>
    <x v="1"/>
    <n v="1850"/>
    <n v="0.59869848156182215"/>
  </r>
  <r>
    <s v="ORD-01963"/>
    <d v="2024-01-26T00:00:00"/>
    <s v="CUST-0074"/>
    <x v="41"/>
    <s v="R007"/>
    <n v="3"/>
    <n v="2660"/>
    <n v="15"/>
    <n v="6783"/>
    <s v="Completed"/>
    <s v="Bengaluru"/>
    <s v="Electronics"/>
    <s v="Retail"/>
    <n v="27"/>
    <x v="0"/>
    <n v="1259"/>
    <n v="0.52669172932330832"/>
  </r>
  <r>
    <s v="ORD-01964"/>
    <d v="2024-04-02T00:00:00"/>
    <s v="CUST-0295"/>
    <x v="4"/>
    <s v="R006"/>
    <n v="5"/>
    <n v="3160"/>
    <n v="1.3"/>
    <n v="15594.6"/>
    <s v="Completed"/>
    <s v="Delhi"/>
    <s v="Apparel"/>
    <s v="SMB"/>
    <n v="48"/>
    <x v="0"/>
    <n v="1886"/>
    <n v="0.4031645569620253"/>
  </r>
  <r>
    <s v="ORD-01965"/>
    <d v="2024-02-03T00:00:00"/>
    <s v="CUST-0132"/>
    <x v="5"/>
    <s v="R004"/>
    <n v="10"/>
    <n v="370"/>
    <n v="29"/>
    <n v="2627"/>
    <s v="Completed"/>
    <s v="Delhi"/>
    <s v="Home"/>
    <s v="Retail"/>
    <n v="41"/>
    <x v="0"/>
    <n v="288"/>
    <n v="0.22162162162162163"/>
  </r>
  <r>
    <s v="ORD-01966"/>
    <d v="2024-03-07T00:00:00"/>
    <s v="CUST-0289"/>
    <x v="23"/>
    <s v="R008"/>
    <n v="10"/>
    <n v="1010"/>
    <n v="14.1"/>
    <n v="8675.9"/>
    <s v="Refunded"/>
    <s v="Mumbai"/>
    <s v="Sports"/>
    <s v="Retail"/>
    <n v="54"/>
    <x v="0"/>
    <n v="516"/>
    <n v="0.4891089108910891"/>
  </r>
  <r>
    <s v="ORD-01967"/>
    <d v="2024-10-21T00:00:00"/>
    <s v="CUST-0139"/>
    <x v="59"/>
    <s v="R030"/>
    <n v="3"/>
    <n v="3560"/>
    <n v="23.6"/>
    <n v="8159.52"/>
    <s v="Completed"/>
    <s v="Hyderabad"/>
    <s v="Apparel"/>
    <s v="SMB"/>
    <n v="65"/>
    <x v="2"/>
    <n v="2629"/>
    <n v="0.26151685393258428"/>
  </r>
  <r>
    <s v="ORD-01968"/>
    <d v="2024-02-18T00:00:00"/>
    <s v="CUST-0032"/>
    <x v="38"/>
    <s v="R028"/>
    <n v="9"/>
    <n v="1220"/>
    <n v="16.600000000000001"/>
    <n v="9157.32"/>
    <s v="Completed"/>
    <s v="Hyderabad"/>
    <s v="Electronics"/>
    <s v="Retail"/>
    <n v="28"/>
    <x v="2"/>
    <n v="517"/>
    <n v="0.57622950819672136"/>
  </r>
  <r>
    <s v="ORD-01969"/>
    <d v="2024-02-21T00:00:00"/>
    <s v="CUST-0109"/>
    <x v="14"/>
    <s v="R008"/>
    <n v="8"/>
    <n v="190"/>
    <n v="22.3"/>
    <n v="1181.04"/>
    <s v="Completed"/>
    <s v="Pune"/>
    <s v="Sports"/>
    <s v="Retail"/>
    <n v="42"/>
    <x v="0"/>
    <n v="147"/>
    <n v="0.22631578947368422"/>
  </r>
  <r>
    <s v="ORD-01970"/>
    <d v="2024-06-25T00:00:00"/>
    <s v="CUST-0224"/>
    <x v="23"/>
    <s v="R002"/>
    <n v="2"/>
    <n v="1010"/>
    <n v="3.8"/>
    <n v="1943.24"/>
    <s v="Completed"/>
    <s v="Chennai"/>
    <s v="Sports"/>
    <s v="Corporate"/>
    <n v="24"/>
    <x v="0"/>
    <n v="516"/>
    <n v="0.4891089108910891"/>
  </r>
  <r>
    <s v="ORD-01971"/>
    <d v="2024-05-27T00:00:00"/>
    <s v="CUST-0038"/>
    <x v="12"/>
    <s v="R009"/>
    <n v="4"/>
    <n v="2600"/>
    <n v="29.1"/>
    <n v="7373.6"/>
    <s v="Completed"/>
    <s v="Mumbai"/>
    <s v="Electronics"/>
    <s v="Retail"/>
    <n v="57"/>
    <x v="1"/>
    <n v="1052"/>
    <n v="0.5953846153846154"/>
  </r>
  <r>
    <s v="ORD-01972"/>
    <d v="2024-08-13T00:00:00"/>
    <s v="CUST-0132"/>
    <x v="55"/>
    <s v="R029"/>
    <n v="7"/>
    <n v="3450"/>
    <n v="4"/>
    <n v="23184"/>
    <s v="Completed"/>
    <s v="Delhi"/>
    <s v="Apparel"/>
    <s v="Retail"/>
    <n v="41"/>
    <x v="2"/>
    <n v="1748"/>
    <n v="0.49333333333333335"/>
  </r>
  <r>
    <s v="ORD-01973"/>
    <d v="2024-01-20T00:00:00"/>
    <s v="CUST-0226"/>
    <x v="47"/>
    <s v="R019"/>
    <n v="6"/>
    <n v="2510"/>
    <n v="12.7"/>
    <n v="13147.38"/>
    <s v="Completed"/>
    <s v="Chennai"/>
    <s v="Apparel"/>
    <s v="Corporate"/>
    <n v="52"/>
    <x v="3"/>
    <n v="1075"/>
    <n v="0.57171314741035861"/>
  </r>
  <r>
    <s v="ORD-01974"/>
    <d v="2024-09-25T00:00:00"/>
    <s v="CUST-0275"/>
    <x v="14"/>
    <s v="R027"/>
    <n v="6"/>
    <n v="190"/>
    <n v="20"/>
    <n v="912"/>
    <s v="Cancelled"/>
    <s v="Mumbai"/>
    <s v="Sports"/>
    <s v="Retail"/>
    <n v="36"/>
    <x v="2"/>
    <n v="147"/>
    <n v="0.22631578947368422"/>
  </r>
  <r>
    <s v="ORD-01975"/>
    <d v="2024-08-25T00:00:00"/>
    <s v="CUST-0109"/>
    <x v="21"/>
    <s v="R029"/>
    <n v="10"/>
    <n v="1650"/>
    <n v="21.5"/>
    <n v="12952.5"/>
    <s v="Completed"/>
    <s v="Pune"/>
    <s v="Beauty"/>
    <s v="Retail"/>
    <n v="42"/>
    <x v="2"/>
    <n v="1222"/>
    <n v="0.2593939393939394"/>
  </r>
  <r>
    <s v="ORD-01976"/>
    <d v="2024-02-22T00:00:00"/>
    <s v="CUST-0281"/>
    <x v="27"/>
    <s v="R009"/>
    <n v="4"/>
    <n v="2860"/>
    <n v="15.2"/>
    <n v="9701.1200000000008"/>
    <s v="Completed"/>
    <s v="Bengaluru"/>
    <s v="Sports"/>
    <s v="Corporate"/>
    <n v="57"/>
    <x v="1"/>
    <n v="2028"/>
    <n v="0.29090909090909089"/>
  </r>
  <r>
    <s v="ORD-01977"/>
    <d v="2024-10-24T00:00:00"/>
    <s v="CUST-0174"/>
    <x v="2"/>
    <s v="R028"/>
    <n v="3"/>
    <n v="470"/>
    <n v="14.2"/>
    <n v="1209.78"/>
    <s v="Completed"/>
    <s v="Pune"/>
    <s v="Sports"/>
    <s v="Retail"/>
    <n v="54"/>
    <x v="2"/>
    <n v="302"/>
    <n v="0.35744680851063831"/>
  </r>
  <r>
    <s v="ORD-01978"/>
    <d v="2024-06-26T00:00:00"/>
    <s v="CUST-0103"/>
    <x v="27"/>
    <s v="R030"/>
    <n v="2"/>
    <n v="2860"/>
    <n v="17.899999999999999"/>
    <n v="4696.12"/>
    <s v="Completed"/>
    <s v="Hyderabad"/>
    <s v="Sports"/>
    <s v="Corporate"/>
    <n v="54"/>
    <x v="2"/>
    <n v="2028"/>
    <n v="0.29090909090909089"/>
  </r>
  <r>
    <s v="ORD-01979"/>
    <d v="2024-04-25T00:00:00"/>
    <s v="CUST-0076"/>
    <x v="19"/>
    <s v="R018"/>
    <n v="2"/>
    <n v="2480"/>
    <n v="11.5"/>
    <n v="4389.6000000000004"/>
    <s v="Cancelled"/>
    <s v="Mumbai"/>
    <s v="Apparel"/>
    <s v="Retail"/>
    <n v="38"/>
    <x v="3"/>
    <n v="1173"/>
    <n v="0.52701612903225803"/>
  </r>
  <r>
    <s v="ORD-01980"/>
    <d v="2024-12-09T00:00:00"/>
    <s v="CUST-0227"/>
    <x v="44"/>
    <s v="R006"/>
    <n v="10"/>
    <n v="2030"/>
    <n v="29.2"/>
    <n v="14372.4"/>
    <s v="Completed"/>
    <s v="Bengaluru"/>
    <s v="Home"/>
    <s v="SMB"/>
    <n v="44"/>
    <x v="0"/>
    <n v="1143"/>
    <n v="0.43694581280788175"/>
  </r>
  <r>
    <s v="ORD-01981"/>
    <d v="2024-07-16T00:00:00"/>
    <s v="CUST-0006"/>
    <x v="16"/>
    <s v="R012"/>
    <n v="6"/>
    <n v="3450"/>
    <n v="3.5"/>
    <n v="19975.5"/>
    <s v="Refunded"/>
    <s v="Pune"/>
    <s v="Beauty"/>
    <s v="SMB"/>
    <n v="44"/>
    <x v="1"/>
    <n v="2420"/>
    <n v="0.29855072463768118"/>
  </r>
  <r>
    <s v="ORD-01982"/>
    <d v="2024-03-05T00:00:00"/>
    <s v="CUST-0231"/>
    <x v="7"/>
    <s v="R011"/>
    <n v="10"/>
    <n v="1430"/>
    <n v="3.5"/>
    <n v="13799.5"/>
    <s v="Completed"/>
    <s v="Chennai"/>
    <s v="Electronics"/>
    <s v="Retail"/>
    <n v="61"/>
    <x v="1"/>
    <n v="861"/>
    <n v="0.39790209790209791"/>
  </r>
  <r>
    <s v="ORD-01983"/>
    <d v="2024-05-10T00:00:00"/>
    <s v="CUST-0085"/>
    <x v="1"/>
    <s v="R017"/>
    <n v="1"/>
    <n v="820"/>
    <n v="14.5"/>
    <n v="701.1"/>
    <s v="Cancelled"/>
    <s v="Chennai"/>
    <s v="Apparel"/>
    <s v="Retail"/>
    <n v="26"/>
    <x v="3"/>
    <n v="391"/>
    <n v="0.52317073170731709"/>
  </r>
  <r>
    <s v="ORD-01984"/>
    <d v="2024-02-11T00:00:00"/>
    <s v="CUST-0022"/>
    <x v="24"/>
    <s v="R023"/>
    <n v="5"/>
    <n v="4880"/>
    <n v="1.8"/>
    <n v="23960.799999999999"/>
    <s v="Completed"/>
    <s v="Bengaluru"/>
    <s v="Beauty"/>
    <s v="Corporate"/>
    <n v="55"/>
    <x v="3"/>
    <n v="2768"/>
    <n v="0.43278688524590164"/>
  </r>
  <r>
    <s v="ORD-01985"/>
    <d v="2024-04-03T00:00:00"/>
    <s v="CUST-0275"/>
    <x v="22"/>
    <s v="R016"/>
    <n v="8"/>
    <n v="3350"/>
    <n v="26.3"/>
    <n v="19751.599999999999"/>
    <s v="Cancelled"/>
    <s v="Mumbai"/>
    <s v="Beauty"/>
    <s v="Retail"/>
    <n v="36"/>
    <x v="1"/>
    <n v="1728"/>
    <n v="0.48417910447761192"/>
  </r>
  <r>
    <s v="ORD-01986"/>
    <d v="2024-01-07T00:00:00"/>
    <s v="CUST-0159"/>
    <x v="19"/>
    <s v="R022"/>
    <n v="9"/>
    <n v="2480"/>
    <n v="24.3"/>
    <n v="16896.240000000002"/>
    <s v="Completed"/>
    <s v="Hyderabad"/>
    <s v="Apparel"/>
    <s v="Retail"/>
    <n v="32"/>
    <x v="3"/>
    <n v="1173"/>
    <n v="0.52701612903225803"/>
  </r>
  <r>
    <s v="ORD-01987"/>
    <d v="2024-07-27T00:00:00"/>
    <s v="CUST-0152"/>
    <x v="39"/>
    <s v="R024"/>
    <n v="9"/>
    <n v="4610"/>
    <n v="10"/>
    <n v="37341"/>
    <s v="Completed"/>
    <s v="Bengaluru"/>
    <s v="Home"/>
    <s v="SMB"/>
    <n v="64"/>
    <x v="2"/>
    <n v="1850"/>
    <n v="0.59869848156182215"/>
  </r>
  <r>
    <s v="ORD-01988"/>
    <d v="2024-04-27T00:00:00"/>
    <s v="CUST-0289"/>
    <x v="31"/>
    <s v="R004"/>
    <n v="1"/>
    <n v="3780"/>
    <n v="2.2000000000000002"/>
    <n v="3696.84"/>
    <s v="Completed"/>
    <s v="Mumbai"/>
    <s v="Grocery"/>
    <s v="Retail"/>
    <n v="54"/>
    <x v="0"/>
    <n v="2436"/>
    <n v="0.35555555555555557"/>
  </r>
  <r>
    <s v="ORD-01989"/>
    <d v="2024-04-19T00:00:00"/>
    <s v="CUST-0004"/>
    <x v="40"/>
    <s v="R026"/>
    <n v="3"/>
    <n v="3020"/>
    <n v="21.4"/>
    <n v="7121.16"/>
    <s v="Cancelled"/>
    <s v="Delhi"/>
    <s v="Beauty"/>
    <s v="Retail"/>
    <n v="53"/>
    <x v="2"/>
    <n v="1626"/>
    <n v="0.46158940397350995"/>
  </r>
  <r>
    <s v="ORD-01990"/>
    <d v="2024-12-19T00:00:00"/>
    <s v="CUST-0159"/>
    <x v="57"/>
    <s v="R006"/>
    <n v="10"/>
    <n v="1090"/>
    <n v="29.2"/>
    <n v="7717.2"/>
    <s v="Cancelled"/>
    <s v="Hyderabad"/>
    <s v="Home"/>
    <s v="Retail"/>
    <n v="32"/>
    <x v="0"/>
    <n v="464"/>
    <n v="0.57431192660550456"/>
  </r>
  <r>
    <s v="ORD-01991"/>
    <d v="2024-11-20T00:00:00"/>
    <s v="CUST-0083"/>
    <x v="26"/>
    <s v="R013"/>
    <n v="5"/>
    <n v="5100"/>
    <n v="28.4"/>
    <n v="18258"/>
    <s v="Completed"/>
    <s v="Bengaluru"/>
    <s v="Beauty"/>
    <s v="Corporate"/>
    <n v="31"/>
    <x v="1"/>
    <n v="2237"/>
    <n v="0.56137254901960787"/>
  </r>
  <r>
    <s v="ORD-01992"/>
    <d v="2024-03-01T00:00:00"/>
    <s v="CUST-0242"/>
    <x v="24"/>
    <s v="R008"/>
    <n v="6"/>
    <n v="4880"/>
    <n v="16.8"/>
    <n v="24360.959999999999"/>
    <s v="Completed"/>
    <s v="Chennai"/>
    <s v="Beauty"/>
    <s v="SMB"/>
    <n v="59"/>
    <x v="0"/>
    <n v="2768"/>
    <n v="0.43278688524590164"/>
  </r>
  <r>
    <s v="ORD-01993"/>
    <d v="2024-06-08T00:00:00"/>
    <s v="CUST-0245"/>
    <x v="49"/>
    <s v="R027"/>
    <n v="1"/>
    <n v="5330"/>
    <n v="27.5"/>
    <n v="3864.25"/>
    <s v="Completed"/>
    <s v="Hyderabad"/>
    <s v="Electronics"/>
    <s v="Retail"/>
    <n v="65"/>
    <x v="2"/>
    <n v="2405"/>
    <n v="0.54878048780487809"/>
  </r>
  <r>
    <s v="ORD-01994"/>
    <d v="2024-07-04T00:00:00"/>
    <s v="CUST-0008"/>
    <x v="44"/>
    <s v="R029"/>
    <n v="7"/>
    <n v="2030"/>
    <n v="5.3"/>
    <n v="13456.87"/>
    <s v="Cancelled"/>
    <s v="Pune"/>
    <s v="Home"/>
    <s v="SMB"/>
    <n v="39"/>
    <x v="2"/>
    <n v="1143"/>
    <n v="0.43694581280788175"/>
  </r>
  <r>
    <s v="ORD-01995"/>
    <d v="2024-03-09T00:00:00"/>
    <s v="CUST-0260"/>
    <x v="22"/>
    <s v="R024"/>
    <n v="7"/>
    <n v="3350"/>
    <n v="0.4"/>
    <n v="23356.2"/>
    <s v="Completed"/>
    <s v="Bengaluru"/>
    <s v="Beauty"/>
    <s v="Retail"/>
    <n v="42"/>
    <x v="2"/>
    <n v="1728"/>
    <n v="0.48417910447761192"/>
  </r>
  <r>
    <s v="ORD-01996"/>
    <d v="2024-01-01T00:00:00"/>
    <s v="CUST-0265"/>
    <x v="30"/>
    <s v="R015"/>
    <n v="6"/>
    <n v="3730"/>
    <n v="13.8"/>
    <n v="19291.560000000001"/>
    <s v="Completed"/>
    <s v="Chennai"/>
    <s v="Home"/>
    <s v="Retail"/>
    <n v="49"/>
    <x v="1"/>
    <n v="2135"/>
    <n v="0.42761394101876676"/>
  </r>
  <r>
    <s v="ORD-01997"/>
    <d v="2024-10-20T00:00:00"/>
    <s v="CUST-0135"/>
    <x v="53"/>
    <s v="R017"/>
    <n v="6"/>
    <n v="3970"/>
    <n v="5.8"/>
    <n v="22438.44"/>
    <s v="Pending"/>
    <s v="Pune"/>
    <s v="Electronics"/>
    <s v="SMB"/>
    <n v="24"/>
    <x v="3"/>
    <n v="2865"/>
    <n v="0.27833753148614609"/>
  </r>
  <r>
    <s v="ORD-01998"/>
    <d v="2024-10-27T00:00:00"/>
    <s v="CUST-0030"/>
    <x v="45"/>
    <s v="R011"/>
    <n v="4"/>
    <n v="2210"/>
    <n v="18.2"/>
    <n v="7231.12"/>
    <s v="Pending"/>
    <s v="Bengaluru"/>
    <s v="Grocery"/>
    <s v="Corporate"/>
    <n v="43"/>
    <x v="1"/>
    <n v="1010"/>
    <n v="0.54298642533936647"/>
  </r>
  <r>
    <s v="ORD-01999"/>
    <d v="2024-03-19T00:00:00"/>
    <s v="CUST-0167"/>
    <x v="48"/>
    <s v="R008"/>
    <n v="6"/>
    <n v="5410"/>
    <n v="15.5"/>
    <n v="27428.7"/>
    <s v="Completed"/>
    <s v="Delhi"/>
    <s v="Sports"/>
    <s v="Retail"/>
    <n v="43"/>
    <x v="0"/>
    <n v="2265"/>
    <n v="0.58133086876155271"/>
  </r>
  <r>
    <s v="ORD-02000"/>
    <d v="2024-02-03T00:00:00"/>
    <s v="CUST-0238"/>
    <x v="54"/>
    <s v="R023"/>
    <n v="6"/>
    <n v="5080"/>
    <n v="28.1"/>
    <n v="21915.119999999999"/>
    <s v="Completed"/>
    <s v="Delhi"/>
    <s v="Home"/>
    <s v="Retail"/>
    <n v="49"/>
    <x v="3"/>
    <n v="2459"/>
    <n v="0.51594488188976373"/>
  </r>
  <r>
    <m/>
    <m/>
    <m/>
    <x v="60"/>
    <m/>
    <m/>
    <m/>
    <m/>
    <m/>
    <m/>
    <m/>
    <m/>
    <m/>
    <s v=""/>
    <x v="4"/>
    <s v=""/>
    <m/>
  </r>
  <r>
    <m/>
    <m/>
    <m/>
    <x v="60"/>
    <m/>
    <m/>
    <m/>
    <m/>
    <m/>
    <m/>
    <m/>
    <m/>
    <m/>
    <s v=""/>
    <x v="4"/>
    <s v=""/>
    <m/>
  </r>
  <r>
    <m/>
    <m/>
    <m/>
    <x v="60"/>
    <m/>
    <m/>
    <m/>
    <m/>
    <m/>
    <m/>
    <m/>
    <m/>
    <m/>
    <n v="0.4488087270396342"/>
    <x v="4"/>
    <s v=""/>
    <m/>
  </r>
  <r>
    <m/>
    <m/>
    <m/>
    <x v="60"/>
    <m/>
    <m/>
    <m/>
    <m/>
    <m/>
    <m/>
    <m/>
    <m/>
    <m/>
    <s v=""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  <r>
    <m/>
    <m/>
    <m/>
    <x v="60"/>
    <m/>
    <m/>
    <m/>
    <m/>
    <m/>
    <m/>
    <m/>
    <m/>
    <m/>
    <m/>
    <x v="4"/>
    <s v="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I10" firstHeaderRow="1" firstDataRow="2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Col" showAll="0">
      <items count="8">
        <item x="0"/>
        <item x="5"/>
        <item x="4"/>
        <item x="2"/>
        <item x="3"/>
        <item x="1"/>
        <item x="6"/>
        <item t="default"/>
      </items>
    </pivotField>
    <pivotField showAll="0"/>
    <pivotField showAll="0"/>
    <pivotField axis="axisRow" showAll="0">
      <items count="6">
        <item x="3"/>
        <item x="0"/>
        <item x="1"/>
        <item x="2"/>
        <item x="4"/>
        <item t="default"/>
      </items>
    </pivotField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final_amount" fld="8" baseField="1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G10" firstHeaderRow="1" firstDataRow="2" firstDataCol="1"/>
  <pivotFields count="15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axis="axisCol" showAll="0">
      <items count="32">
        <item x="19"/>
        <item x="25"/>
        <item x="11"/>
        <item x="10"/>
        <item x="1"/>
        <item x="3"/>
        <item x="0"/>
        <item x="4"/>
        <item x="18"/>
        <item x="9"/>
        <item x="23"/>
        <item x="27"/>
        <item x="22"/>
        <item x="2"/>
        <item x="15"/>
        <item x="29"/>
        <item x="21"/>
        <item x="26"/>
        <item x="7"/>
        <item x="16"/>
        <item x="13"/>
        <item x="24"/>
        <item x="12"/>
        <item x="6"/>
        <item x="5"/>
        <item x="17"/>
        <item x="28"/>
        <item x="8"/>
        <item x="20"/>
        <item x="14"/>
        <item x="3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4"/>
  </colFields>
  <col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colItems>
  <dataFields count="1">
    <dataField name="Sum of final_amount" fld="8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4" firstHeaderRow="1" firstDataRow="1" firstDataCol="1" rowPageCount="1" colPageCount="1"/>
  <pivotFields count="17">
    <pivotField showAll="0"/>
    <pivotField showAll="0"/>
    <pivotField showAll="0"/>
    <pivotField axis="axisRow" showAll="0" sortType="descending">
      <items count="62">
        <item x="49"/>
        <item x="12"/>
        <item x="25"/>
        <item x="35"/>
        <item x="42"/>
        <item x="53"/>
        <item x="7"/>
        <item x="41"/>
        <item x="38"/>
        <item x="11"/>
        <item x="55"/>
        <item x="4"/>
        <item x="32"/>
        <item x="0"/>
        <item x="20"/>
        <item x="43"/>
        <item x="47"/>
        <item x="59"/>
        <item x="19"/>
        <item x="1"/>
        <item x="28"/>
        <item x="34"/>
        <item x="50"/>
        <item x="10"/>
        <item x="46"/>
        <item x="37"/>
        <item x="31"/>
        <item x="3"/>
        <item x="45"/>
        <item x="9"/>
        <item x="30"/>
        <item x="5"/>
        <item x="44"/>
        <item x="54"/>
        <item x="57"/>
        <item x="13"/>
        <item x="29"/>
        <item x="8"/>
        <item x="39"/>
        <item x="18"/>
        <item x="36"/>
        <item x="52"/>
        <item x="22"/>
        <item x="21"/>
        <item x="40"/>
        <item x="24"/>
        <item x="16"/>
        <item x="26"/>
        <item x="51"/>
        <item x="33"/>
        <item x="17"/>
        <item x="48"/>
        <item x="2"/>
        <item x="23"/>
        <item x="27"/>
        <item x="58"/>
        <item x="6"/>
        <item x="15"/>
        <item x="56"/>
        <item x="14"/>
        <item x="6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showAll="0"/>
  </pivotFields>
  <rowFields count="1">
    <field x="3"/>
  </rowFields>
  <rowItems count="61">
    <i>
      <x v="55"/>
    </i>
    <i>
      <x v="2"/>
    </i>
    <i>
      <x v="47"/>
    </i>
    <i>
      <x v="33"/>
    </i>
    <i>
      <x v="3"/>
    </i>
    <i>
      <x v="24"/>
    </i>
    <i>
      <x v="25"/>
    </i>
    <i>
      <x v="38"/>
    </i>
    <i>
      <x v="46"/>
    </i>
    <i>
      <x/>
    </i>
    <i>
      <x v="58"/>
    </i>
    <i>
      <x v="10"/>
    </i>
    <i>
      <x v="41"/>
    </i>
    <i>
      <x v="32"/>
    </i>
    <i>
      <x v="49"/>
    </i>
    <i>
      <x v="11"/>
    </i>
    <i>
      <x v="37"/>
    </i>
    <i>
      <x v="28"/>
    </i>
    <i>
      <x v="27"/>
    </i>
    <i>
      <x v="54"/>
    </i>
    <i>
      <x v="50"/>
    </i>
    <i>
      <x v="14"/>
    </i>
    <i>
      <x v="1"/>
    </i>
    <i>
      <x v="18"/>
    </i>
    <i>
      <x v="42"/>
    </i>
    <i>
      <x v="44"/>
    </i>
    <i>
      <x v="30"/>
    </i>
    <i>
      <x v="5"/>
    </i>
    <i>
      <x v="17"/>
    </i>
    <i>
      <x v="45"/>
    </i>
    <i>
      <x v="13"/>
    </i>
    <i>
      <x v="20"/>
    </i>
    <i>
      <x v="35"/>
    </i>
    <i>
      <x v="12"/>
    </i>
    <i>
      <x v="16"/>
    </i>
    <i>
      <x v="22"/>
    </i>
    <i>
      <x v="40"/>
    </i>
    <i>
      <x v="23"/>
    </i>
    <i>
      <x v="51"/>
    </i>
    <i>
      <x v="57"/>
    </i>
    <i>
      <x v="43"/>
    </i>
    <i>
      <x v="9"/>
    </i>
    <i>
      <x v="21"/>
    </i>
    <i>
      <x v="8"/>
    </i>
    <i>
      <x v="48"/>
    </i>
    <i>
      <x v="39"/>
    </i>
    <i>
      <x v="26"/>
    </i>
    <i>
      <x v="6"/>
    </i>
    <i>
      <x v="29"/>
    </i>
    <i>
      <x v="56"/>
    </i>
    <i>
      <x v="34"/>
    </i>
    <i>
      <x v="52"/>
    </i>
    <i>
      <x v="31"/>
    </i>
    <i>
      <x v="53"/>
    </i>
    <i>
      <x v="36"/>
    </i>
    <i>
      <x v="15"/>
    </i>
    <i>
      <x v="19"/>
    </i>
    <i>
      <x v="59"/>
    </i>
    <i>
      <x v="7"/>
    </i>
    <i>
      <x v="4"/>
    </i>
    <i t="grand">
      <x/>
    </i>
  </rowItems>
  <colItems count="1">
    <i/>
  </colItems>
  <pageFields count="1">
    <pageField fld="14" item="3" hier="-1"/>
  </pageFields>
  <dataFields count="1">
    <dataField name="Sum of final_amount" fld="8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workbookViewId="0">
      <selection activeCell="A3" sqref="A3"/>
    </sheetView>
  </sheetViews>
  <sheetFormatPr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x14ac:dyDescent="0.4">
      <c r="A1" s="1" t="s">
        <v>3004</v>
      </c>
    </row>
    <row r="2" spans="1:8" ht="16.8" x14ac:dyDescent="0.3">
      <c r="A2" s="2" t="s">
        <v>3005</v>
      </c>
    </row>
    <row r="3" spans="1:8" x14ac:dyDescent="0.3">
      <c r="A3" s="3" t="s">
        <v>3006</v>
      </c>
    </row>
    <row r="5" spans="1:8" ht="15.6" x14ac:dyDescent="0.3">
      <c r="A5" s="41" t="s">
        <v>0</v>
      </c>
      <c r="B5" s="40"/>
      <c r="C5" s="40"/>
      <c r="D5" s="40"/>
      <c r="E5" s="40"/>
      <c r="F5" s="40"/>
    </row>
    <row r="6" spans="1:8" x14ac:dyDescent="0.3">
      <c r="A6" s="39" t="s">
        <v>1</v>
      </c>
      <c r="B6" s="40"/>
      <c r="C6" s="40"/>
      <c r="D6" s="40"/>
      <c r="E6" s="40"/>
      <c r="F6" s="40"/>
      <c r="G6" s="40"/>
      <c r="H6" s="40"/>
    </row>
    <row r="7" spans="1:8" x14ac:dyDescent="0.3">
      <c r="A7" s="39" t="s">
        <v>3007</v>
      </c>
      <c r="B7" s="40"/>
      <c r="C7" s="40"/>
      <c r="D7" s="40"/>
      <c r="E7" s="40"/>
      <c r="F7" s="40"/>
      <c r="G7" s="40"/>
      <c r="H7" s="40"/>
    </row>
    <row r="8" spans="1:8" x14ac:dyDescent="0.3">
      <c r="A8" s="39" t="s">
        <v>2</v>
      </c>
      <c r="B8" s="40"/>
      <c r="C8" s="40"/>
      <c r="D8" s="40"/>
      <c r="E8" s="40"/>
      <c r="F8" s="40"/>
      <c r="G8" s="40"/>
      <c r="H8" s="40"/>
    </row>
    <row r="9" spans="1:8" x14ac:dyDescent="0.3">
      <c r="A9" s="39"/>
      <c r="B9" s="40"/>
      <c r="C9" s="40"/>
      <c r="D9" s="40"/>
      <c r="E9" s="40"/>
      <c r="F9" s="40"/>
      <c r="G9" s="40"/>
      <c r="H9" s="40"/>
    </row>
    <row r="10" spans="1:8" x14ac:dyDescent="0.3">
      <c r="A10" s="39" t="s">
        <v>3</v>
      </c>
      <c r="B10" s="40"/>
      <c r="C10" s="40"/>
      <c r="D10" s="40"/>
      <c r="E10" s="40"/>
      <c r="F10" s="40"/>
      <c r="G10" s="40"/>
      <c r="H10" s="40"/>
    </row>
    <row r="11" spans="1:8" x14ac:dyDescent="0.3">
      <c r="A11" s="39" t="s">
        <v>3008</v>
      </c>
      <c r="B11" s="40"/>
      <c r="C11" s="40"/>
      <c r="D11" s="40"/>
      <c r="E11" s="40"/>
      <c r="F11" s="40"/>
      <c r="G11" s="40"/>
      <c r="H11" s="40"/>
    </row>
    <row r="12" spans="1:8" x14ac:dyDescent="0.3">
      <c r="A12" s="39" t="s">
        <v>4</v>
      </c>
      <c r="B12" s="40"/>
      <c r="C12" s="40"/>
      <c r="D12" s="40"/>
      <c r="E12" s="40"/>
      <c r="F12" s="40"/>
      <c r="G12" s="40"/>
      <c r="H12" s="40"/>
    </row>
    <row r="14" spans="1:8" ht="15.6" x14ac:dyDescent="0.3">
      <c r="A14" s="4" t="s">
        <v>5</v>
      </c>
    </row>
    <row r="15" spans="1:8" x14ac:dyDescent="0.3">
      <c r="A15" s="39" t="s">
        <v>6</v>
      </c>
      <c r="B15" s="40"/>
      <c r="C15" s="40"/>
      <c r="D15" s="40"/>
      <c r="E15" s="40"/>
      <c r="F15" s="40"/>
      <c r="G15" s="40"/>
      <c r="H15" s="40"/>
    </row>
    <row r="16" spans="1:8" x14ac:dyDescent="0.3">
      <c r="A16" s="39" t="s">
        <v>7</v>
      </c>
      <c r="B16" s="40"/>
      <c r="C16" s="40"/>
      <c r="D16" s="40"/>
      <c r="E16" s="40"/>
      <c r="F16" s="40"/>
      <c r="G16" s="40"/>
      <c r="H16" s="40"/>
    </row>
    <row r="17" spans="1:8" x14ac:dyDescent="0.3">
      <c r="A17" s="39" t="s">
        <v>8</v>
      </c>
      <c r="B17" s="40"/>
      <c r="C17" s="40"/>
      <c r="D17" s="40"/>
      <c r="E17" s="40"/>
      <c r="F17" s="40"/>
      <c r="G17" s="40"/>
      <c r="H17" s="40"/>
    </row>
    <row r="18" spans="1:8" x14ac:dyDescent="0.3">
      <c r="A18" s="39" t="s">
        <v>3009</v>
      </c>
      <c r="B18" s="40"/>
      <c r="C18" s="40"/>
      <c r="D18" s="40"/>
      <c r="E18" s="40"/>
      <c r="F18" s="40"/>
      <c r="G18" s="40"/>
      <c r="H18" s="40"/>
    </row>
    <row r="19" spans="1:8" x14ac:dyDescent="0.3">
      <c r="A19" s="39" t="s">
        <v>9</v>
      </c>
      <c r="B19" s="40"/>
      <c r="C19" s="40"/>
      <c r="D19" s="40"/>
      <c r="E19" s="40"/>
      <c r="F19" s="40"/>
      <c r="G19" s="40"/>
      <c r="H19" s="40"/>
    </row>
    <row r="20" spans="1:8" x14ac:dyDescent="0.3">
      <c r="A20" s="39" t="s">
        <v>3010</v>
      </c>
      <c r="B20" s="40"/>
      <c r="C20" s="40"/>
      <c r="D20" s="40"/>
      <c r="E20" s="40"/>
      <c r="F20" s="40"/>
      <c r="G20" s="40"/>
      <c r="H20" s="40"/>
    </row>
    <row r="22" spans="1:8" ht="15.6" x14ac:dyDescent="0.3">
      <c r="A22" s="4" t="s">
        <v>10</v>
      </c>
    </row>
    <row r="23" spans="1:8" x14ac:dyDescent="0.3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">
      <c r="A29" s="9"/>
      <c r="B29" s="10" t="s">
        <v>31</v>
      </c>
      <c r="C29" s="9" t="s">
        <v>32</v>
      </c>
      <c r="D29" s="9" t="s">
        <v>33</v>
      </c>
    </row>
    <row r="32" spans="1:8" ht="15.6" x14ac:dyDescent="0.3">
      <c r="A32" s="4" t="s">
        <v>34</v>
      </c>
    </row>
    <row r="33" spans="1:4" x14ac:dyDescent="0.3">
      <c r="A33" s="5" t="s">
        <v>14</v>
      </c>
      <c r="B33" s="5" t="s">
        <v>35</v>
      </c>
      <c r="C33" s="6" t="s">
        <v>36</v>
      </c>
    </row>
    <row r="34" spans="1:4" x14ac:dyDescent="0.3">
      <c r="A34" s="7" t="s">
        <v>37</v>
      </c>
      <c r="B34" s="7" t="s">
        <v>38</v>
      </c>
      <c r="C34" s="8" t="s">
        <v>3011</v>
      </c>
    </row>
    <row r="35" spans="1:4" x14ac:dyDescent="0.3">
      <c r="A35" s="7" t="s">
        <v>39</v>
      </c>
      <c r="B35" s="7" t="s">
        <v>40</v>
      </c>
      <c r="C35" s="8" t="s">
        <v>41</v>
      </c>
    </row>
    <row r="36" spans="1:4" x14ac:dyDescent="0.3">
      <c r="A36" s="7" t="s">
        <v>42</v>
      </c>
      <c r="B36" s="7" t="s">
        <v>43</v>
      </c>
      <c r="C36" s="8" t="s">
        <v>3012</v>
      </c>
    </row>
    <row r="37" spans="1:4" x14ac:dyDescent="0.3">
      <c r="A37" s="7" t="s">
        <v>44</v>
      </c>
      <c r="B37" s="7" t="s">
        <v>45</v>
      </c>
      <c r="C37" s="8" t="s">
        <v>3013</v>
      </c>
    </row>
    <row r="38" spans="1:4" x14ac:dyDescent="0.3">
      <c r="A38" s="7" t="s">
        <v>46</v>
      </c>
      <c r="B38" s="7" t="s">
        <v>47</v>
      </c>
      <c r="C38" s="8" t="s">
        <v>3014</v>
      </c>
    </row>
    <row r="41" spans="1:4" ht="15.6" x14ac:dyDescent="0.3">
      <c r="A41" s="4" t="s">
        <v>48</v>
      </c>
    </row>
    <row r="42" spans="1:4" x14ac:dyDescent="0.3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9.6" x14ac:dyDescent="0.3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6.4" x14ac:dyDescent="0.3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6.4" x14ac:dyDescent="0.3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6.4" x14ac:dyDescent="0.3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6.4" x14ac:dyDescent="0.3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0"/>
  <sheetViews>
    <sheetView workbookViewId="0">
      <selection activeCell="A11" sqref="A11"/>
    </sheetView>
  </sheetViews>
  <sheetFormatPr defaultRowHeight="14.4" x14ac:dyDescent="0.3"/>
  <cols>
    <col min="1" max="1" width="19" customWidth="1"/>
    <col min="2" max="2" width="15.5546875" bestFit="1" customWidth="1"/>
    <col min="3" max="3" width="11" customWidth="1"/>
    <col min="4" max="4" width="11" bestFit="1" customWidth="1"/>
    <col min="5" max="7" width="11" customWidth="1"/>
    <col min="8" max="8" width="7" customWidth="1"/>
    <col min="9" max="9" width="11" bestFit="1" customWidth="1"/>
  </cols>
  <sheetData>
    <row r="3" spans="1:9" x14ac:dyDescent="0.3">
      <c r="A3" s="35" t="s">
        <v>3036</v>
      </c>
      <c r="B3" s="35" t="s">
        <v>3035</v>
      </c>
    </row>
    <row r="4" spans="1:9" x14ac:dyDescent="0.3">
      <c r="A4" s="35" t="s">
        <v>3032</v>
      </c>
      <c r="B4" s="33" t="s">
        <v>2795</v>
      </c>
      <c r="C4" s="33" t="s">
        <v>2828</v>
      </c>
      <c r="D4" s="33" t="s">
        <v>2784</v>
      </c>
      <c r="E4" s="33" t="s">
        <v>2806</v>
      </c>
      <c r="F4" s="33" t="s">
        <v>2817</v>
      </c>
      <c r="G4" s="33" t="s">
        <v>2839</v>
      </c>
      <c r="H4" s="33" t="s">
        <v>3033</v>
      </c>
      <c r="I4" s="33" t="s">
        <v>3034</v>
      </c>
    </row>
    <row r="5" spans="1:9" x14ac:dyDescent="0.3">
      <c r="A5" s="36" t="s">
        <v>2871</v>
      </c>
      <c r="B5" s="37">
        <v>860762.22999999975</v>
      </c>
      <c r="C5" s="37">
        <v>1271152.7899999996</v>
      </c>
      <c r="D5" s="37">
        <v>1214881.92</v>
      </c>
      <c r="E5" s="37">
        <v>1168089.9100000004</v>
      </c>
      <c r="F5" s="37">
        <v>1124233.5400000003</v>
      </c>
      <c r="G5" s="37">
        <v>945710.07999999996</v>
      </c>
      <c r="H5" s="37"/>
      <c r="I5" s="37">
        <v>6584830.4699999997</v>
      </c>
    </row>
    <row r="6" spans="1:9" x14ac:dyDescent="0.3">
      <c r="A6" s="36" t="s">
        <v>2855</v>
      </c>
      <c r="B6" s="37">
        <v>979380.9700000002</v>
      </c>
      <c r="C6" s="37">
        <v>1556120.1900000002</v>
      </c>
      <c r="D6" s="37">
        <v>1450710.7499999998</v>
      </c>
      <c r="E6" s="37">
        <v>1118963.8499999994</v>
      </c>
      <c r="F6" s="37">
        <v>867033.27</v>
      </c>
      <c r="G6" s="37">
        <v>1011820.4999999998</v>
      </c>
      <c r="H6" s="37"/>
      <c r="I6" s="37">
        <v>6984029.5299999993</v>
      </c>
    </row>
    <row r="7" spans="1:9" x14ac:dyDescent="0.3">
      <c r="A7" s="36" t="s">
        <v>2862</v>
      </c>
      <c r="B7" s="37">
        <v>962768.31</v>
      </c>
      <c r="C7" s="37">
        <v>1590646.0500000005</v>
      </c>
      <c r="D7" s="37">
        <v>1314107.3899999999</v>
      </c>
      <c r="E7" s="37">
        <v>1041400.7999999998</v>
      </c>
      <c r="F7" s="37">
        <v>1140277.8000000005</v>
      </c>
      <c r="G7" s="37">
        <v>1095843.4599999997</v>
      </c>
      <c r="H7" s="37"/>
      <c r="I7" s="37">
        <v>7145043.8100000005</v>
      </c>
    </row>
    <row r="8" spans="1:9" x14ac:dyDescent="0.3">
      <c r="A8" s="36" t="s">
        <v>2879</v>
      </c>
      <c r="B8" s="37">
        <v>868240.03</v>
      </c>
      <c r="C8" s="37">
        <v>1188460.02</v>
      </c>
      <c r="D8" s="37">
        <v>993053.05000000016</v>
      </c>
      <c r="E8" s="37">
        <v>997265.82000000018</v>
      </c>
      <c r="F8" s="37">
        <v>955407.57999999984</v>
      </c>
      <c r="G8" s="37">
        <v>856617.8899999999</v>
      </c>
      <c r="H8" s="37"/>
      <c r="I8" s="37">
        <v>5859044.3899999997</v>
      </c>
    </row>
    <row r="9" spans="1:9" x14ac:dyDescent="0.3">
      <c r="A9" s="36" t="s">
        <v>3033</v>
      </c>
      <c r="B9" s="37"/>
      <c r="C9" s="37"/>
      <c r="D9" s="37"/>
      <c r="E9" s="37"/>
      <c r="F9" s="37"/>
      <c r="G9" s="37"/>
      <c r="H9" s="37"/>
      <c r="I9" s="37"/>
    </row>
    <row r="10" spans="1:9" x14ac:dyDescent="0.3">
      <c r="A10" s="36" t="s">
        <v>3034</v>
      </c>
      <c r="B10" s="37">
        <v>3671151.54</v>
      </c>
      <c r="C10" s="37">
        <v>5606379.0500000007</v>
      </c>
      <c r="D10" s="37">
        <v>4972753.1099999994</v>
      </c>
      <c r="E10" s="37">
        <v>4325720.38</v>
      </c>
      <c r="F10" s="37">
        <v>4086952.1900000004</v>
      </c>
      <c r="G10" s="37">
        <v>3909991.9299999988</v>
      </c>
      <c r="H10" s="37"/>
      <c r="I10" s="37">
        <v>26572948.200000003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21"/>
  <sheetViews>
    <sheetView workbookViewId="0">
      <selection activeCell="H15" sqref="H15"/>
    </sheetView>
  </sheetViews>
  <sheetFormatPr defaultRowHeight="14.4" x14ac:dyDescent="0.3"/>
  <cols>
    <col min="1" max="1" width="19" customWidth="1"/>
    <col min="2" max="2" width="15.5546875" bestFit="1" customWidth="1"/>
    <col min="3" max="6" width="10" customWidth="1"/>
    <col min="7" max="7" width="11" customWidth="1"/>
    <col min="8" max="15" width="10" customWidth="1"/>
    <col min="16" max="16" width="11" customWidth="1"/>
    <col min="17" max="18" width="10" customWidth="1"/>
    <col min="19" max="19" width="11" customWidth="1"/>
    <col min="20" max="22" width="10" customWidth="1"/>
    <col min="23" max="23" width="11" customWidth="1"/>
    <col min="24" max="31" width="10" customWidth="1"/>
    <col min="32" max="32" width="7" customWidth="1"/>
    <col min="33" max="33" width="11" bestFit="1" customWidth="1"/>
  </cols>
  <sheetData>
    <row r="3" spans="1:33" x14ac:dyDescent="0.3">
      <c r="A3" s="35" t="s">
        <v>3036</v>
      </c>
      <c r="B3" s="35" t="s">
        <v>3035</v>
      </c>
    </row>
    <row r="4" spans="1:33" x14ac:dyDescent="0.3">
      <c r="A4" s="35" t="s">
        <v>3032</v>
      </c>
      <c r="B4" s="33" t="s">
        <v>215</v>
      </c>
      <c r="C4" s="33" t="s">
        <v>297</v>
      </c>
      <c r="D4" s="33" t="s">
        <v>148</v>
      </c>
      <c r="E4" s="33" t="s">
        <v>139</v>
      </c>
      <c r="F4" s="33" t="s">
        <v>92</v>
      </c>
      <c r="G4" s="33" t="s">
        <v>103</v>
      </c>
      <c r="H4" s="33" t="s">
        <v>86</v>
      </c>
      <c r="I4" s="33" t="s">
        <v>107</v>
      </c>
      <c r="J4" s="33" t="s">
        <v>204</v>
      </c>
      <c r="K4" s="33" t="s">
        <v>132</v>
      </c>
      <c r="L4" s="33" t="s">
        <v>273</v>
      </c>
      <c r="M4" s="33" t="s">
        <v>325</v>
      </c>
      <c r="N4" s="33" t="s">
        <v>252</v>
      </c>
      <c r="O4" s="33" t="s">
        <v>98</v>
      </c>
      <c r="P4" s="33" t="s">
        <v>188</v>
      </c>
      <c r="Q4" s="33" t="s">
        <v>346</v>
      </c>
      <c r="R4" s="33" t="s">
        <v>238</v>
      </c>
      <c r="S4" s="33" t="s">
        <v>303</v>
      </c>
      <c r="T4" s="33" t="s">
        <v>121</v>
      </c>
      <c r="U4" s="33" t="s">
        <v>192</v>
      </c>
      <c r="V4" s="33" t="s">
        <v>158</v>
      </c>
      <c r="W4" s="33" t="s">
        <v>285</v>
      </c>
      <c r="X4" s="33" t="s">
        <v>154</v>
      </c>
      <c r="Y4" s="33" t="s">
        <v>116</v>
      </c>
      <c r="Z4" s="33" t="s">
        <v>111</v>
      </c>
      <c r="AA4" s="33" t="s">
        <v>201</v>
      </c>
      <c r="AB4" s="33" t="s">
        <v>343</v>
      </c>
      <c r="AC4" s="33" t="s">
        <v>128</v>
      </c>
      <c r="AD4" s="33" t="s">
        <v>229</v>
      </c>
      <c r="AE4" s="33" t="s">
        <v>170</v>
      </c>
      <c r="AF4" s="33" t="s">
        <v>3033</v>
      </c>
      <c r="AG4" s="33" t="s">
        <v>3034</v>
      </c>
    </row>
    <row r="5" spans="1:33" x14ac:dyDescent="0.3">
      <c r="A5" s="36" t="s">
        <v>3033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37"/>
      <c r="AA5" s="37"/>
      <c r="AB5" s="37"/>
      <c r="AC5" s="37"/>
      <c r="AD5" s="37"/>
      <c r="AE5" s="37"/>
      <c r="AF5" s="37"/>
      <c r="AG5" s="37"/>
    </row>
    <row r="6" spans="1:33" x14ac:dyDescent="0.3">
      <c r="A6" s="36" t="s">
        <v>3037</v>
      </c>
      <c r="B6" s="37">
        <v>228864.22000000003</v>
      </c>
      <c r="C6" s="37">
        <v>230428.1</v>
      </c>
      <c r="D6" s="37">
        <v>194248.23</v>
      </c>
      <c r="E6" s="37">
        <v>131105.04999999999</v>
      </c>
      <c r="F6" s="37">
        <v>214433.75</v>
      </c>
      <c r="G6" s="37">
        <v>264985.68000000005</v>
      </c>
      <c r="H6" s="37">
        <v>327795.77999999997</v>
      </c>
      <c r="I6" s="37">
        <v>249635.37000000002</v>
      </c>
      <c r="J6" s="37">
        <v>170613.47999999998</v>
      </c>
      <c r="K6" s="37">
        <v>117633.85</v>
      </c>
      <c r="L6" s="37">
        <v>279577.53999999992</v>
      </c>
      <c r="M6" s="37">
        <v>201325.72999999998</v>
      </c>
      <c r="N6" s="37">
        <v>270851.64</v>
      </c>
      <c r="O6" s="37">
        <v>252597.58000000002</v>
      </c>
      <c r="P6" s="37">
        <v>276393.23</v>
      </c>
      <c r="Q6" s="37">
        <v>306613.52999999991</v>
      </c>
      <c r="R6" s="37">
        <v>221447.89</v>
      </c>
      <c r="S6" s="37">
        <v>274596.56</v>
      </c>
      <c r="T6" s="37">
        <v>197363.06000000003</v>
      </c>
      <c r="U6" s="37">
        <v>271016.56</v>
      </c>
      <c r="V6" s="37">
        <v>208037.59000000003</v>
      </c>
      <c r="W6" s="37">
        <v>256354.31000000003</v>
      </c>
      <c r="X6" s="37">
        <v>257909.52999999997</v>
      </c>
      <c r="Y6" s="37">
        <v>186754.87</v>
      </c>
      <c r="Z6" s="37">
        <v>230773.25999999998</v>
      </c>
      <c r="AA6" s="37">
        <v>98119.439999999988</v>
      </c>
      <c r="AB6" s="37">
        <v>194517.49000000002</v>
      </c>
      <c r="AC6" s="37">
        <v>165250.05999999997</v>
      </c>
      <c r="AD6" s="37">
        <v>251234.19000000003</v>
      </c>
      <c r="AE6" s="37">
        <v>198486.16000000003</v>
      </c>
      <c r="AF6" s="37"/>
      <c r="AG6" s="37">
        <v>6728963.7299999995</v>
      </c>
    </row>
    <row r="7" spans="1:33" x14ac:dyDescent="0.3">
      <c r="A7" s="36" t="s">
        <v>3038</v>
      </c>
      <c r="B7" s="37">
        <v>161243.09000000003</v>
      </c>
      <c r="C7" s="37">
        <v>218835.14999999997</v>
      </c>
      <c r="D7" s="37">
        <v>273573.67000000004</v>
      </c>
      <c r="E7" s="37">
        <v>206164.46</v>
      </c>
      <c r="F7" s="37">
        <v>226933.7</v>
      </c>
      <c r="G7" s="37">
        <v>440513.99000000011</v>
      </c>
      <c r="H7" s="37">
        <v>148589.13</v>
      </c>
      <c r="I7" s="37">
        <v>161726.57000000004</v>
      </c>
      <c r="J7" s="37">
        <v>244591.35000000006</v>
      </c>
      <c r="K7" s="37">
        <v>154589.16</v>
      </c>
      <c r="L7" s="37">
        <v>86566.700000000012</v>
      </c>
      <c r="M7" s="37">
        <v>121352.71</v>
      </c>
      <c r="N7" s="37">
        <v>156044.50000000003</v>
      </c>
      <c r="O7" s="37">
        <v>271638.97000000003</v>
      </c>
      <c r="P7" s="37">
        <v>266652.96000000002</v>
      </c>
      <c r="Q7" s="37">
        <v>198824.31</v>
      </c>
      <c r="R7" s="37">
        <v>219786.13999999996</v>
      </c>
      <c r="S7" s="37">
        <v>501552.86999999988</v>
      </c>
      <c r="T7" s="37">
        <v>278748.68</v>
      </c>
      <c r="U7" s="37">
        <v>323625.36000000004</v>
      </c>
      <c r="V7" s="37">
        <v>193123.4</v>
      </c>
      <c r="W7" s="37">
        <v>163521.45000000001</v>
      </c>
      <c r="X7" s="37">
        <v>359180.89999999991</v>
      </c>
      <c r="Y7" s="37">
        <v>235404.87999999995</v>
      </c>
      <c r="Z7" s="37">
        <v>176206.99999999997</v>
      </c>
      <c r="AA7" s="37">
        <v>180328.80000000005</v>
      </c>
      <c r="AB7" s="37">
        <v>212478.46999999997</v>
      </c>
      <c r="AC7" s="37">
        <v>161616.09999999998</v>
      </c>
      <c r="AD7" s="37">
        <v>333952.82000000007</v>
      </c>
      <c r="AE7" s="37">
        <v>151416.93</v>
      </c>
      <c r="AF7" s="37"/>
      <c r="AG7" s="37">
        <v>6828784.2199999997</v>
      </c>
    </row>
    <row r="8" spans="1:33" x14ac:dyDescent="0.3">
      <c r="A8" s="36" t="s">
        <v>3039</v>
      </c>
      <c r="B8" s="37">
        <v>210322.46000000002</v>
      </c>
      <c r="C8" s="37">
        <v>289097.53000000003</v>
      </c>
      <c r="D8" s="37">
        <v>370474.74</v>
      </c>
      <c r="E8" s="37">
        <v>110743.09999999999</v>
      </c>
      <c r="F8" s="37">
        <v>117673.32</v>
      </c>
      <c r="G8" s="37">
        <v>176965.05</v>
      </c>
      <c r="H8" s="37">
        <v>133919.18999999997</v>
      </c>
      <c r="I8" s="37">
        <v>186301.55</v>
      </c>
      <c r="J8" s="37">
        <v>314054.99000000005</v>
      </c>
      <c r="K8" s="37">
        <v>353444.84</v>
      </c>
      <c r="L8" s="37">
        <v>249319.24</v>
      </c>
      <c r="M8" s="37">
        <v>294920.40000000002</v>
      </c>
      <c r="N8" s="37">
        <v>166680.93000000002</v>
      </c>
      <c r="O8" s="37">
        <v>234411.6</v>
      </c>
      <c r="P8" s="37">
        <v>258884.58</v>
      </c>
      <c r="Q8" s="37">
        <v>224009.93999999997</v>
      </c>
      <c r="R8" s="37">
        <v>168425.67</v>
      </c>
      <c r="S8" s="37">
        <v>96924.94</v>
      </c>
      <c r="T8" s="37">
        <v>127630.06</v>
      </c>
      <c r="U8" s="37">
        <v>194229.76000000001</v>
      </c>
      <c r="V8" s="37">
        <v>224789.09</v>
      </c>
      <c r="W8" s="37">
        <v>380043.1</v>
      </c>
      <c r="X8" s="37">
        <v>190111.17</v>
      </c>
      <c r="Y8" s="37">
        <v>141698.82</v>
      </c>
      <c r="Z8" s="37">
        <v>323095.53999999992</v>
      </c>
      <c r="AA8" s="37">
        <v>129536.86999999998</v>
      </c>
      <c r="AB8" s="37">
        <v>184503.15000000002</v>
      </c>
      <c r="AC8" s="37">
        <v>300623.19</v>
      </c>
      <c r="AD8" s="37">
        <v>213202.16</v>
      </c>
      <c r="AE8" s="37">
        <v>189720.29</v>
      </c>
      <c r="AF8" s="37"/>
      <c r="AG8" s="37">
        <v>6555757.2700000005</v>
      </c>
    </row>
    <row r="9" spans="1:33" x14ac:dyDescent="0.3">
      <c r="A9" s="36" t="s">
        <v>3040</v>
      </c>
      <c r="B9" s="37">
        <v>189419.82999999996</v>
      </c>
      <c r="C9" s="37">
        <v>241702.87999999998</v>
      </c>
      <c r="D9" s="37">
        <v>148396.26999999999</v>
      </c>
      <c r="E9" s="37">
        <v>141013.68</v>
      </c>
      <c r="F9" s="37">
        <v>223404.55999999997</v>
      </c>
      <c r="G9" s="37">
        <v>256184.01</v>
      </c>
      <c r="H9" s="37">
        <v>245445.58000000002</v>
      </c>
      <c r="I9" s="37">
        <v>263889.84000000003</v>
      </c>
      <c r="J9" s="37">
        <v>185294.89999999997</v>
      </c>
      <c r="K9" s="37">
        <v>254677.34999999998</v>
      </c>
      <c r="L9" s="37">
        <v>119744.27999999998</v>
      </c>
      <c r="M9" s="37">
        <v>283795.48</v>
      </c>
      <c r="N9" s="37">
        <v>217947.30999999997</v>
      </c>
      <c r="O9" s="37">
        <v>237065.39</v>
      </c>
      <c r="P9" s="37">
        <v>289809.40999999997</v>
      </c>
      <c r="Q9" s="37">
        <v>85115.93</v>
      </c>
      <c r="R9" s="37">
        <v>170724.71</v>
      </c>
      <c r="S9" s="37">
        <v>239215.27000000002</v>
      </c>
      <c r="T9" s="37">
        <v>367441.72</v>
      </c>
      <c r="U9" s="37">
        <v>117236.03</v>
      </c>
      <c r="V9" s="37">
        <v>135557.09</v>
      </c>
      <c r="W9" s="37">
        <v>269651.68</v>
      </c>
      <c r="X9" s="37">
        <v>176585.87999999995</v>
      </c>
      <c r="Y9" s="37">
        <v>255700.00999999998</v>
      </c>
      <c r="Z9" s="37">
        <v>171223.09000000003</v>
      </c>
      <c r="AA9" s="37">
        <v>168319.97000000003</v>
      </c>
      <c r="AB9" s="37">
        <v>325593.51</v>
      </c>
      <c r="AC9" s="37">
        <v>252978.7</v>
      </c>
      <c r="AD9" s="37">
        <v>218307.63</v>
      </c>
      <c r="AE9" s="37">
        <v>208000.98999999996</v>
      </c>
      <c r="AF9" s="37"/>
      <c r="AG9" s="37">
        <v>6459442.9799999995</v>
      </c>
    </row>
    <row r="10" spans="1:33" x14ac:dyDescent="0.3">
      <c r="A10" s="36" t="s">
        <v>3034</v>
      </c>
      <c r="B10" s="37">
        <v>789849.59999999998</v>
      </c>
      <c r="C10" s="37">
        <v>980063.66</v>
      </c>
      <c r="D10" s="37">
        <v>986692.91</v>
      </c>
      <c r="E10" s="37">
        <v>589026.29</v>
      </c>
      <c r="F10" s="37">
        <v>782445.33</v>
      </c>
      <c r="G10" s="37">
        <v>1138648.7300000002</v>
      </c>
      <c r="H10" s="37">
        <v>855749.67999999993</v>
      </c>
      <c r="I10" s="37">
        <v>861553.33000000007</v>
      </c>
      <c r="J10" s="37">
        <v>914554.72</v>
      </c>
      <c r="K10" s="37">
        <v>880345.20000000007</v>
      </c>
      <c r="L10" s="37">
        <v>735207.76</v>
      </c>
      <c r="M10" s="37">
        <v>901394.32000000007</v>
      </c>
      <c r="N10" s="37">
        <v>811524.38</v>
      </c>
      <c r="O10" s="37">
        <v>995713.54</v>
      </c>
      <c r="P10" s="37">
        <v>1091740.18</v>
      </c>
      <c r="Q10" s="37">
        <v>814563.71</v>
      </c>
      <c r="R10" s="37">
        <v>780384.40999999992</v>
      </c>
      <c r="S10" s="37">
        <v>1112289.6399999999</v>
      </c>
      <c r="T10" s="37">
        <v>971183.52</v>
      </c>
      <c r="U10" s="37">
        <v>906107.71000000008</v>
      </c>
      <c r="V10" s="37">
        <v>761507.16999999993</v>
      </c>
      <c r="W10" s="37">
        <v>1069570.54</v>
      </c>
      <c r="X10" s="37">
        <v>983787.48</v>
      </c>
      <c r="Y10" s="37">
        <v>819558.58</v>
      </c>
      <c r="Z10" s="37">
        <v>901298.8899999999</v>
      </c>
      <c r="AA10" s="37">
        <v>576305.08000000007</v>
      </c>
      <c r="AB10" s="37">
        <v>917092.62</v>
      </c>
      <c r="AC10" s="37">
        <v>880468.04999999981</v>
      </c>
      <c r="AD10" s="37">
        <v>1016696.8000000002</v>
      </c>
      <c r="AE10" s="37">
        <v>747624.37</v>
      </c>
      <c r="AF10" s="37"/>
      <c r="AG10" s="37">
        <v>26572948.199999999</v>
      </c>
    </row>
    <row r="21" spans="3:3" x14ac:dyDescent="0.3">
      <c r="C21">
        <f>MAX(B6:AE17)</f>
        <v>1138648.7300000002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workbookViewId="0">
      <selection activeCell="B13" sqref="B13"/>
    </sheetView>
  </sheetViews>
  <sheetFormatPr defaultRowHeight="14.4" x14ac:dyDescent="0.3"/>
  <cols>
    <col min="1" max="1" width="12.88671875" bestFit="1" customWidth="1"/>
    <col min="2" max="2" width="19" bestFit="1" customWidth="1"/>
  </cols>
  <sheetData>
    <row r="1" spans="1:2" x14ac:dyDescent="0.3">
      <c r="A1" s="35" t="s">
        <v>3031</v>
      </c>
      <c r="B1" s="33" t="s">
        <v>2879</v>
      </c>
    </row>
    <row r="3" spans="1:2" x14ac:dyDescent="0.3">
      <c r="A3" s="35" t="s">
        <v>3032</v>
      </c>
      <c r="B3" t="s">
        <v>3036</v>
      </c>
    </row>
    <row r="4" spans="1:2" x14ac:dyDescent="0.3">
      <c r="A4" s="36" t="s">
        <v>515</v>
      </c>
      <c r="B4" s="37">
        <v>260395.74</v>
      </c>
    </row>
    <row r="5" spans="1:2" x14ac:dyDescent="0.3">
      <c r="A5" s="36" t="s">
        <v>187</v>
      </c>
      <c r="B5" s="37">
        <v>248025.74999999997</v>
      </c>
    </row>
    <row r="6" spans="1:2" x14ac:dyDescent="0.3">
      <c r="A6" s="36" t="s">
        <v>191</v>
      </c>
      <c r="B6" s="37">
        <v>244351.19999999998</v>
      </c>
    </row>
    <row r="7" spans="1:2" x14ac:dyDescent="0.3">
      <c r="A7" s="36" t="s">
        <v>443</v>
      </c>
      <c r="B7" s="37">
        <v>221112.08000000002</v>
      </c>
    </row>
    <row r="8" spans="1:2" x14ac:dyDescent="0.3">
      <c r="A8" s="36" t="s">
        <v>248</v>
      </c>
      <c r="B8" s="37">
        <v>198124.65000000002</v>
      </c>
    </row>
    <row r="9" spans="1:2" x14ac:dyDescent="0.3">
      <c r="A9" s="36" t="s">
        <v>351</v>
      </c>
      <c r="B9" s="37">
        <v>190994.58000000002</v>
      </c>
    </row>
    <row r="10" spans="1:2" x14ac:dyDescent="0.3">
      <c r="A10" s="36" t="s">
        <v>264</v>
      </c>
      <c r="B10" s="37">
        <v>179739.34000000003</v>
      </c>
    </row>
    <row r="11" spans="1:2" x14ac:dyDescent="0.3">
      <c r="A11" s="36" t="s">
        <v>270</v>
      </c>
      <c r="B11" s="37">
        <v>177512.66000000003</v>
      </c>
    </row>
    <row r="12" spans="1:2" x14ac:dyDescent="0.3">
      <c r="A12" s="36" t="s">
        <v>157</v>
      </c>
      <c r="B12" s="37">
        <v>167780.40000000002</v>
      </c>
    </row>
    <row r="13" spans="1:2" x14ac:dyDescent="0.3">
      <c r="A13" s="36" t="s">
        <v>364</v>
      </c>
      <c r="B13" s="37">
        <v>155358.84</v>
      </c>
    </row>
    <row r="14" spans="1:2" x14ac:dyDescent="0.3">
      <c r="A14" s="36" t="s">
        <v>461</v>
      </c>
      <c r="B14" s="37">
        <v>150054.66</v>
      </c>
    </row>
    <row r="15" spans="1:2" x14ac:dyDescent="0.3">
      <c r="A15" s="36" t="s">
        <v>452</v>
      </c>
      <c r="B15" s="37">
        <v>145224.29999999999</v>
      </c>
    </row>
    <row r="16" spans="1:2" x14ac:dyDescent="0.3">
      <c r="A16" s="36" t="s">
        <v>386</v>
      </c>
      <c r="B16" s="37">
        <v>138799.19</v>
      </c>
    </row>
    <row r="17" spans="1:2" x14ac:dyDescent="0.3">
      <c r="A17" s="36" t="s">
        <v>295</v>
      </c>
      <c r="B17" s="37">
        <v>137585.28</v>
      </c>
    </row>
    <row r="18" spans="1:2" x14ac:dyDescent="0.3">
      <c r="A18" s="36" t="s">
        <v>241</v>
      </c>
      <c r="B18" s="37">
        <v>124646.08</v>
      </c>
    </row>
    <row r="19" spans="1:2" x14ac:dyDescent="0.3">
      <c r="A19" s="36" t="s">
        <v>106</v>
      </c>
      <c r="B19" s="37">
        <v>121770.6</v>
      </c>
    </row>
    <row r="20" spans="1:2" x14ac:dyDescent="0.3">
      <c r="A20" s="36" t="s">
        <v>124</v>
      </c>
      <c r="B20" s="37">
        <v>119445.93</v>
      </c>
    </row>
    <row r="21" spans="1:2" x14ac:dyDescent="0.3">
      <c r="A21" s="36" t="s">
        <v>338</v>
      </c>
      <c r="B21" s="37">
        <v>118562.08</v>
      </c>
    </row>
    <row r="22" spans="1:2" x14ac:dyDescent="0.3">
      <c r="A22" s="36" t="s">
        <v>102</v>
      </c>
      <c r="B22" s="37">
        <v>112574.28</v>
      </c>
    </row>
    <row r="23" spans="1:2" x14ac:dyDescent="0.3">
      <c r="A23" s="36" t="s">
        <v>195</v>
      </c>
      <c r="B23" s="37">
        <v>109566.59999999999</v>
      </c>
    </row>
    <row r="24" spans="1:2" x14ac:dyDescent="0.3">
      <c r="A24" s="36" t="s">
        <v>161</v>
      </c>
      <c r="B24" s="37">
        <v>109233.9</v>
      </c>
    </row>
    <row r="25" spans="1:2" x14ac:dyDescent="0.3">
      <c r="A25" s="36" t="s">
        <v>173</v>
      </c>
      <c r="B25" s="37">
        <v>108190.72</v>
      </c>
    </row>
    <row r="26" spans="1:2" x14ac:dyDescent="0.3">
      <c r="A26" s="36" t="s">
        <v>138</v>
      </c>
      <c r="B26" s="37">
        <v>105284.40000000001</v>
      </c>
    </row>
    <row r="27" spans="1:2" x14ac:dyDescent="0.3">
      <c r="A27" s="36" t="s">
        <v>167</v>
      </c>
      <c r="B27" s="37">
        <v>104993.28</v>
      </c>
    </row>
    <row r="28" spans="1:2" x14ac:dyDescent="0.3">
      <c r="A28" s="36" t="s">
        <v>179</v>
      </c>
      <c r="B28" s="37">
        <v>104386</v>
      </c>
    </row>
    <row r="29" spans="1:2" x14ac:dyDescent="0.3">
      <c r="A29" s="36" t="s">
        <v>276</v>
      </c>
      <c r="B29" s="37">
        <v>102894.42000000001</v>
      </c>
    </row>
    <row r="30" spans="1:2" x14ac:dyDescent="0.3">
      <c r="A30" s="36" t="s">
        <v>226</v>
      </c>
      <c r="B30" s="37">
        <v>102321.36</v>
      </c>
    </row>
    <row r="31" spans="1:2" x14ac:dyDescent="0.3">
      <c r="A31" s="36" t="s">
        <v>408</v>
      </c>
      <c r="B31" s="37">
        <v>100869.75999999999</v>
      </c>
    </row>
    <row r="32" spans="1:2" x14ac:dyDescent="0.3">
      <c r="A32" s="36" t="s">
        <v>659</v>
      </c>
      <c r="B32" s="37">
        <v>100288.76000000001</v>
      </c>
    </row>
    <row r="33" spans="1:2" x14ac:dyDescent="0.3">
      <c r="A33" s="36" t="s">
        <v>184</v>
      </c>
      <c r="B33" s="37">
        <v>100035.12</v>
      </c>
    </row>
    <row r="34" spans="1:2" x14ac:dyDescent="0.3">
      <c r="A34" s="36" t="s">
        <v>85</v>
      </c>
      <c r="B34" s="37">
        <v>95390.62</v>
      </c>
    </row>
    <row r="35" spans="1:2" x14ac:dyDescent="0.3">
      <c r="A35" s="36" t="s">
        <v>200</v>
      </c>
      <c r="B35" s="37">
        <v>90555.6</v>
      </c>
    </row>
    <row r="36" spans="1:2" x14ac:dyDescent="0.3">
      <c r="A36" s="36" t="s">
        <v>143</v>
      </c>
      <c r="B36" s="37">
        <v>88426</v>
      </c>
    </row>
    <row r="37" spans="1:2" x14ac:dyDescent="0.3">
      <c r="A37" s="36" t="s">
        <v>237</v>
      </c>
      <c r="B37" s="37">
        <v>85543.64</v>
      </c>
    </row>
    <row r="38" spans="1:2" x14ac:dyDescent="0.3">
      <c r="A38" s="36" t="s">
        <v>355</v>
      </c>
      <c r="B38" s="37">
        <v>84699.950000000012</v>
      </c>
    </row>
    <row r="39" spans="1:2" x14ac:dyDescent="0.3">
      <c r="A39" s="36" t="s">
        <v>367</v>
      </c>
      <c r="B39" s="37">
        <v>84480.48000000001</v>
      </c>
    </row>
    <row r="40" spans="1:2" x14ac:dyDescent="0.3">
      <c r="A40" s="36" t="s">
        <v>259</v>
      </c>
      <c r="B40" s="37">
        <v>80488.100000000006</v>
      </c>
    </row>
    <row r="41" spans="1:2" x14ac:dyDescent="0.3">
      <c r="A41" s="36" t="s">
        <v>131</v>
      </c>
      <c r="B41" s="37">
        <v>77055.149999999994</v>
      </c>
    </row>
    <row r="42" spans="1:2" x14ac:dyDescent="0.3">
      <c r="A42" s="36" t="s">
        <v>360</v>
      </c>
      <c r="B42" s="37">
        <v>74614.720000000001</v>
      </c>
    </row>
    <row r="43" spans="1:2" x14ac:dyDescent="0.3">
      <c r="A43" s="36" t="s">
        <v>151</v>
      </c>
      <c r="B43" s="37">
        <v>71771.999999999985</v>
      </c>
    </row>
    <row r="44" spans="1:2" x14ac:dyDescent="0.3">
      <c r="A44" s="36" t="s">
        <v>176</v>
      </c>
      <c r="B44" s="37">
        <v>68328.149999999994</v>
      </c>
    </row>
    <row r="45" spans="1:2" x14ac:dyDescent="0.3">
      <c r="A45" s="36" t="s">
        <v>135</v>
      </c>
      <c r="B45" s="37">
        <v>67393.919999999998</v>
      </c>
    </row>
    <row r="46" spans="1:2" x14ac:dyDescent="0.3">
      <c r="A46" s="36" t="s">
        <v>245</v>
      </c>
      <c r="B46" s="37">
        <v>66299.89</v>
      </c>
    </row>
    <row r="47" spans="1:2" x14ac:dyDescent="0.3">
      <c r="A47" s="36" t="s">
        <v>267</v>
      </c>
      <c r="B47" s="37">
        <v>64207.380000000005</v>
      </c>
    </row>
    <row r="48" spans="1:2" x14ac:dyDescent="0.3">
      <c r="A48" s="36" t="s">
        <v>380</v>
      </c>
      <c r="B48" s="37">
        <v>56751.360000000001</v>
      </c>
    </row>
    <row r="49" spans="1:2" x14ac:dyDescent="0.3">
      <c r="A49" s="36" t="s">
        <v>164</v>
      </c>
      <c r="B49" s="37">
        <v>47831.039999999994</v>
      </c>
    </row>
    <row r="50" spans="1:2" x14ac:dyDescent="0.3">
      <c r="A50" s="36" t="s">
        <v>234</v>
      </c>
      <c r="B50" s="37">
        <v>39599.279999999999</v>
      </c>
    </row>
    <row r="51" spans="1:2" x14ac:dyDescent="0.3">
      <c r="A51" s="36" t="s">
        <v>120</v>
      </c>
      <c r="B51" s="37">
        <v>38531.35</v>
      </c>
    </row>
    <row r="52" spans="1:2" x14ac:dyDescent="0.3">
      <c r="A52" s="36" t="s">
        <v>127</v>
      </c>
      <c r="B52" s="37">
        <v>37405.14</v>
      </c>
    </row>
    <row r="53" spans="1:2" x14ac:dyDescent="0.3">
      <c r="A53" s="36" t="s">
        <v>115</v>
      </c>
      <c r="B53" s="37">
        <v>32451.840000000004</v>
      </c>
    </row>
    <row r="54" spans="1:2" x14ac:dyDescent="0.3">
      <c r="A54" s="36" t="s">
        <v>502</v>
      </c>
      <c r="B54" s="37">
        <v>26929.539999999997</v>
      </c>
    </row>
    <row r="55" spans="1:2" x14ac:dyDescent="0.3">
      <c r="A55" s="36" t="s">
        <v>97</v>
      </c>
      <c r="B55" s="37">
        <v>21160.810000000005</v>
      </c>
    </row>
    <row r="56" spans="1:2" x14ac:dyDescent="0.3">
      <c r="A56" s="36" t="s">
        <v>110</v>
      </c>
      <c r="B56" s="37">
        <v>20402.169999999998</v>
      </c>
    </row>
    <row r="57" spans="1:2" x14ac:dyDescent="0.3">
      <c r="A57" s="36" t="s">
        <v>182</v>
      </c>
      <c r="B57" s="37">
        <v>19529.36</v>
      </c>
    </row>
    <row r="58" spans="1:2" x14ac:dyDescent="0.3">
      <c r="A58" s="36" t="s">
        <v>203</v>
      </c>
      <c r="B58" s="37">
        <v>13841.52</v>
      </c>
    </row>
    <row r="59" spans="1:2" x14ac:dyDescent="0.3">
      <c r="A59" s="36" t="s">
        <v>292</v>
      </c>
      <c r="B59" s="37">
        <v>12964.82</v>
      </c>
    </row>
    <row r="60" spans="1:2" x14ac:dyDescent="0.3">
      <c r="A60" s="36" t="s">
        <v>91</v>
      </c>
      <c r="B60" s="37">
        <v>9173.34</v>
      </c>
    </row>
    <row r="61" spans="1:2" x14ac:dyDescent="0.3">
      <c r="A61" s="36" t="s">
        <v>147</v>
      </c>
      <c r="B61" s="37">
        <v>7838.2599999999984</v>
      </c>
    </row>
    <row r="62" spans="1:2" x14ac:dyDescent="0.3">
      <c r="A62" s="36" t="s">
        <v>279</v>
      </c>
      <c r="B62" s="37">
        <v>7807.1</v>
      </c>
    </row>
    <row r="63" spans="1:2" x14ac:dyDescent="0.3">
      <c r="A63" s="36" t="s">
        <v>282</v>
      </c>
      <c r="B63" s="37">
        <v>7449.9000000000005</v>
      </c>
    </row>
    <row r="64" spans="1:2" x14ac:dyDescent="0.3">
      <c r="A64" s="36" t="s">
        <v>3034</v>
      </c>
      <c r="B64" s="37">
        <v>5859044.3900000006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Q2268"/>
  <sheetViews>
    <sheetView workbookViewId="0">
      <pane ySplit="1" topLeftCell="A2" activePane="bottomLeft" state="frozen"/>
      <selection pane="bottomLeft" activeCell="N2004" sqref="A1:Q2268"/>
    </sheetView>
  </sheetViews>
  <sheetFormatPr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2.5546875" customWidth="1"/>
    <col min="6" max="6" width="10" customWidth="1"/>
    <col min="7" max="7" width="10.44140625" customWidth="1"/>
    <col min="8" max="8" width="12.77734375" customWidth="1"/>
    <col min="9" max="9" width="13.6640625" customWidth="1"/>
    <col min="10" max="10" width="16" customWidth="1"/>
    <col min="11" max="11" width="11.6640625" customWidth="1"/>
    <col min="12" max="12" width="14.109375" customWidth="1"/>
    <col min="13" max="13" width="16.109375" customWidth="1"/>
    <col min="14" max="14" width="10.33203125" customWidth="1"/>
    <col min="15" max="15" width="12.77734375" customWidth="1"/>
  </cols>
  <sheetData>
    <row r="1" spans="1:17" x14ac:dyDescent="0.3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  <c r="L1" s="34" t="s">
        <v>3026</v>
      </c>
      <c r="M1" s="34" t="s">
        <v>3027</v>
      </c>
      <c r="N1" t="s">
        <v>3030</v>
      </c>
      <c r="O1" t="s">
        <v>3031</v>
      </c>
      <c r="P1" t="s">
        <v>3041</v>
      </c>
      <c r="Q1" t="s">
        <v>3042</v>
      </c>
    </row>
    <row r="2" spans="1:17" x14ac:dyDescent="0.3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  <c r="L2" t="str">
        <f>IFERROR(VLOOKUP(D2,Products!$A:$C,3,FALSE),"")</f>
        <v>Apparel</v>
      </c>
      <c r="M2" t="str">
        <f>IFERROR(VLOOKUP(C2,Customers!$A:$E,5,FALSE),"")</f>
        <v>SMB</v>
      </c>
      <c r="N2">
        <f>IFERROR(VLOOKUP(C2,Customers!$A:$E,3,FALSE),"")</f>
        <v>44</v>
      </c>
      <c r="O2" t="str">
        <f>IFERROR(VLOOKUP(E2,Sales_Reps!$A:$C,3,FALSE),"")</f>
        <v>North</v>
      </c>
      <c r="P2">
        <f>IFERROR(VLOOKUP(D2,Products!$A:$D,4,FALSE),"")</f>
        <v>2509</v>
      </c>
      <c r="Q2">
        <f>IFERROR((G2-P2)/G2,"")</f>
        <v>0.3069060773480663</v>
      </c>
    </row>
    <row r="3" spans="1:17" x14ac:dyDescent="0.3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  <c r="L3" t="str">
        <f>IFERROR(VLOOKUP(D3,Products!$A:$C,3,FALSE),"")</f>
        <v>Apparel</v>
      </c>
      <c r="M3" t="str">
        <f>IFERROR(VLOOKUP(C3,Customers!$A:$E,5,FALSE),"")</f>
        <v>Retail</v>
      </c>
      <c r="N3">
        <f>IFERROR(VLOOKUP(C3,Customers!$A:$E,3,FALSE),"")</f>
        <v>39</v>
      </c>
      <c r="O3" s="33" t="str">
        <f>IFERROR(VLOOKUP(E3,Sales_Reps!$A:$C,3,FALSE),"")</f>
        <v>North</v>
      </c>
      <c r="P3" s="33">
        <f>IFERROR(VLOOKUP(D3,Products!$A:$D,4,FALSE),"")</f>
        <v>391</v>
      </c>
      <c r="Q3" s="33">
        <f t="shared" ref="Q3:Q66" si="0">IFERROR((G3-P3)/G3,"")</f>
        <v>0.52317073170731709</v>
      </c>
    </row>
    <row r="4" spans="1:17" x14ac:dyDescent="0.3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  <c r="L4" t="str">
        <f>IFERROR(VLOOKUP(D4,Products!$A:$C,3,FALSE),"")</f>
        <v>Sports</v>
      </c>
      <c r="M4" t="str">
        <f>IFERROR(VLOOKUP(C4,Customers!$A:$E,5,FALSE),"")</f>
        <v>Retail</v>
      </c>
      <c r="N4">
        <f>IFERROR(VLOOKUP(C4,Customers!$A:$E,3,FALSE),"")</f>
        <v>52</v>
      </c>
      <c r="O4" s="33" t="str">
        <f>IFERROR(VLOOKUP(E4,Sales_Reps!$A:$C,3,FALSE),"")</f>
        <v>South</v>
      </c>
      <c r="P4" s="33">
        <f>IFERROR(VLOOKUP(D4,Products!$A:$D,4,FALSE),"")</f>
        <v>302</v>
      </c>
      <c r="Q4" s="33">
        <f t="shared" si="0"/>
        <v>0.35744680851063831</v>
      </c>
    </row>
    <row r="5" spans="1:17" x14ac:dyDescent="0.3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  <c r="L5" t="str">
        <f>IFERROR(VLOOKUP(D5,Products!$A:$C,3,FALSE),"")</f>
        <v>Grocery</v>
      </c>
      <c r="M5" t="str">
        <f>IFERROR(VLOOKUP(C5,Customers!$A:$E,5,FALSE),"")</f>
        <v>Corporate</v>
      </c>
      <c r="N5">
        <f>IFERROR(VLOOKUP(C5,Customers!$A:$E,3,FALSE),"")</f>
        <v>46</v>
      </c>
      <c r="O5" s="33" t="str">
        <f>IFERROR(VLOOKUP(E5,Sales_Reps!$A:$C,3,FALSE),"")</f>
        <v>North</v>
      </c>
      <c r="P5" s="33">
        <f>IFERROR(VLOOKUP(D5,Products!$A:$D,4,FALSE),"")</f>
        <v>2214</v>
      </c>
      <c r="Q5" s="33">
        <f t="shared" si="0"/>
        <v>0.39508196721311473</v>
      </c>
    </row>
    <row r="6" spans="1:17" x14ac:dyDescent="0.3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  <c r="L6" t="str">
        <f>IFERROR(VLOOKUP(D6,Products!$A:$C,3,FALSE),"")</f>
        <v>Apparel</v>
      </c>
      <c r="M6" t="str">
        <f>IFERROR(VLOOKUP(C6,Customers!$A:$E,5,FALSE),"")</f>
        <v>Retail</v>
      </c>
      <c r="N6">
        <f>IFERROR(VLOOKUP(C6,Customers!$A:$E,3,FALSE),"")</f>
        <v>36</v>
      </c>
      <c r="O6" s="33" t="str">
        <f>IFERROR(VLOOKUP(E6,Sales_Reps!$A:$C,3,FALSE),"")</f>
        <v>North</v>
      </c>
      <c r="P6" s="33">
        <f>IFERROR(VLOOKUP(D6,Products!$A:$D,4,FALSE),"")</f>
        <v>1886</v>
      </c>
      <c r="Q6" s="33">
        <f t="shared" si="0"/>
        <v>0.4031645569620253</v>
      </c>
    </row>
    <row r="7" spans="1:17" x14ac:dyDescent="0.3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  <c r="L7" t="str">
        <f>IFERROR(VLOOKUP(D7,Products!$A:$C,3,FALSE),"")</f>
        <v>Home</v>
      </c>
      <c r="M7" t="str">
        <f>IFERROR(VLOOKUP(C7,Customers!$A:$E,5,FALSE),"")</f>
        <v>Retail</v>
      </c>
      <c r="N7">
        <f>IFERROR(VLOOKUP(C7,Customers!$A:$E,3,FALSE),"")</f>
        <v>36</v>
      </c>
      <c r="O7" s="33" t="str">
        <f>IFERROR(VLOOKUP(E7,Sales_Reps!$A:$C,3,FALSE),"")</f>
        <v>West</v>
      </c>
      <c r="P7" s="33">
        <f>IFERROR(VLOOKUP(D7,Products!$A:$D,4,FALSE),"")</f>
        <v>288</v>
      </c>
      <c r="Q7" s="33">
        <f t="shared" si="0"/>
        <v>0.22162162162162163</v>
      </c>
    </row>
    <row r="8" spans="1:17" x14ac:dyDescent="0.3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  <c r="L8" t="str">
        <f>IFERROR(VLOOKUP(D8,Products!$A:$C,3,FALSE),"")</f>
        <v>Sports</v>
      </c>
      <c r="M8" t="str">
        <f>IFERROR(VLOOKUP(C8,Customers!$A:$E,5,FALSE),"")</f>
        <v>Retail</v>
      </c>
      <c r="N8">
        <f>IFERROR(VLOOKUP(C8,Customers!$A:$E,3,FALSE),"")</f>
        <v>27</v>
      </c>
      <c r="O8" s="33" t="str">
        <f>IFERROR(VLOOKUP(E8,Sales_Reps!$A:$C,3,FALSE),"")</f>
        <v>West</v>
      </c>
      <c r="P8" s="33">
        <f>IFERROR(VLOOKUP(D8,Products!$A:$D,4,FALSE),"")</f>
        <v>705</v>
      </c>
      <c r="Q8" s="33">
        <f t="shared" si="0"/>
        <v>0.265625</v>
      </c>
    </row>
    <row r="9" spans="1:17" x14ac:dyDescent="0.3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  <c r="L9" t="str">
        <f>IFERROR(VLOOKUP(D9,Products!$A:$C,3,FALSE),"")</f>
        <v>Electronics</v>
      </c>
      <c r="M9" t="str">
        <f>IFERROR(VLOOKUP(C9,Customers!$A:$E,5,FALSE),"")</f>
        <v>Corporate</v>
      </c>
      <c r="N9">
        <f>IFERROR(VLOOKUP(C9,Customers!$A:$E,3,FALSE),"")</f>
        <v>57</v>
      </c>
      <c r="O9" s="33" t="str">
        <f>IFERROR(VLOOKUP(E9,Sales_Reps!$A:$C,3,FALSE),"")</f>
        <v>East</v>
      </c>
      <c r="P9" s="33">
        <f>IFERROR(VLOOKUP(D9,Products!$A:$D,4,FALSE),"")</f>
        <v>861</v>
      </c>
      <c r="Q9" s="33">
        <f t="shared" si="0"/>
        <v>0.39790209790209791</v>
      </c>
    </row>
    <row r="10" spans="1:17" x14ac:dyDescent="0.3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  <c r="L10" t="str">
        <f>IFERROR(VLOOKUP(D10,Products!$A:$C,3,FALSE),"")</f>
        <v>Home</v>
      </c>
      <c r="M10" t="str">
        <f>IFERROR(VLOOKUP(C10,Customers!$A:$E,5,FALSE),"")</f>
        <v>Retail</v>
      </c>
      <c r="N10">
        <f>IFERROR(VLOOKUP(C10,Customers!$A:$E,3,FALSE),"")</f>
        <v>42</v>
      </c>
      <c r="O10" s="33" t="str">
        <f>IFERROR(VLOOKUP(E10,Sales_Reps!$A:$C,3,FALSE),"")</f>
        <v>North</v>
      </c>
      <c r="P10" s="33">
        <f>IFERROR(VLOOKUP(D10,Products!$A:$D,4,FALSE),"")</f>
        <v>2549</v>
      </c>
      <c r="Q10" s="33">
        <f t="shared" si="0"/>
        <v>0.53570127504553733</v>
      </c>
    </row>
    <row r="11" spans="1:17" x14ac:dyDescent="0.3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  <c r="L11" t="str">
        <f>IFERROR(VLOOKUP(D11,Products!$A:$C,3,FALSE),"")</f>
        <v>Grocery</v>
      </c>
      <c r="M11" t="str">
        <f>IFERROR(VLOOKUP(C11,Customers!$A:$E,5,FALSE),"")</f>
        <v>Retail</v>
      </c>
      <c r="N11">
        <f>IFERROR(VLOOKUP(C11,Customers!$A:$E,3,FALSE),"")</f>
        <v>56</v>
      </c>
      <c r="O11" s="33" t="str">
        <f>IFERROR(VLOOKUP(E11,Sales_Reps!$A:$C,3,FALSE),"")</f>
        <v>West</v>
      </c>
      <c r="P11" s="33">
        <f>IFERROR(VLOOKUP(D11,Products!$A:$D,4,FALSE),"")</f>
        <v>434</v>
      </c>
      <c r="Q11" s="33">
        <f t="shared" si="0"/>
        <v>0.5525773195876289</v>
      </c>
    </row>
    <row r="12" spans="1:17" x14ac:dyDescent="0.3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  <c r="L12" t="str">
        <f>IFERROR(VLOOKUP(D12,Products!$A:$C,3,FALSE),"")</f>
        <v>Grocery</v>
      </c>
      <c r="M12" t="str">
        <f>IFERROR(VLOOKUP(C12,Customers!$A:$E,5,FALSE),"")</f>
        <v>Retail</v>
      </c>
      <c r="N12">
        <f>IFERROR(VLOOKUP(C12,Customers!$A:$E,3,FALSE),"")</f>
        <v>60</v>
      </c>
      <c r="O12" s="33" t="str">
        <f>IFERROR(VLOOKUP(E12,Sales_Reps!$A:$C,3,FALSE),"")</f>
        <v>South</v>
      </c>
      <c r="P12" s="33">
        <f>IFERROR(VLOOKUP(D12,Products!$A:$D,4,FALSE),"")</f>
        <v>1203</v>
      </c>
      <c r="Q12" s="33">
        <f t="shared" si="0"/>
        <v>0.47004405286343615</v>
      </c>
    </row>
    <row r="13" spans="1:17" x14ac:dyDescent="0.3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  <c r="L13" t="str">
        <f>IFERROR(VLOOKUP(D13,Products!$A:$C,3,FALSE),"")</f>
        <v>Electronics</v>
      </c>
      <c r="M13" t="str">
        <f>IFERROR(VLOOKUP(C13,Customers!$A:$E,5,FALSE),"")</f>
        <v>Retail</v>
      </c>
      <c r="N13">
        <f>IFERROR(VLOOKUP(C13,Customers!$A:$E,3,FALSE),"")</f>
        <v>56</v>
      </c>
      <c r="O13" s="33" t="str">
        <f>IFERROR(VLOOKUP(E13,Sales_Reps!$A:$C,3,FALSE),"")</f>
        <v>West</v>
      </c>
      <c r="P13" s="33">
        <f>IFERROR(VLOOKUP(D13,Products!$A:$D,4,FALSE),"")</f>
        <v>1149</v>
      </c>
      <c r="Q13" s="33">
        <f t="shared" si="0"/>
        <v>0.56477272727272732</v>
      </c>
    </row>
    <row r="14" spans="1:17" x14ac:dyDescent="0.3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  <c r="L14" t="str">
        <f>IFERROR(VLOOKUP(D14,Products!$A:$C,3,FALSE),"")</f>
        <v>Electronics</v>
      </c>
      <c r="M14" t="str">
        <f>IFERROR(VLOOKUP(C14,Customers!$A:$E,5,FALSE),"")</f>
        <v>SMB</v>
      </c>
      <c r="N14">
        <f>IFERROR(VLOOKUP(C14,Customers!$A:$E,3,FALSE),"")</f>
        <v>27</v>
      </c>
      <c r="O14" s="33" t="str">
        <f>IFERROR(VLOOKUP(E14,Sales_Reps!$A:$C,3,FALSE),"")</f>
        <v>North</v>
      </c>
      <c r="P14" s="33">
        <f>IFERROR(VLOOKUP(D14,Products!$A:$D,4,FALSE),"")</f>
        <v>1052</v>
      </c>
      <c r="Q14" s="33">
        <f t="shared" si="0"/>
        <v>0.5953846153846154</v>
      </c>
    </row>
    <row r="15" spans="1:17" x14ac:dyDescent="0.3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  <c r="L15" t="str">
        <f>IFERROR(VLOOKUP(D15,Products!$A:$C,3,FALSE),"")</f>
        <v>Home</v>
      </c>
      <c r="M15" t="str">
        <f>IFERROR(VLOOKUP(C15,Customers!$A:$E,5,FALSE),"")</f>
        <v>SMB</v>
      </c>
      <c r="N15">
        <f>IFERROR(VLOOKUP(C15,Customers!$A:$E,3,FALSE),"")</f>
        <v>39</v>
      </c>
      <c r="O15" s="33" t="str">
        <f>IFERROR(VLOOKUP(E15,Sales_Reps!$A:$C,3,FALSE),"")</f>
        <v>West</v>
      </c>
      <c r="P15" s="33">
        <f>IFERROR(VLOOKUP(D15,Products!$A:$D,4,FALSE),"")</f>
        <v>1556</v>
      </c>
      <c r="Q15" s="33">
        <f t="shared" si="0"/>
        <v>0.52123076923076928</v>
      </c>
    </row>
    <row r="16" spans="1:17" x14ac:dyDescent="0.3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  <c r="L16" t="str">
        <f>IFERROR(VLOOKUP(D16,Products!$A:$C,3,FALSE),"")</f>
        <v>Sports</v>
      </c>
      <c r="M16" t="str">
        <f>IFERROR(VLOOKUP(C16,Customers!$A:$E,5,FALSE),"")</f>
        <v>Retail</v>
      </c>
      <c r="N16">
        <f>IFERROR(VLOOKUP(C16,Customers!$A:$E,3,FALSE),"")</f>
        <v>38</v>
      </c>
      <c r="O16" s="33" t="str">
        <f>IFERROR(VLOOKUP(E16,Sales_Reps!$A:$C,3,FALSE),"")</f>
        <v>North</v>
      </c>
      <c r="P16" s="33">
        <f>IFERROR(VLOOKUP(D16,Products!$A:$D,4,FALSE),"")</f>
        <v>147</v>
      </c>
      <c r="Q16" s="33">
        <f t="shared" si="0"/>
        <v>0.22631578947368422</v>
      </c>
    </row>
    <row r="17" spans="1:17" x14ac:dyDescent="0.3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  <c r="L17" t="str">
        <f>IFERROR(VLOOKUP(D17,Products!$A:$C,3,FALSE),"")</f>
        <v>Sports</v>
      </c>
      <c r="M17" t="str">
        <f>IFERROR(VLOOKUP(C17,Customers!$A:$E,5,FALSE),"")</f>
        <v>Retail</v>
      </c>
      <c r="N17">
        <f>IFERROR(VLOOKUP(C17,Customers!$A:$E,3,FALSE),"")</f>
        <v>63</v>
      </c>
      <c r="O17" s="33" t="str">
        <f>IFERROR(VLOOKUP(E17,Sales_Reps!$A:$C,3,FALSE),"")</f>
        <v>South</v>
      </c>
      <c r="P17" s="33">
        <f>IFERROR(VLOOKUP(D17,Products!$A:$D,4,FALSE),"")</f>
        <v>974</v>
      </c>
      <c r="Q17" s="33">
        <f t="shared" si="0"/>
        <v>0.59416666666666662</v>
      </c>
    </row>
    <row r="18" spans="1:17" x14ac:dyDescent="0.3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  <c r="L18" t="str">
        <f>IFERROR(VLOOKUP(D18,Products!$A:$C,3,FALSE),"")</f>
        <v>Grocery</v>
      </c>
      <c r="M18" t="str">
        <f>IFERROR(VLOOKUP(C18,Customers!$A:$E,5,FALSE),"")</f>
        <v>SMB</v>
      </c>
      <c r="N18">
        <f>IFERROR(VLOOKUP(C18,Customers!$A:$E,3,FALSE),"")</f>
        <v>46</v>
      </c>
      <c r="O18" s="33" t="str">
        <f>IFERROR(VLOOKUP(E18,Sales_Reps!$A:$C,3,FALSE),"")</f>
        <v>East</v>
      </c>
      <c r="P18" s="33">
        <f>IFERROR(VLOOKUP(D18,Products!$A:$D,4,FALSE),"")</f>
        <v>2214</v>
      </c>
      <c r="Q18" s="33">
        <f t="shared" si="0"/>
        <v>0.39508196721311473</v>
      </c>
    </row>
    <row r="19" spans="1:17" x14ac:dyDescent="0.3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  <c r="L19" t="str">
        <f>IFERROR(VLOOKUP(D19,Products!$A:$C,3,FALSE),"")</f>
        <v>Beauty</v>
      </c>
      <c r="M19" t="str">
        <f>IFERROR(VLOOKUP(C19,Customers!$A:$E,5,FALSE),"")</f>
        <v>Corporate</v>
      </c>
      <c r="N19">
        <f>IFERROR(VLOOKUP(C19,Customers!$A:$E,3,FALSE),"")</f>
        <v>32</v>
      </c>
      <c r="O19" s="33" t="str">
        <f>IFERROR(VLOOKUP(E19,Sales_Reps!$A:$C,3,FALSE),"")</f>
        <v>East</v>
      </c>
      <c r="P19" s="33">
        <f>IFERROR(VLOOKUP(D19,Products!$A:$D,4,FALSE),"")</f>
        <v>2420</v>
      </c>
      <c r="Q19" s="33">
        <f t="shared" si="0"/>
        <v>0.29855072463768118</v>
      </c>
    </row>
    <row r="20" spans="1:17" x14ac:dyDescent="0.3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  <c r="L20" t="str">
        <f>IFERROR(VLOOKUP(D20,Products!$A:$C,3,FALSE),"")</f>
        <v>Sports</v>
      </c>
      <c r="M20" t="str">
        <f>IFERROR(VLOOKUP(C20,Customers!$A:$E,5,FALSE),"")</f>
        <v>Retail</v>
      </c>
      <c r="N20">
        <f>IFERROR(VLOOKUP(C20,Customers!$A:$E,3,FALSE),"")</f>
        <v>54</v>
      </c>
      <c r="O20" s="33" t="str">
        <f>IFERROR(VLOOKUP(E20,Sales_Reps!$A:$C,3,FALSE),"")</f>
        <v>East</v>
      </c>
      <c r="P20" s="33">
        <f>IFERROR(VLOOKUP(D20,Products!$A:$D,4,FALSE),"")</f>
        <v>2467</v>
      </c>
      <c r="Q20" s="33">
        <f t="shared" si="0"/>
        <v>0.28492753623188405</v>
      </c>
    </row>
    <row r="21" spans="1:17" x14ac:dyDescent="0.3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  <c r="L21" t="str">
        <f>IFERROR(VLOOKUP(D21,Products!$A:$C,3,FALSE),"")</f>
        <v>Home</v>
      </c>
      <c r="M21" t="str">
        <f>IFERROR(VLOOKUP(C21,Customers!$A:$E,5,FALSE),"")</f>
        <v>Retail</v>
      </c>
      <c r="N21">
        <f>IFERROR(VLOOKUP(C21,Customers!$A:$E,3,FALSE),"")</f>
        <v>49</v>
      </c>
      <c r="O21" s="33" t="str">
        <f>IFERROR(VLOOKUP(E21,Sales_Reps!$A:$C,3,FALSE),"")</f>
        <v>East</v>
      </c>
      <c r="P21" s="33">
        <f>IFERROR(VLOOKUP(D21,Products!$A:$D,4,FALSE),"")</f>
        <v>519</v>
      </c>
      <c r="Q21" s="33">
        <f t="shared" si="0"/>
        <v>0.51944444444444449</v>
      </c>
    </row>
    <row r="22" spans="1:17" x14ac:dyDescent="0.3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  <c r="L22" t="str">
        <f>IFERROR(VLOOKUP(D22,Products!$A:$C,3,FALSE),"")</f>
        <v>Apparel</v>
      </c>
      <c r="M22" t="str">
        <f>IFERROR(VLOOKUP(C22,Customers!$A:$E,5,FALSE),"")</f>
        <v>Retail</v>
      </c>
      <c r="N22">
        <f>IFERROR(VLOOKUP(C22,Customers!$A:$E,3,FALSE),"")</f>
        <v>32</v>
      </c>
      <c r="O22" s="33" t="str">
        <f>IFERROR(VLOOKUP(E22,Sales_Reps!$A:$C,3,FALSE),"")</f>
        <v>North</v>
      </c>
      <c r="P22" s="33">
        <f>IFERROR(VLOOKUP(D22,Products!$A:$D,4,FALSE),"")</f>
        <v>1173</v>
      </c>
      <c r="Q22" s="33">
        <f t="shared" si="0"/>
        <v>0.52701612903225803</v>
      </c>
    </row>
    <row r="23" spans="1:17" x14ac:dyDescent="0.3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  <c r="L23" t="str">
        <f>IFERROR(VLOOKUP(D23,Products!$A:$C,3,FALSE),"")</f>
        <v>Home</v>
      </c>
      <c r="M23" t="str">
        <f>IFERROR(VLOOKUP(C23,Customers!$A:$E,5,FALSE),"")</f>
        <v>Retail</v>
      </c>
      <c r="N23">
        <f>IFERROR(VLOOKUP(C23,Customers!$A:$E,3,FALSE),"")</f>
        <v>34</v>
      </c>
      <c r="O23" s="33" t="str">
        <f>IFERROR(VLOOKUP(E23,Sales_Reps!$A:$C,3,FALSE),"")</f>
        <v>West</v>
      </c>
      <c r="P23" s="33">
        <f>IFERROR(VLOOKUP(D23,Products!$A:$D,4,FALSE),"")</f>
        <v>1556</v>
      </c>
      <c r="Q23" s="33">
        <f t="shared" si="0"/>
        <v>0.52123076923076928</v>
      </c>
    </row>
    <row r="24" spans="1:17" x14ac:dyDescent="0.3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  <c r="L24" t="str">
        <f>IFERROR(VLOOKUP(D24,Products!$A:$C,3,FALSE),"")</f>
        <v>Apparel</v>
      </c>
      <c r="M24" t="str">
        <f>IFERROR(VLOOKUP(C24,Customers!$A:$E,5,FALSE),"")</f>
        <v>Retail</v>
      </c>
      <c r="N24">
        <f>IFERROR(VLOOKUP(C24,Customers!$A:$E,3,FALSE),"")</f>
        <v>50</v>
      </c>
      <c r="O24" s="33" t="str">
        <f>IFERROR(VLOOKUP(E24,Sales_Reps!$A:$C,3,FALSE),"")</f>
        <v>West</v>
      </c>
      <c r="P24" s="33">
        <f>IFERROR(VLOOKUP(D24,Products!$A:$D,4,FALSE),"")</f>
        <v>1962</v>
      </c>
      <c r="Q24" s="33">
        <f t="shared" si="0"/>
        <v>0.2786764705882353</v>
      </c>
    </row>
    <row r="25" spans="1:17" x14ac:dyDescent="0.3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  <c r="L25" t="str">
        <f>IFERROR(VLOOKUP(D25,Products!$A:$C,3,FALSE),"")</f>
        <v>Beauty</v>
      </c>
      <c r="M25" t="str">
        <f>IFERROR(VLOOKUP(C25,Customers!$A:$E,5,FALSE),"")</f>
        <v>SMB</v>
      </c>
      <c r="N25">
        <f>IFERROR(VLOOKUP(C25,Customers!$A:$E,3,FALSE),"")</f>
        <v>40</v>
      </c>
      <c r="O25" s="33" t="str">
        <f>IFERROR(VLOOKUP(E25,Sales_Reps!$A:$C,3,FALSE),"")</f>
        <v>North</v>
      </c>
      <c r="P25" s="33">
        <f>IFERROR(VLOOKUP(D25,Products!$A:$D,4,FALSE),"")</f>
        <v>1222</v>
      </c>
      <c r="Q25" s="33">
        <f t="shared" si="0"/>
        <v>0.2593939393939394</v>
      </c>
    </row>
    <row r="26" spans="1:17" x14ac:dyDescent="0.3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  <c r="L26" t="str">
        <f>IFERROR(VLOOKUP(D26,Products!$A:$C,3,FALSE),"")</f>
        <v>Beauty</v>
      </c>
      <c r="M26" t="str">
        <f>IFERROR(VLOOKUP(C26,Customers!$A:$E,5,FALSE),"")</f>
        <v>Corporate</v>
      </c>
      <c r="N26">
        <f>IFERROR(VLOOKUP(C26,Customers!$A:$E,3,FALSE),"")</f>
        <v>55</v>
      </c>
      <c r="O26" s="33" t="str">
        <f>IFERROR(VLOOKUP(E26,Sales_Reps!$A:$C,3,FALSE),"")</f>
        <v>East</v>
      </c>
      <c r="P26" s="33">
        <f>IFERROR(VLOOKUP(D26,Products!$A:$D,4,FALSE),"")</f>
        <v>1728</v>
      </c>
      <c r="Q26" s="33">
        <f t="shared" si="0"/>
        <v>0.48417910447761192</v>
      </c>
    </row>
    <row r="27" spans="1:17" x14ac:dyDescent="0.3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  <c r="L27" t="str">
        <f>IFERROR(VLOOKUP(D27,Products!$A:$C,3,FALSE),"")</f>
        <v>Sports</v>
      </c>
      <c r="M27" t="str">
        <f>IFERROR(VLOOKUP(C27,Customers!$A:$E,5,FALSE),"")</f>
        <v>Retail</v>
      </c>
      <c r="N27">
        <f>IFERROR(VLOOKUP(C27,Customers!$A:$E,3,FALSE),"")</f>
        <v>31</v>
      </c>
      <c r="O27" s="33" t="str">
        <f>IFERROR(VLOOKUP(E27,Sales_Reps!$A:$C,3,FALSE),"")</f>
        <v>East</v>
      </c>
      <c r="P27" s="33">
        <f>IFERROR(VLOOKUP(D27,Products!$A:$D,4,FALSE),"")</f>
        <v>516</v>
      </c>
      <c r="Q27" s="33">
        <f t="shared" si="0"/>
        <v>0.4891089108910891</v>
      </c>
    </row>
    <row r="28" spans="1:17" x14ac:dyDescent="0.3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  <c r="L28" t="str">
        <f>IFERROR(VLOOKUP(D28,Products!$A:$C,3,FALSE),"")</f>
        <v>Beauty</v>
      </c>
      <c r="M28" t="str">
        <f>IFERROR(VLOOKUP(C28,Customers!$A:$E,5,FALSE),"")</f>
        <v>Retail</v>
      </c>
      <c r="N28">
        <f>IFERROR(VLOOKUP(C28,Customers!$A:$E,3,FALSE),"")</f>
        <v>52</v>
      </c>
      <c r="O28" s="33" t="str">
        <f>IFERROR(VLOOKUP(E28,Sales_Reps!$A:$C,3,FALSE),"")</f>
        <v>North</v>
      </c>
      <c r="P28" s="33">
        <f>IFERROR(VLOOKUP(D28,Products!$A:$D,4,FALSE),"")</f>
        <v>2768</v>
      </c>
      <c r="Q28" s="33">
        <f t="shared" si="0"/>
        <v>0.43278688524590164</v>
      </c>
    </row>
    <row r="29" spans="1:17" x14ac:dyDescent="0.3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  <c r="L29" t="str">
        <f>IFERROR(VLOOKUP(D29,Products!$A:$C,3,FALSE),"")</f>
        <v>Electronics</v>
      </c>
      <c r="M29" t="str">
        <f>IFERROR(VLOOKUP(C29,Customers!$A:$E,5,FALSE),"")</f>
        <v>SMB</v>
      </c>
      <c r="N29">
        <f>IFERROR(VLOOKUP(C29,Customers!$A:$E,3,FALSE),"")</f>
        <v>52</v>
      </c>
      <c r="O29" s="33" t="str">
        <f>IFERROR(VLOOKUP(E29,Sales_Reps!$A:$C,3,FALSE),"")</f>
        <v>South</v>
      </c>
      <c r="P29" s="33">
        <f>IFERROR(VLOOKUP(D29,Products!$A:$D,4,FALSE),"")</f>
        <v>1665</v>
      </c>
      <c r="Q29" s="33">
        <f t="shared" si="0"/>
        <v>0.53361344537815125</v>
      </c>
    </row>
    <row r="30" spans="1:17" x14ac:dyDescent="0.3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  <c r="L30" t="str">
        <f>IFERROR(VLOOKUP(D30,Products!$A:$C,3,FALSE),"")</f>
        <v>Beauty</v>
      </c>
      <c r="M30" t="str">
        <f>IFERROR(VLOOKUP(C30,Customers!$A:$E,5,FALSE),"")</f>
        <v>Corporate</v>
      </c>
      <c r="N30">
        <f>IFERROR(VLOOKUP(C30,Customers!$A:$E,3,FALSE),"")</f>
        <v>56</v>
      </c>
      <c r="O30" s="33" t="str">
        <f>IFERROR(VLOOKUP(E30,Sales_Reps!$A:$C,3,FALSE),"")</f>
        <v>East</v>
      </c>
      <c r="P30" s="33">
        <f>IFERROR(VLOOKUP(D30,Products!$A:$D,4,FALSE),"")</f>
        <v>2237</v>
      </c>
      <c r="Q30" s="33">
        <f t="shared" si="0"/>
        <v>0.56137254901960787</v>
      </c>
    </row>
    <row r="31" spans="1:17" x14ac:dyDescent="0.3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  <c r="L31" t="str">
        <f>IFERROR(VLOOKUP(D31,Products!$A:$C,3,FALSE),"")</f>
        <v>Sports</v>
      </c>
      <c r="M31" t="str">
        <f>IFERROR(VLOOKUP(C31,Customers!$A:$E,5,FALSE),"")</f>
        <v>SMB</v>
      </c>
      <c r="N31">
        <f>IFERROR(VLOOKUP(C31,Customers!$A:$E,3,FALSE),"")</f>
        <v>44</v>
      </c>
      <c r="O31" s="33" t="str">
        <f>IFERROR(VLOOKUP(E31,Sales_Reps!$A:$C,3,FALSE),"")</f>
        <v>North</v>
      </c>
      <c r="P31" s="33">
        <f>IFERROR(VLOOKUP(D31,Products!$A:$D,4,FALSE),"")</f>
        <v>2028</v>
      </c>
      <c r="Q31" s="33">
        <f t="shared" si="0"/>
        <v>0.29090909090909089</v>
      </c>
    </row>
    <row r="32" spans="1:17" x14ac:dyDescent="0.3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  <c r="L32" t="str">
        <f>IFERROR(VLOOKUP(D32,Products!$A:$C,3,FALSE),"")</f>
        <v>Grocery</v>
      </c>
      <c r="M32" t="str">
        <f>IFERROR(VLOOKUP(C32,Customers!$A:$E,5,FALSE),"")</f>
        <v>Corporate</v>
      </c>
      <c r="N32">
        <f>IFERROR(VLOOKUP(C32,Customers!$A:$E,3,FALSE),"")</f>
        <v>47</v>
      </c>
      <c r="O32" s="33" t="str">
        <f>IFERROR(VLOOKUP(E32,Sales_Reps!$A:$C,3,FALSE),"")</f>
        <v>North</v>
      </c>
      <c r="P32" s="33">
        <f>IFERROR(VLOOKUP(D32,Products!$A:$D,4,FALSE),"")</f>
        <v>434</v>
      </c>
      <c r="Q32" s="33">
        <f t="shared" si="0"/>
        <v>0.5525773195876289</v>
      </c>
    </row>
    <row r="33" spans="1:17" x14ac:dyDescent="0.3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  <c r="L33" t="str">
        <f>IFERROR(VLOOKUP(D33,Products!$A:$C,3,FALSE),"")</f>
        <v>Grocery</v>
      </c>
      <c r="M33" t="str">
        <f>IFERROR(VLOOKUP(C33,Customers!$A:$E,5,FALSE),"")</f>
        <v>Retail</v>
      </c>
      <c r="N33">
        <f>IFERROR(VLOOKUP(C33,Customers!$A:$E,3,FALSE),"")</f>
        <v>53</v>
      </c>
      <c r="O33" s="33" t="str">
        <f>IFERROR(VLOOKUP(E33,Sales_Reps!$A:$C,3,FALSE),"")</f>
        <v>West</v>
      </c>
      <c r="P33" s="33">
        <f>IFERROR(VLOOKUP(D33,Products!$A:$D,4,FALSE),"")</f>
        <v>1435</v>
      </c>
      <c r="Q33" s="33">
        <f t="shared" si="0"/>
        <v>0.48007246376811596</v>
      </c>
    </row>
    <row r="34" spans="1:17" x14ac:dyDescent="0.3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  <c r="L34" t="str">
        <f>IFERROR(VLOOKUP(D34,Products!$A:$C,3,FALSE),"")</f>
        <v>Home</v>
      </c>
      <c r="M34" t="str">
        <f>IFERROR(VLOOKUP(C34,Customers!$A:$E,5,FALSE),"")</f>
        <v>Corporate</v>
      </c>
      <c r="N34">
        <f>IFERROR(VLOOKUP(C34,Customers!$A:$E,3,FALSE),"")</f>
        <v>32</v>
      </c>
      <c r="O34" s="33" t="str">
        <f>IFERROR(VLOOKUP(E34,Sales_Reps!$A:$C,3,FALSE),"")</f>
        <v>South</v>
      </c>
      <c r="P34" s="33">
        <f>IFERROR(VLOOKUP(D34,Products!$A:$D,4,FALSE),"")</f>
        <v>329</v>
      </c>
      <c r="Q34" s="33">
        <f t="shared" si="0"/>
        <v>0.50151515151515147</v>
      </c>
    </row>
    <row r="35" spans="1:17" x14ac:dyDescent="0.3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  <c r="L35" t="str">
        <f>IFERROR(VLOOKUP(D35,Products!$A:$C,3,FALSE),"")</f>
        <v>Home</v>
      </c>
      <c r="M35" t="str">
        <f>IFERROR(VLOOKUP(C35,Customers!$A:$E,5,FALSE),"")</f>
        <v>SMB</v>
      </c>
      <c r="N35">
        <f>IFERROR(VLOOKUP(C35,Customers!$A:$E,3,FALSE),"")</f>
        <v>40</v>
      </c>
      <c r="O35" s="33" t="str">
        <f>IFERROR(VLOOKUP(E35,Sales_Reps!$A:$C,3,FALSE),"")</f>
        <v>East</v>
      </c>
      <c r="P35" s="33">
        <f>IFERROR(VLOOKUP(D35,Products!$A:$D,4,FALSE),"")</f>
        <v>1556</v>
      </c>
      <c r="Q35" s="33">
        <f t="shared" si="0"/>
        <v>0.52123076923076928</v>
      </c>
    </row>
    <row r="36" spans="1:17" x14ac:dyDescent="0.3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  <c r="L36" t="str">
        <f>IFERROR(VLOOKUP(D36,Products!$A:$C,3,FALSE),"")</f>
        <v>Beauty</v>
      </c>
      <c r="M36" t="str">
        <f>IFERROR(VLOOKUP(C36,Customers!$A:$E,5,FALSE),"")</f>
        <v>Retail</v>
      </c>
      <c r="N36">
        <f>IFERROR(VLOOKUP(C36,Customers!$A:$E,3,FALSE),"")</f>
        <v>26</v>
      </c>
      <c r="O36" s="33" t="str">
        <f>IFERROR(VLOOKUP(E36,Sales_Reps!$A:$C,3,FALSE),"")</f>
        <v>East</v>
      </c>
      <c r="P36" s="33">
        <f>IFERROR(VLOOKUP(D36,Products!$A:$D,4,FALSE),"")</f>
        <v>2237</v>
      </c>
      <c r="Q36" s="33">
        <f t="shared" si="0"/>
        <v>0.56137254901960787</v>
      </c>
    </row>
    <row r="37" spans="1:17" x14ac:dyDescent="0.3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  <c r="L37" t="str">
        <f>IFERROR(VLOOKUP(D37,Products!$A:$C,3,FALSE),"")</f>
        <v>Home</v>
      </c>
      <c r="M37" t="str">
        <f>IFERROR(VLOOKUP(C37,Customers!$A:$E,5,FALSE),"")</f>
        <v>Retail</v>
      </c>
      <c r="N37">
        <f>IFERROR(VLOOKUP(C37,Customers!$A:$E,3,FALSE),"")</f>
        <v>41</v>
      </c>
      <c r="O37" s="33" t="str">
        <f>IFERROR(VLOOKUP(E37,Sales_Reps!$A:$C,3,FALSE),"")</f>
        <v>East</v>
      </c>
      <c r="P37" s="33">
        <f>IFERROR(VLOOKUP(D37,Products!$A:$D,4,FALSE),"")</f>
        <v>519</v>
      </c>
      <c r="Q37" s="33">
        <f t="shared" si="0"/>
        <v>0.51944444444444449</v>
      </c>
    </row>
    <row r="38" spans="1:17" x14ac:dyDescent="0.3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  <c r="L38" t="str">
        <f>IFERROR(VLOOKUP(D38,Products!$A:$C,3,FALSE),"")</f>
        <v>Home</v>
      </c>
      <c r="M38" t="str">
        <f>IFERROR(VLOOKUP(C38,Customers!$A:$E,5,FALSE),"")</f>
        <v>SMB</v>
      </c>
      <c r="N38">
        <f>IFERROR(VLOOKUP(C38,Customers!$A:$E,3,FALSE),"")</f>
        <v>36</v>
      </c>
      <c r="O38" s="33" t="str">
        <f>IFERROR(VLOOKUP(E38,Sales_Reps!$A:$C,3,FALSE),"")</f>
        <v>South</v>
      </c>
      <c r="P38" s="33">
        <f>IFERROR(VLOOKUP(D38,Products!$A:$D,4,FALSE),"")</f>
        <v>2549</v>
      </c>
      <c r="Q38" s="33">
        <f t="shared" si="0"/>
        <v>0.53570127504553733</v>
      </c>
    </row>
    <row r="39" spans="1:17" x14ac:dyDescent="0.3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  <c r="L39" t="str">
        <f>IFERROR(VLOOKUP(D39,Products!$A:$C,3,FALSE),"")</f>
        <v>Sports</v>
      </c>
      <c r="M39" t="str">
        <f>IFERROR(VLOOKUP(C39,Customers!$A:$E,5,FALSE),"")</f>
        <v>Retail</v>
      </c>
      <c r="N39">
        <f>IFERROR(VLOOKUP(C39,Customers!$A:$E,3,FALSE),"")</f>
        <v>42</v>
      </c>
      <c r="O39" s="33" t="str">
        <f>IFERROR(VLOOKUP(E39,Sales_Reps!$A:$C,3,FALSE),"")</f>
        <v>North</v>
      </c>
      <c r="P39" s="33">
        <f>IFERROR(VLOOKUP(D39,Products!$A:$D,4,FALSE),"")</f>
        <v>147</v>
      </c>
      <c r="Q39" s="33">
        <f t="shared" si="0"/>
        <v>0.22631578947368422</v>
      </c>
    </row>
    <row r="40" spans="1:17" x14ac:dyDescent="0.3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  <c r="L40" t="str">
        <f>IFERROR(VLOOKUP(D40,Products!$A:$C,3,FALSE),"")</f>
        <v>Sports</v>
      </c>
      <c r="M40" t="str">
        <f>IFERROR(VLOOKUP(C40,Customers!$A:$E,5,FALSE),"")</f>
        <v>Retail</v>
      </c>
      <c r="N40">
        <f>IFERROR(VLOOKUP(C40,Customers!$A:$E,3,FALSE),"")</f>
        <v>51</v>
      </c>
      <c r="O40" s="33" t="str">
        <f>IFERROR(VLOOKUP(E40,Sales_Reps!$A:$C,3,FALSE),"")</f>
        <v>South</v>
      </c>
      <c r="P40" s="33">
        <f>IFERROR(VLOOKUP(D40,Products!$A:$D,4,FALSE),"")</f>
        <v>974</v>
      </c>
      <c r="Q40" s="33">
        <f t="shared" si="0"/>
        <v>0.59416666666666662</v>
      </c>
    </row>
    <row r="41" spans="1:17" x14ac:dyDescent="0.3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  <c r="L41" t="str">
        <f>IFERROR(VLOOKUP(D41,Products!$A:$C,3,FALSE),"")</f>
        <v>Beauty</v>
      </c>
      <c r="M41" t="str">
        <f>IFERROR(VLOOKUP(C41,Customers!$A:$E,5,FALSE),"")</f>
        <v>SMB</v>
      </c>
      <c r="N41">
        <f>IFERROR(VLOOKUP(C41,Customers!$A:$E,3,FALSE),"")</f>
        <v>50</v>
      </c>
      <c r="O41" s="33" t="str">
        <f>IFERROR(VLOOKUP(E41,Sales_Reps!$A:$C,3,FALSE),"")</f>
        <v>East</v>
      </c>
      <c r="P41" s="33">
        <f>IFERROR(VLOOKUP(D41,Products!$A:$D,4,FALSE),"")</f>
        <v>1222</v>
      </c>
      <c r="Q41" s="33">
        <f t="shared" si="0"/>
        <v>0.2593939393939394</v>
      </c>
    </row>
    <row r="42" spans="1:17" x14ac:dyDescent="0.3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  <c r="L42" t="str">
        <f>IFERROR(VLOOKUP(D42,Products!$A:$C,3,FALSE),"")</f>
        <v>Home</v>
      </c>
      <c r="M42" t="str">
        <f>IFERROR(VLOOKUP(C42,Customers!$A:$E,5,FALSE),"")</f>
        <v/>
      </c>
      <c r="N42" t="str">
        <f>IFERROR(VLOOKUP(C42,Customers!$A:$E,3,FALSE),"")</f>
        <v/>
      </c>
      <c r="O42" s="33" t="str">
        <f>IFERROR(VLOOKUP(E42,Sales_Reps!$A:$C,3,FALSE),"")</f>
        <v>North</v>
      </c>
      <c r="P42" s="33">
        <f>IFERROR(VLOOKUP(D42,Products!$A:$D,4,FALSE),"")</f>
        <v>2549</v>
      </c>
      <c r="Q42" s="33">
        <f t="shared" si="0"/>
        <v>0.53570127504553733</v>
      </c>
    </row>
    <row r="43" spans="1:17" x14ac:dyDescent="0.3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  <c r="L43" t="str">
        <f>IFERROR(VLOOKUP(D43,Products!$A:$C,3,FALSE),"")</f>
        <v>Beauty</v>
      </c>
      <c r="M43" t="str">
        <f>IFERROR(VLOOKUP(C43,Customers!$A:$E,5,FALSE),"")</f>
        <v>Retail</v>
      </c>
      <c r="N43">
        <f>IFERROR(VLOOKUP(C43,Customers!$A:$E,3,FALSE),"")</f>
        <v>53</v>
      </c>
      <c r="O43" s="33" t="str">
        <f>IFERROR(VLOOKUP(E43,Sales_Reps!$A:$C,3,FALSE),"")</f>
        <v>South</v>
      </c>
      <c r="P43" s="33">
        <f>IFERROR(VLOOKUP(D43,Products!$A:$D,4,FALSE),"")</f>
        <v>2768</v>
      </c>
      <c r="Q43" s="33">
        <f t="shared" si="0"/>
        <v>0.43278688524590164</v>
      </c>
    </row>
    <row r="44" spans="1:17" x14ac:dyDescent="0.3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  <c r="L44" t="str">
        <f>IFERROR(VLOOKUP(D44,Products!$A:$C,3,FALSE),"")</f>
        <v>Home</v>
      </c>
      <c r="M44" t="str">
        <f>IFERROR(VLOOKUP(C44,Customers!$A:$E,5,FALSE),"")</f>
        <v>Retail</v>
      </c>
      <c r="N44">
        <f>IFERROR(VLOOKUP(C44,Customers!$A:$E,3,FALSE),"")</f>
        <v>37</v>
      </c>
      <c r="O44" s="33" t="str">
        <f>IFERROR(VLOOKUP(E44,Sales_Reps!$A:$C,3,FALSE),"")</f>
        <v>East</v>
      </c>
      <c r="P44" s="33">
        <f>IFERROR(VLOOKUP(D44,Products!$A:$D,4,FALSE),"")</f>
        <v>2135</v>
      </c>
      <c r="Q44" s="33">
        <f t="shared" si="0"/>
        <v>0.42761394101876676</v>
      </c>
    </row>
    <row r="45" spans="1:17" x14ac:dyDescent="0.3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  <c r="L45" t="str">
        <f>IFERROR(VLOOKUP(D45,Products!$A:$C,3,FALSE),"")</f>
        <v>Beauty</v>
      </c>
      <c r="M45" t="str">
        <f>IFERROR(VLOOKUP(C45,Customers!$A:$E,5,FALSE),"")</f>
        <v>SMB</v>
      </c>
      <c r="N45">
        <f>IFERROR(VLOOKUP(C45,Customers!$A:$E,3,FALSE),"")</f>
        <v>54</v>
      </c>
      <c r="O45" s="33" t="str">
        <f>IFERROR(VLOOKUP(E45,Sales_Reps!$A:$C,3,FALSE),"")</f>
        <v>West</v>
      </c>
      <c r="P45" s="33">
        <f>IFERROR(VLOOKUP(D45,Products!$A:$D,4,FALSE),"")</f>
        <v>2420</v>
      </c>
      <c r="Q45" s="33">
        <f t="shared" si="0"/>
        <v>0.29855072463768118</v>
      </c>
    </row>
    <row r="46" spans="1:17" x14ac:dyDescent="0.3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  <c r="L46" t="str">
        <f>IFERROR(VLOOKUP(D46,Products!$A:$C,3,FALSE),"")</f>
        <v>Apparel</v>
      </c>
      <c r="M46" t="str">
        <f>IFERROR(VLOOKUP(C46,Customers!$A:$E,5,FALSE),"")</f>
        <v>SMB</v>
      </c>
      <c r="N46">
        <f>IFERROR(VLOOKUP(C46,Customers!$A:$E,3,FALSE),"")</f>
        <v>64</v>
      </c>
      <c r="O46" s="33" t="str">
        <f>IFERROR(VLOOKUP(E46,Sales_Reps!$A:$C,3,FALSE),"")</f>
        <v>East</v>
      </c>
      <c r="P46" s="33">
        <f>IFERROR(VLOOKUP(D46,Products!$A:$D,4,FALSE),"")</f>
        <v>1173</v>
      </c>
      <c r="Q46" s="33">
        <f t="shared" si="0"/>
        <v>0.52701612903225803</v>
      </c>
    </row>
    <row r="47" spans="1:17" x14ac:dyDescent="0.3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  <c r="L47" t="str">
        <f>IFERROR(VLOOKUP(D47,Products!$A:$C,3,FALSE),"")</f>
        <v>Grocery</v>
      </c>
      <c r="M47" t="str">
        <f>IFERROR(VLOOKUP(C47,Customers!$A:$E,5,FALSE),"")</f>
        <v>SMB</v>
      </c>
      <c r="N47">
        <f>IFERROR(VLOOKUP(C47,Customers!$A:$E,3,FALSE),"")</f>
        <v>29</v>
      </c>
      <c r="O47" s="33" t="str">
        <f>IFERROR(VLOOKUP(E47,Sales_Reps!$A:$C,3,FALSE),"")</f>
        <v>South</v>
      </c>
      <c r="P47" s="33">
        <f>IFERROR(VLOOKUP(D47,Products!$A:$D,4,FALSE),"")</f>
        <v>2436</v>
      </c>
      <c r="Q47" s="33">
        <f t="shared" si="0"/>
        <v>0.35555555555555557</v>
      </c>
    </row>
    <row r="48" spans="1:17" x14ac:dyDescent="0.3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  <c r="L48" t="str">
        <f>IFERROR(VLOOKUP(D48,Products!$A:$C,3,FALSE),"")</f>
        <v>Apparel</v>
      </c>
      <c r="M48" t="str">
        <f>IFERROR(VLOOKUP(C48,Customers!$A:$E,5,FALSE),"")</f>
        <v>Retail</v>
      </c>
      <c r="N48">
        <f>IFERROR(VLOOKUP(C48,Customers!$A:$E,3,FALSE),"")</f>
        <v>64</v>
      </c>
      <c r="O48" s="33" t="str">
        <f>IFERROR(VLOOKUP(E48,Sales_Reps!$A:$C,3,FALSE),"")</f>
        <v>East</v>
      </c>
      <c r="P48" s="33">
        <f>IFERROR(VLOOKUP(D48,Products!$A:$D,4,FALSE),"")</f>
        <v>2611</v>
      </c>
      <c r="Q48" s="33">
        <f t="shared" si="0"/>
        <v>0.28269230769230769</v>
      </c>
    </row>
    <row r="49" spans="1:17" x14ac:dyDescent="0.3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  <c r="L49" t="str">
        <f>IFERROR(VLOOKUP(D49,Products!$A:$C,3,FALSE),"")</f>
        <v>Beauty</v>
      </c>
      <c r="M49" t="str">
        <f>IFERROR(VLOOKUP(C49,Customers!$A:$E,5,FALSE),"")</f>
        <v/>
      </c>
      <c r="N49" t="str">
        <f>IFERROR(VLOOKUP(C49,Customers!$A:$E,3,FALSE),"")</f>
        <v/>
      </c>
      <c r="O49" s="33" t="str">
        <f>IFERROR(VLOOKUP(E49,Sales_Reps!$A:$C,3,FALSE),"")</f>
        <v>North</v>
      </c>
      <c r="P49" s="33">
        <f>IFERROR(VLOOKUP(D49,Products!$A:$D,4,FALSE),"")</f>
        <v>2617</v>
      </c>
      <c r="Q49" s="33">
        <f t="shared" si="0"/>
        <v>0.56957236842105263</v>
      </c>
    </row>
    <row r="50" spans="1:17" x14ac:dyDescent="0.3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  <c r="L50" t="str">
        <f>IFERROR(VLOOKUP(D50,Products!$A:$C,3,FALSE),"")</f>
        <v>Grocery</v>
      </c>
      <c r="M50" t="str">
        <f>IFERROR(VLOOKUP(C50,Customers!$A:$E,5,FALSE),"")</f>
        <v>SMB</v>
      </c>
      <c r="N50">
        <f>IFERROR(VLOOKUP(C50,Customers!$A:$E,3,FALSE),"")</f>
        <v>52</v>
      </c>
      <c r="O50" s="33" t="str">
        <f>IFERROR(VLOOKUP(E50,Sales_Reps!$A:$C,3,FALSE),"")</f>
        <v>North</v>
      </c>
      <c r="P50" s="33">
        <f>IFERROR(VLOOKUP(D50,Products!$A:$D,4,FALSE),"")</f>
        <v>434</v>
      </c>
      <c r="Q50" s="33">
        <f t="shared" si="0"/>
        <v>0.5525773195876289</v>
      </c>
    </row>
    <row r="51" spans="1:17" x14ac:dyDescent="0.3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  <c r="L51" t="str">
        <f>IFERROR(VLOOKUP(D51,Products!$A:$C,3,FALSE),"")</f>
        <v>Grocery</v>
      </c>
      <c r="M51" t="str">
        <f>IFERROR(VLOOKUP(C51,Customers!$A:$E,5,FALSE),"")</f>
        <v>Corporate</v>
      </c>
      <c r="N51">
        <f>IFERROR(VLOOKUP(C51,Customers!$A:$E,3,FALSE),"")</f>
        <v>52</v>
      </c>
      <c r="O51" s="33" t="str">
        <f>IFERROR(VLOOKUP(E51,Sales_Reps!$A:$C,3,FALSE),"")</f>
        <v>West</v>
      </c>
      <c r="P51" s="33">
        <f>IFERROR(VLOOKUP(D51,Products!$A:$D,4,FALSE),"")</f>
        <v>1412</v>
      </c>
      <c r="Q51" s="33">
        <f t="shared" si="0"/>
        <v>0.37797356828193834</v>
      </c>
    </row>
    <row r="52" spans="1:17" x14ac:dyDescent="0.3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  <c r="L52" t="str">
        <f>IFERROR(VLOOKUP(D52,Products!$A:$C,3,FALSE),"")</f>
        <v>Electronics</v>
      </c>
      <c r="M52" t="str">
        <f>IFERROR(VLOOKUP(C52,Customers!$A:$E,5,FALSE),"")</f>
        <v>Retail</v>
      </c>
      <c r="N52">
        <f>IFERROR(VLOOKUP(C52,Customers!$A:$E,3,FALSE),"")</f>
        <v>34</v>
      </c>
      <c r="O52" s="33" t="str">
        <f>IFERROR(VLOOKUP(E52,Sales_Reps!$A:$C,3,FALSE),"")</f>
        <v>East</v>
      </c>
      <c r="P52" s="33">
        <f>IFERROR(VLOOKUP(D52,Products!$A:$D,4,FALSE),"")</f>
        <v>1559</v>
      </c>
      <c r="Q52" s="33">
        <f t="shared" si="0"/>
        <v>0.59715762273901807</v>
      </c>
    </row>
    <row r="53" spans="1:17" x14ac:dyDescent="0.3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  <c r="L53" t="str">
        <f>IFERROR(VLOOKUP(D53,Products!$A:$C,3,FALSE),"")</f>
        <v>Beauty</v>
      </c>
      <c r="M53" t="str">
        <f>IFERROR(VLOOKUP(C53,Customers!$A:$E,5,FALSE),"")</f>
        <v>SMB</v>
      </c>
      <c r="N53">
        <f>IFERROR(VLOOKUP(C53,Customers!$A:$E,3,FALSE),"")</f>
        <v>34</v>
      </c>
      <c r="O53" s="33" t="str">
        <f>IFERROR(VLOOKUP(E53,Sales_Reps!$A:$C,3,FALSE),"")</f>
        <v>South</v>
      </c>
      <c r="P53" s="33">
        <f>IFERROR(VLOOKUP(D53,Products!$A:$D,4,FALSE),"")</f>
        <v>2768</v>
      </c>
      <c r="Q53" s="33">
        <f t="shared" si="0"/>
        <v>0.43278688524590164</v>
      </c>
    </row>
    <row r="54" spans="1:17" x14ac:dyDescent="0.3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  <c r="L54" t="str">
        <f>IFERROR(VLOOKUP(D54,Products!$A:$C,3,FALSE),"")</f>
        <v>Grocery</v>
      </c>
      <c r="M54" t="str">
        <f>IFERROR(VLOOKUP(C54,Customers!$A:$E,5,FALSE),"")</f>
        <v>Retail</v>
      </c>
      <c r="N54">
        <f>IFERROR(VLOOKUP(C54,Customers!$A:$E,3,FALSE),"")</f>
        <v>36</v>
      </c>
      <c r="O54" s="33" t="str">
        <f>IFERROR(VLOOKUP(E54,Sales_Reps!$A:$C,3,FALSE),"")</f>
        <v>South</v>
      </c>
      <c r="P54" s="33">
        <f>IFERROR(VLOOKUP(D54,Products!$A:$D,4,FALSE),"")</f>
        <v>2436</v>
      </c>
      <c r="Q54" s="33">
        <f t="shared" si="0"/>
        <v>0.35555555555555557</v>
      </c>
    </row>
    <row r="55" spans="1:17" x14ac:dyDescent="0.3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  <c r="L55" t="str">
        <f>IFERROR(VLOOKUP(D55,Products!$A:$C,3,FALSE),"")</f>
        <v>Home</v>
      </c>
      <c r="M55" t="str">
        <f>IFERROR(VLOOKUP(C55,Customers!$A:$E,5,FALSE),"")</f>
        <v>Retail</v>
      </c>
      <c r="N55">
        <f>IFERROR(VLOOKUP(C55,Customers!$A:$E,3,FALSE),"")</f>
        <v>24</v>
      </c>
      <c r="O55" s="33" t="str">
        <f>IFERROR(VLOOKUP(E55,Sales_Reps!$A:$C,3,FALSE),"")</f>
        <v>East</v>
      </c>
      <c r="P55" s="33">
        <f>IFERROR(VLOOKUP(D55,Products!$A:$D,4,FALSE),"")</f>
        <v>1556</v>
      </c>
      <c r="Q55" s="33">
        <f t="shared" si="0"/>
        <v>0.52123076923076928</v>
      </c>
    </row>
    <row r="56" spans="1:17" x14ac:dyDescent="0.3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  <c r="L56" t="str">
        <f>IFERROR(VLOOKUP(D56,Products!$A:$C,3,FALSE),"")</f>
        <v>Apparel</v>
      </c>
      <c r="M56" t="str">
        <f>IFERROR(VLOOKUP(C56,Customers!$A:$E,5,FALSE),"")</f>
        <v>Retail</v>
      </c>
      <c r="N56">
        <f>IFERROR(VLOOKUP(C56,Customers!$A:$E,3,FALSE),"")</f>
        <v>27</v>
      </c>
      <c r="O56" s="33" t="str">
        <f>IFERROR(VLOOKUP(E56,Sales_Reps!$A:$C,3,FALSE),"")</f>
        <v>North</v>
      </c>
      <c r="P56" s="33">
        <f>IFERROR(VLOOKUP(D56,Products!$A:$D,4,FALSE),"")</f>
        <v>2611</v>
      </c>
      <c r="Q56" s="33">
        <f t="shared" si="0"/>
        <v>0.28269230769230769</v>
      </c>
    </row>
    <row r="57" spans="1:17" x14ac:dyDescent="0.3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  <c r="L57" t="str">
        <f>IFERROR(VLOOKUP(D57,Products!$A:$C,3,FALSE),"")</f>
        <v>Beauty</v>
      </c>
      <c r="M57" t="str">
        <f>IFERROR(VLOOKUP(C57,Customers!$A:$E,5,FALSE),"")</f>
        <v>SMB</v>
      </c>
      <c r="N57">
        <f>IFERROR(VLOOKUP(C57,Customers!$A:$E,3,FALSE),"")</f>
        <v>55</v>
      </c>
      <c r="O57" s="33" t="str">
        <f>IFERROR(VLOOKUP(E57,Sales_Reps!$A:$C,3,FALSE),"")</f>
        <v>East</v>
      </c>
      <c r="P57" s="33">
        <f>IFERROR(VLOOKUP(D57,Products!$A:$D,4,FALSE),"")</f>
        <v>647</v>
      </c>
      <c r="Q57" s="33">
        <f t="shared" si="0"/>
        <v>0.57987012987012987</v>
      </c>
    </row>
    <row r="58" spans="1:17" x14ac:dyDescent="0.3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  <c r="L58" t="str">
        <f>IFERROR(VLOOKUP(D58,Products!$A:$C,3,FALSE),"")</f>
        <v>Home</v>
      </c>
      <c r="M58" t="str">
        <f>IFERROR(VLOOKUP(C58,Customers!$A:$E,5,FALSE),"")</f>
        <v>Retail</v>
      </c>
      <c r="N58">
        <f>IFERROR(VLOOKUP(C58,Customers!$A:$E,3,FALSE),"")</f>
        <v>54</v>
      </c>
      <c r="O58" s="33" t="str">
        <f>IFERROR(VLOOKUP(E58,Sales_Reps!$A:$C,3,FALSE),"")</f>
        <v>East</v>
      </c>
      <c r="P58" s="33">
        <f>IFERROR(VLOOKUP(D58,Products!$A:$D,4,FALSE),"")</f>
        <v>519</v>
      </c>
      <c r="Q58" s="33">
        <f t="shared" si="0"/>
        <v>0.51944444444444449</v>
      </c>
    </row>
    <row r="59" spans="1:17" x14ac:dyDescent="0.3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  <c r="L59" t="str">
        <f>IFERROR(VLOOKUP(D59,Products!$A:$C,3,FALSE),"")</f>
        <v>Grocery</v>
      </c>
      <c r="M59" t="str">
        <f>IFERROR(VLOOKUP(C59,Customers!$A:$E,5,FALSE),"")</f>
        <v>Retail</v>
      </c>
      <c r="N59">
        <f>IFERROR(VLOOKUP(C59,Customers!$A:$E,3,FALSE),"")</f>
        <v>53</v>
      </c>
      <c r="O59" s="33" t="str">
        <f>IFERROR(VLOOKUP(E59,Sales_Reps!$A:$C,3,FALSE),"")</f>
        <v>North</v>
      </c>
      <c r="P59" s="33">
        <f>IFERROR(VLOOKUP(D59,Products!$A:$D,4,FALSE),"")</f>
        <v>2027</v>
      </c>
      <c r="Q59" s="33">
        <f t="shared" si="0"/>
        <v>0.50196560196560192</v>
      </c>
    </row>
    <row r="60" spans="1:17" x14ac:dyDescent="0.3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  <c r="L60" t="str">
        <f>IFERROR(VLOOKUP(D60,Products!$A:$C,3,FALSE),"")</f>
        <v>Electronics</v>
      </c>
      <c r="M60" t="str">
        <f>IFERROR(VLOOKUP(C60,Customers!$A:$E,5,FALSE),"")</f>
        <v>Corporate</v>
      </c>
      <c r="N60">
        <f>IFERROR(VLOOKUP(C60,Customers!$A:$E,3,FALSE),"")</f>
        <v>55</v>
      </c>
      <c r="O60" s="33" t="str">
        <f>IFERROR(VLOOKUP(E60,Sales_Reps!$A:$C,3,FALSE),"")</f>
        <v>West</v>
      </c>
      <c r="P60" s="33">
        <f>IFERROR(VLOOKUP(D60,Products!$A:$D,4,FALSE),"")</f>
        <v>517</v>
      </c>
      <c r="Q60" s="33">
        <f t="shared" si="0"/>
        <v>0.57622950819672136</v>
      </c>
    </row>
    <row r="61" spans="1:17" x14ac:dyDescent="0.3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  <c r="L61" t="str">
        <f>IFERROR(VLOOKUP(D61,Products!$A:$C,3,FALSE),"")</f>
        <v>Home</v>
      </c>
      <c r="M61" t="str">
        <f>IFERROR(VLOOKUP(C61,Customers!$A:$E,5,FALSE),"")</f>
        <v>Retail</v>
      </c>
      <c r="N61">
        <f>IFERROR(VLOOKUP(C61,Customers!$A:$E,3,FALSE),"")</f>
        <v>40</v>
      </c>
      <c r="O61" s="33" t="str">
        <f>IFERROR(VLOOKUP(E61,Sales_Reps!$A:$C,3,FALSE),"")</f>
        <v>West</v>
      </c>
      <c r="P61" s="33">
        <f>IFERROR(VLOOKUP(D61,Products!$A:$D,4,FALSE),"")</f>
        <v>1850</v>
      </c>
      <c r="Q61" s="33">
        <f t="shared" si="0"/>
        <v>0.59869848156182215</v>
      </c>
    </row>
    <row r="62" spans="1:17" x14ac:dyDescent="0.3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  <c r="L62" t="str">
        <f>IFERROR(VLOOKUP(D62,Products!$A:$C,3,FALSE),"")</f>
        <v>Home</v>
      </c>
      <c r="M62" t="str">
        <f>IFERROR(VLOOKUP(C62,Customers!$A:$E,5,FALSE),"")</f>
        <v>SMB</v>
      </c>
      <c r="N62">
        <f>IFERROR(VLOOKUP(C62,Customers!$A:$E,3,FALSE),"")</f>
        <v>55</v>
      </c>
      <c r="O62" s="33" t="str">
        <f>IFERROR(VLOOKUP(E62,Sales_Reps!$A:$C,3,FALSE),"")</f>
        <v>South</v>
      </c>
      <c r="P62" s="33">
        <f>IFERROR(VLOOKUP(D62,Products!$A:$D,4,FALSE),"")</f>
        <v>519</v>
      </c>
      <c r="Q62" s="33">
        <f t="shared" si="0"/>
        <v>0.51944444444444449</v>
      </c>
    </row>
    <row r="63" spans="1:17" x14ac:dyDescent="0.3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  <c r="L63" t="str">
        <f>IFERROR(VLOOKUP(D63,Products!$A:$C,3,FALSE),"")</f>
        <v>Beauty</v>
      </c>
      <c r="M63" t="str">
        <f>IFERROR(VLOOKUP(C63,Customers!$A:$E,5,FALSE),"")</f>
        <v>Retail</v>
      </c>
      <c r="N63">
        <f>IFERROR(VLOOKUP(C63,Customers!$A:$E,3,FALSE),"")</f>
        <v>44</v>
      </c>
      <c r="O63" s="33" t="str">
        <f>IFERROR(VLOOKUP(E63,Sales_Reps!$A:$C,3,FALSE),"")</f>
        <v>North</v>
      </c>
      <c r="P63" s="33">
        <f>IFERROR(VLOOKUP(D63,Products!$A:$D,4,FALSE),"")</f>
        <v>1626</v>
      </c>
      <c r="Q63" s="33">
        <f t="shared" si="0"/>
        <v>0.46158940397350995</v>
      </c>
    </row>
    <row r="64" spans="1:17" x14ac:dyDescent="0.3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  <c r="L64" t="str">
        <f>IFERROR(VLOOKUP(D64,Products!$A:$C,3,FALSE),"")</f>
        <v>Electronics</v>
      </c>
      <c r="M64" t="str">
        <f>IFERROR(VLOOKUP(C64,Customers!$A:$E,5,FALSE),"")</f>
        <v>Corporate</v>
      </c>
      <c r="N64">
        <f>IFERROR(VLOOKUP(C64,Customers!$A:$E,3,FALSE),"")</f>
        <v>29</v>
      </c>
      <c r="O64" s="33" t="str">
        <f>IFERROR(VLOOKUP(E64,Sales_Reps!$A:$C,3,FALSE),"")</f>
        <v>East</v>
      </c>
      <c r="P64" s="33">
        <f>IFERROR(VLOOKUP(D64,Products!$A:$D,4,FALSE),"")</f>
        <v>1259</v>
      </c>
      <c r="Q64" s="33">
        <f t="shared" si="0"/>
        <v>0.52669172932330832</v>
      </c>
    </row>
    <row r="65" spans="1:17" x14ac:dyDescent="0.3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  <c r="L65" t="str">
        <f>IFERROR(VLOOKUP(D65,Products!$A:$C,3,FALSE),"")</f>
        <v>Electronics</v>
      </c>
      <c r="M65" t="str">
        <f>IFERROR(VLOOKUP(C65,Customers!$A:$E,5,FALSE),"")</f>
        <v>Retail</v>
      </c>
      <c r="N65">
        <f>IFERROR(VLOOKUP(C65,Customers!$A:$E,3,FALSE),"")</f>
        <v>25</v>
      </c>
      <c r="O65" s="33" t="str">
        <f>IFERROR(VLOOKUP(E65,Sales_Reps!$A:$C,3,FALSE),"")</f>
        <v>North</v>
      </c>
      <c r="P65" s="33">
        <f>IFERROR(VLOOKUP(D65,Products!$A:$D,4,FALSE),"")</f>
        <v>128</v>
      </c>
      <c r="Q65" s="33">
        <f t="shared" si="0"/>
        <v>0.57333333333333336</v>
      </c>
    </row>
    <row r="66" spans="1:17" x14ac:dyDescent="0.3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  <c r="L66" t="str">
        <f>IFERROR(VLOOKUP(D66,Products!$A:$C,3,FALSE),"")</f>
        <v>Electronics</v>
      </c>
      <c r="M66" t="str">
        <f>IFERROR(VLOOKUP(C66,Customers!$A:$E,5,FALSE),"")</f>
        <v>Retail</v>
      </c>
      <c r="N66">
        <f>IFERROR(VLOOKUP(C66,Customers!$A:$E,3,FALSE),"")</f>
        <v>28</v>
      </c>
      <c r="O66" s="33" t="str">
        <f>IFERROR(VLOOKUP(E66,Sales_Reps!$A:$C,3,FALSE),"")</f>
        <v>East</v>
      </c>
      <c r="P66" s="33">
        <f>IFERROR(VLOOKUP(D66,Products!$A:$D,4,FALSE),"")</f>
        <v>1149</v>
      </c>
      <c r="Q66" s="33">
        <f t="shared" si="0"/>
        <v>0.56477272727272732</v>
      </c>
    </row>
    <row r="67" spans="1:17" x14ac:dyDescent="0.3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  <c r="L67" t="str">
        <f>IFERROR(VLOOKUP(D67,Products!$A:$C,3,FALSE),"")</f>
        <v>Apparel</v>
      </c>
      <c r="M67" t="str">
        <f>IFERROR(VLOOKUP(C67,Customers!$A:$E,5,FALSE),"")</f>
        <v>SMB</v>
      </c>
      <c r="N67">
        <f>IFERROR(VLOOKUP(C67,Customers!$A:$E,3,FALSE),"")</f>
        <v>50</v>
      </c>
      <c r="O67" s="33" t="str">
        <f>IFERROR(VLOOKUP(E67,Sales_Reps!$A:$C,3,FALSE),"")</f>
        <v>East</v>
      </c>
      <c r="P67" s="33">
        <f>IFERROR(VLOOKUP(D67,Products!$A:$D,4,FALSE),"")</f>
        <v>391</v>
      </c>
      <c r="Q67" s="33">
        <f t="shared" ref="Q67:Q130" si="1">IFERROR((G67-P67)/G67,"")</f>
        <v>0.52317073170731709</v>
      </c>
    </row>
    <row r="68" spans="1:17" x14ac:dyDescent="0.3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  <c r="L68" t="str">
        <f>IFERROR(VLOOKUP(D68,Products!$A:$C,3,FALSE),"")</f>
        <v>Grocery</v>
      </c>
      <c r="M68" t="str">
        <f>IFERROR(VLOOKUP(C68,Customers!$A:$E,5,FALSE),"")</f>
        <v>Retail</v>
      </c>
      <c r="N68">
        <f>IFERROR(VLOOKUP(C68,Customers!$A:$E,3,FALSE),"")</f>
        <v>39</v>
      </c>
      <c r="O68" s="33" t="str">
        <f>IFERROR(VLOOKUP(E68,Sales_Reps!$A:$C,3,FALSE),"")</f>
        <v>West</v>
      </c>
      <c r="P68" s="33">
        <f>IFERROR(VLOOKUP(D68,Products!$A:$D,4,FALSE),"")</f>
        <v>1435</v>
      </c>
      <c r="Q68" s="33">
        <f t="shared" si="1"/>
        <v>0.48007246376811596</v>
      </c>
    </row>
    <row r="69" spans="1:17" x14ac:dyDescent="0.3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  <c r="L69" t="str">
        <f>IFERROR(VLOOKUP(D69,Products!$A:$C,3,FALSE),"")</f>
        <v>Apparel</v>
      </c>
      <c r="M69" t="str">
        <f>IFERROR(VLOOKUP(C69,Customers!$A:$E,5,FALSE),"")</f>
        <v>Retail</v>
      </c>
      <c r="N69">
        <f>IFERROR(VLOOKUP(C69,Customers!$A:$E,3,FALSE),"")</f>
        <v>38</v>
      </c>
      <c r="O69" s="33" t="str">
        <f>IFERROR(VLOOKUP(E69,Sales_Reps!$A:$C,3,FALSE),"")</f>
        <v>East</v>
      </c>
      <c r="P69" s="33">
        <f>IFERROR(VLOOKUP(D69,Products!$A:$D,4,FALSE),"")</f>
        <v>2509</v>
      </c>
      <c r="Q69" s="33">
        <f t="shared" si="1"/>
        <v>0.3069060773480663</v>
      </c>
    </row>
    <row r="70" spans="1:17" x14ac:dyDescent="0.3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  <c r="L70" t="str">
        <f>IFERROR(VLOOKUP(D70,Products!$A:$C,3,FALSE),"")</f>
        <v>Apparel</v>
      </c>
      <c r="M70" t="str">
        <f>IFERROR(VLOOKUP(C70,Customers!$A:$E,5,FALSE),"")</f>
        <v>Retail</v>
      </c>
      <c r="N70">
        <f>IFERROR(VLOOKUP(C70,Customers!$A:$E,3,FALSE),"")</f>
        <v>35</v>
      </c>
      <c r="O70" s="33" t="str">
        <f>IFERROR(VLOOKUP(E70,Sales_Reps!$A:$C,3,FALSE),"")</f>
        <v>West</v>
      </c>
      <c r="P70" s="33">
        <f>IFERROR(VLOOKUP(D70,Products!$A:$D,4,FALSE),"")</f>
        <v>396</v>
      </c>
      <c r="Q70" s="33">
        <f t="shared" si="1"/>
        <v>0.36129032258064514</v>
      </c>
    </row>
    <row r="71" spans="1:17" x14ac:dyDescent="0.3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  <c r="L71" t="str">
        <f>IFERROR(VLOOKUP(D71,Products!$A:$C,3,FALSE),"")</f>
        <v>Home</v>
      </c>
      <c r="M71" t="str">
        <f>IFERROR(VLOOKUP(C71,Customers!$A:$E,5,FALSE),"")</f>
        <v>SMB</v>
      </c>
      <c r="N71">
        <f>IFERROR(VLOOKUP(C71,Customers!$A:$E,3,FALSE),"")</f>
        <v>43</v>
      </c>
      <c r="O71" s="33" t="str">
        <f>IFERROR(VLOOKUP(E71,Sales_Reps!$A:$C,3,FALSE),"")</f>
        <v>West</v>
      </c>
      <c r="P71" s="33">
        <f>IFERROR(VLOOKUP(D71,Products!$A:$D,4,FALSE),"")</f>
        <v>1143</v>
      </c>
      <c r="Q71" s="33">
        <f t="shared" si="1"/>
        <v>0.43694581280788175</v>
      </c>
    </row>
    <row r="72" spans="1:17" x14ac:dyDescent="0.3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  <c r="L72" t="str">
        <f>IFERROR(VLOOKUP(D72,Products!$A:$C,3,FALSE),"")</f>
        <v>Apparel</v>
      </c>
      <c r="M72" t="str">
        <f>IFERROR(VLOOKUP(C72,Customers!$A:$E,5,FALSE),"")</f>
        <v>Retail</v>
      </c>
      <c r="N72">
        <f>IFERROR(VLOOKUP(C72,Customers!$A:$E,3,FALSE),"")</f>
        <v>36</v>
      </c>
      <c r="O72" s="33" t="str">
        <f>IFERROR(VLOOKUP(E72,Sales_Reps!$A:$C,3,FALSE),"")</f>
        <v>North</v>
      </c>
      <c r="P72" s="33">
        <f>IFERROR(VLOOKUP(D72,Products!$A:$D,4,FALSE),"")</f>
        <v>1886</v>
      </c>
      <c r="Q72" s="33">
        <f t="shared" si="1"/>
        <v>0.4031645569620253</v>
      </c>
    </row>
    <row r="73" spans="1:17" x14ac:dyDescent="0.3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  <c r="L73" t="str">
        <f>IFERROR(VLOOKUP(D73,Products!$A:$C,3,FALSE),"")</f>
        <v>Grocery</v>
      </c>
      <c r="M73" t="str">
        <f>IFERROR(VLOOKUP(C73,Customers!$A:$E,5,FALSE),"")</f>
        <v>Retail</v>
      </c>
      <c r="N73">
        <f>IFERROR(VLOOKUP(C73,Customers!$A:$E,3,FALSE),"")</f>
        <v>29</v>
      </c>
      <c r="O73" s="33" t="str">
        <f>IFERROR(VLOOKUP(E73,Sales_Reps!$A:$C,3,FALSE),"")</f>
        <v>North</v>
      </c>
      <c r="P73" s="33">
        <f>IFERROR(VLOOKUP(D73,Products!$A:$D,4,FALSE),"")</f>
        <v>434</v>
      </c>
      <c r="Q73" s="33">
        <f t="shared" si="1"/>
        <v>0.5525773195876289</v>
      </c>
    </row>
    <row r="74" spans="1:17" x14ac:dyDescent="0.3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  <c r="L74" t="str">
        <f>IFERROR(VLOOKUP(D74,Products!$A:$C,3,FALSE),"")</f>
        <v>Beauty</v>
      </c>
      <c r="M74" t="str">
        <f>IFERROR(VLOOKUP(C74,Customers!$A:$E,5,FALSE),"")</f>
        <v>Retail</v>
      </c>
      <c r="N74">
        <f>IFERROR(VLOOKUP(C74,Customers!$A:$E,3,FALSE),"")</f>
        <v>41</v>
      </c>
      <c r="O74" s="33" t="str">
        <f>IFERROR(VLOOKUP(E74,Sales_Reps!$A:$C,3,FALSE),"")</f>
        <v>North</v>
      </c>
      <c r="P74" s="33">
        <f>IFERROR(VLOOKUP(D74,Products!$A:$D,4,FALSE),"")</f>
        <v>1728</v>
      </c>
      <c r="Q74" s="33">
        <f t="shared" si="1"/>
        <v>0.48417910447761192</v>
      </c>
    </row>
    <row r="75" spans="1:17" x14ac:dyDescent="0.3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  <c r="L75" t="str">
        <f>IFERROR(VLOOKUP(D75,Products!$A:$C,3,FALSE),"")</f>
        <v>Home</v>
      </c>
      <c r="M75" t="str">
        <f>IFERROR(VLOOKUP(C75,Customers!$A:$E,5,FALSE),"")</f>
        <v>SMB</v>
      </c>
      <c r="N75">
        <f>IFERROR(VLOOKUP(C75,Customers!$A:$E,3,FALSE),"")</f>
        <v>55</v>
      </c>
      <c r="O75" s="33" t="str">
        <f>IFERROR(VLOOKUP(E75,Sales_Reps!$A:$C,3,FALSE),"")</f>
        <v>East</v>
      </c>
      <c r="P75" s="33">
        <f>IFERROR(VLOOKUP(D75,Products!$A:$D,4,FALSE),"")</f>
        <v>288</v>
      </c>
      <c r="Q75" s="33">
        <f t="shared" si="1"/>
        <v>0.22162162162162163</v>
      </c>
    </row>
    <row r="76" spans="1:17" x14ac:dyDescent="0.3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  <c r="L76" t="str">
        <f>IFERROR(VLOOKUP(D76,Products!$A:$C,3,FALSE),"")</f>
        <v>Grocery</v>
      </c>
      <c r="M76" t="str">
        <f>IFERROR(VLOOKUP(C76,Customers!$A:$E,5,FALSE),"")</f>
        <v>Corporate</v>
      </c>
      <c r="N76">
        <f>IFERROR(VLOOKUP(C76,Customers!$A:$E,3,FALSE),"")</f>
        <v>46</v>
      </c>
      <c r="O76" s="33" t="str">
        <f>IFERROR(VLOOKUP(E76,Sales_Reps!$A:$C,3,FALSE),"")</f>
        <v>South</v>
      </c>
      <c r="P76" s="33">
        <f>IFERROR(VLOOKUP(D76,Products!$A:$D,4,FALSE),"")</f>
        <v>434</v>
      </c>
      <c r="Q76" s="33">
        <f t="shared" si="1"/>
        <v>0.5525773195876289</v>
      </c>
    </row>
    <row r="77" spans="1:17" x14ac:dyDescent="0.3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  <c r="L77" t="str">
        <f>IFERROR(VLOOKUP(D77,Products!$A:$C,3,FALSE),"")</f>
        <v>Grocery</v>
      </c>
      <c r="M77" t="str">
        <f>IFERROR(VLOOKUP(C77,Customers!$A:$E,5,FALSE),"")</f>
        <v>SMB</v>
      </c>
      <c r="N77">
        <f>IFERROR(VLOOKUP(C77,Customers!$A:$E,3,FALSE),"")</f>
        <v>39</v>
      </c>
      <c r="O77" s="33" t="str">
        <f>IFERROR(VLOOKUP(E77,Sales_Reps!$A:$C,3,FALSE),"")</f>
        <v>East</v>
      </c>
      <c r="P77" s="33">
        <f>IFERROR(VLOOKUP(D77,Products!$A:$D,4,FALSE),"")</f>
        <v>1435</v>
      </c>
      <c r="Q77" s="33">
        <f t="shared" si="1"/>
        <v>0.48007246376811596</v>
      </c>
    </row>
    <row r="78" spans="1:17" x14ac:dyDescent="0.3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  <c r="L78" t="str">
        <f>IFERROR(VLOOKUP(D78,Products!$A:$C,3,FALSE),"")</f>
        <v>Grocery</v>
      </c>
      <c r="M78" t="str">
        <f>IFERROR(VLOOKUP(C78,Customers!$A:$E,5,FALSE),"")</f>
        <v>SMB</v>
      </c>
      <c r="N78">
        <f>IFERROR(VLOOKUP(C78,Customers!$A:$E,3,FALSE),"")</f>
        <v>54</v>
      </c>
      <c r="O78" s="33" t="str">
        <f>IFERROR(VLOOKUP(E78,Sales_Reps!$A:$C,3,FALSE),"")</f>
        <v>East</v>
      </c>
      <c r="P78" s="33">
        <f>IFERROR(VLOOKUP(D78,Products!$A:$D,4,FALSE),"")</f>
        <v>1435</v>
      </c>
      <c r="Q78" s="33">
        <f t="shared" si="1"/>
        <v>0.48007246376811596</v>
      </c>
    </row>
    <row r="79" spans="1:17" x14ac:dyDescent="0.3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  <c r="L79" t="str">
        <f>IFERROR(VLOOKUP(D79,Products!$A:$C,3,FALSE),"")</f>
        <v>Electronics</v>
      </c>
      <c r="M79" t="str">
        <f>IFERROR(VLOOKUP(C79,Customers!$A:$E,5,FALSE),"")</f>
        <v>Retail</v>
      </c>
      <c r="N79">
        <f>IFERROR(VLOOKUP(C79,Customers!$A:$E,3,FALSE),"")</f>
        <v>42</v>
      </c>
      <c r="O79" s="33" t="str">
        <f>IFERROR(VLOOKUP(E79,Sales_Reps!$A:$C,3,FALSE),"")</f>
        <v>East</v>
      </c>
      <c r="P79" s="33">
        <f>IFERROR(VLOOKUP(D79,Products!$A:$D,4,FALSE),"")</f>
        <v>517</v>
      </c>
      <c r="Q79" s="33">
        <f t="shared" si="1"/>
        <v>0.57622950819672136</v>
      </c>
    </row>
    <row r="80" spans="1:17" x14ac:dyDescent="0.3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  <c r="L80" t="str">
        <f>IFERROR(VLOOKUP(D80,Products!$A:$C,3,FALSE),"")</f>
        <v>Electronics</v>
      </c>
      <c r="M80" t="str">
        <f>IFERROR(VLOOKUP(C80,Customers!$A:$E,5,FALSE),"")</f>
        <v>Retail</v>
      </c>
      <c r="N80">
        <f>IFERROR(VLOOKUP(C80,Customers!$A:$E,3,FALSE),"")</f>
        <v>46</v>
      </c>
      <c r="O80" s="33" t="str">
        <f>IFERROR(VLOOKUP(E80,Sales_Reps!$A:$C,3,FALSE),"")</f>
        <v>West</v>
      </c>
      <c r="P80" s="33">
        <f>IFERROR(VLOOKUP(D80,Products!$A:$D,4,FALSE),"")</f>
        <v>1052</v>
      </c>
      <c r="Q80" s="33">
        <f t="shared" si="1"/>
        <v>0.5953846153846154</v>
      </c>
    </row>
    <row r="81" spans="1:17" x14ac:dyDescent="0.3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  <c r="L81" t="str">
        <f>IFERROR(VLOOKUP(D81,Products!$A:$C,3,FALSE),"")</f>
        <v>Grocery</v>
      </c>
      <c r="M81" t="str">
        <f>IFERROR(VLOOKUP(C81,Customers!$A:$E,5,FALSE),"")</f>
        <v>Corporate</v>
      </c>
      <c r="N81">
        <f>IFERROR(VLOOKUP(C81,Customers!$A:$E,3,FALSE),"")</f>
        <v>33</v>
      </c>
      <c r="O81" s="33" t="str">
        <f>IFERROR(VLOOKUP(E81,Sales_Reps!$A:$C,3,FALSE),"")</f>
        <v>West</v>
      </c>
      <c r="P81" s="33">
        <f>IFERROR(VLOOKUP(D81,Products!$A:$D,4,FALSE),"")</f>
        <v>2027</v>
      </c>
      <c r="Q81" s="33">
        <f t="shared" si="1"/>
        <v>0.50196560196560192</v>
      </c>
    </row>
    <row r="82" spans="1:17" x14ac:dyDescent="0.3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  <c r="L82" t="str">
        <f>IFERROR(VLOOKUP(D82,Products!$A:$C,3,FALSE),"")</f>
        <v>Grocery</v>
      </c>
      <c r="M82" t="str">
        <f>IFERROR(VLOOKUP(C82,Customers!$A:$E,5,FALSE),"")</f>
        <v>SMB</v>
      </c>
      <c r="N82">
        <f>IFERROR(VLOOKUP(C82,Customers!$A:$E,3,FALSE),"")</f>
        <v>60</v>
      </c>
      <c r="O82" s="33" t="str">
        <f>IFERROR(VLOOKUP(E82,Sales_Reps!$A:$C,3,FALSE),"")</f>
        <v>North</v>
      </c>
      <c r="P82" s="33">
        <f>IFERROR(VLOOKUP(D82,Products!$A:$D,4,FALSE),"")</f>
        <v>1203</v>
      </c>
      <c r="Q82" s="33">
        <f t="shared" si="1"/>
        <v>0.47004405286343615</v>
      </c>
    </row>
    <row r="83" spans="1:17" x14ac:dyDescent="0.3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  <c r="L83" t="str">
        <f>IFERROR(VLOOKUP(D83,Products!$A:$C,3,FALSE),"")</f>
        <v>Apparel</v>
      </c>
      <c r="M83" t="str">
        <f>IFERROR(VLOOKUP(C83,Customers!$A:$E,5,FALSE),"")</f>
        <v>SMB</v>
      </c>
      <c r="N83">
        <f>IFERROR(VLOOKUP(C83,Customers!$A:$E,3,FALSE),"")</f>
        <v>57</v>
      </c>
      <c r="O83" s="33" t="str">
        <f>IFERROR(VLOOKUP(E83,Sales_Reps!$A:$C,3,FALSE),"")</f>
        <v>East</v>
      </c>
      <c r="P83" s="33">
        <f>IFERROR(VLOOKUP(D83,Products!$A:$D,4,FALSE),"")</f>
        <v>1886</v>
      </c>
      <c r="Q83" s="33">
        <f t="shared" si="1"/>
        <v>0.4031645569620253</v>
      </c>
    </row>
    <row r="84" spans="1:17" x14ac:dyDescent="0.3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  <c r="L84" t="str">
        <f>IFERROR(VLOOKUP(D84,Products!$A:$C,3,FALSE),"")</f>
        <v>Apparel</v>
      </c>
      <c r="M84" t="str">
        <f>IFERROR(VLOOKUP(C84,Customers!$A:$E,5,FALSE),"")</f>
        <v>SMB</v>
      </c>
      <c r="N84">
        <f>IFERROR(VLOOKUP(C84,Customers!$A:$E,3,FALSE),"")</f>
        <v>36</v>
      </c>
      <c r="O84" s="33" t="str">
        <f>IFERROR(VLOOKUP(E84,Sales_Reps!$A:$C,3,FALSE),"")</f>
        <v>North</v>
      </c>
      <c r="P84" s="33">
        <f>IFERROR(VLOOKUP(D84,Products!$A:$D,4,FALSE),"")</f>
        <v>1173</v>
      </c>
      <c r="Q84" s="33">
        <f t="shared" si="1"/>
        <v>0.52701612903225803</v>
      </c>
    </row>
    <row r="85" spans="1:17" x14ac:dyDescent="0.3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  <c r="L85" t="str">
        <f>IFERROR(VLOOKUP(D85,Products!$A:$C,3,FALSE),"")</f>
        <v>Electronics</v>
      </c>
      <c r="M85" t="str">
        <f>IFERROR(VLOOKUP(C85,Customers!$A:$E,5,FALSE),"")</f>
        <v>Retail</v>
      </c>
      <c r="N85">
        <f>IFERROR(VLOOKUP(C85,Customers!$A:$E,3,FALSE),"")</f>
        <v>31</v>
      </c>
      <c r="O85" s="33" t="str">
        <f>IFERROR(VLOOKUP(E85,Sales_Reps!$A:$C,3,FALSE),"")</f>
        <v>West</v>
      </c>
      <c r="P85" s="33">
        <f>IFERROR(VLOOKUP(D85,Products!$A:$D,4,FALSE),"")</f>
        <v>1259</v>
      </c>
      <c r="Q85" s="33">
        <f t="shared" si="1"/>
        <v>0.52669172932330832</v>
      </c>
    </row>
    <row r="86" spans="1:17" x14ac:dyDescent="0.3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  <c r="L86" t="str">
        <f>IFERROR(VLOOKUP(D86,Products!$A:$C,3,FALSE),"")</f>
        <v>Beauty</v>
      </c>
      <c r="M86" t="str">
        <f>IFERROR(VLOOKUP(C86,Customers!$A:$E,5,FALSE),"")</f>
        <v>Retail</v>
      </c>
      <c r="N86">
        <f>IFERROR(VLOOKUP(C86,Customers!$A:$E,3,FALSE),"")</f>
        <v>28</v>
      </c>
      <c r="O86" s="33" t="str">
        <f>IFERROR(VLOOKUP(E86,Sales_Reps!$A:$C,3,FALSE),"")</f>
        <v>South</v>
      </c>
      <c r="P86" s="33">
        <f>IFERROR(VLOOKUP(D86,Products!$A:$D,4,FALSE),"")</f>
        <v>1626</v>
      </c>
      <c r="Q86" s="33">
        <f t="shared" si="1"/>
        <v>0.46158940397350995</v>
      </c>
    </row>
    <row r="87" spans="1:17" x14ac:dyDescent="0.3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  <c r="L87" t="str">
        <f>IFERROR(VLOOKUP(D87,Products!$A:$C,3,FALSE),"")</f>
        <v>Apparel</v>
      </c>
      <c r="M87" t="str">
        <f>IFERROR(VLOOKUP(C87,Customers!$A:$E,5,FALSE),"")</f>
        <v>SMB</v>
      </c>
      <c r="N87">
        <f>IFERROR(VLOOKUP(C87,Customers!$A:$E,3,FALSE),"")</f>
        <v>44</v>
      </c>
      <c r="O87" s="33" t="str">
        <f>IFERROR(VLOOKUP(E87,Sales_Reps!$A:$C,3,FALSE),"")</f>
        <v>West</v>
      </c>
      <c r="P87" s="33">
        <f>IFERROR(VLOOKUP(D87,Products!$A:$D,4,FALSE),"")</f>
        <v>396</v>
      </c>
      <c r="Q87" s="33">
        <f t="shared" si="1"/>
        <v>0.36129032258064514</v>
      </c>
    </row>
    <row r="88" spans="1:17" x14ac:dyDescent="0.3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  <c r="L88" t="str">
        <f>IFERROR(VLOOKUP(D88,Products!$A:$C,3,FALSE),"")</f>
        <v>Sports</v>
      </c>
      <c r="M88" t="str">
        <f>IFERROR(VLOOKUP(C88,Customers!$A:$E,5,FALSE),"")</f>
        <v>Retail</v>
      </c>
      <c r="N88">
        <f>IFERROR(VLOOKUP(C88,Customers!$A:$E,3,FALSE),"")</f>
        <v>28</v>
      </c>
      <c r="O88" s="33" t="str">
        <f>IFERROR(VLOOKUP(E88,Sales_Reps!$A:$C,3,FALSE),"")</f>
        <v>West</v>
      </c>
      <c r="P88" s="33">
        <f>IFERROR(VLOOKUP(D88,Products!$A:$D,4,FALSE),"")</f>
        <v>302</v>
      </c>
      <c r="Q88" s="33">
        <f t="shared" si="1"/>
        <v>0.35744680851063831</v>
      </c>
    </row>
    <row r="89" spans="1:17" x14ac:dyDescent="0.3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  <c r="L89" t="str">
        <f>IFERROR(VLOOKUP(D89,Products!$A:$C,3,FALSE),"")</f>
        <v>Electronics</v>
      </c>
      <c r="M89" t="str">
        <f>IFERROR(VLOOKUP(C89,Customers!$A:$E,5,FALSE),"")</f>
        <v>Retail</v>
      </c>
      <c r="N89">
        <f>IFERROR(VLOOKUP(C89,Customers!$A:$E,3,FALSE),"")</f>
        <v>50</v>
      </c>
      <c r="O89" s="33" t="str">
        <f>IFERROR(VLOOKUP(E89,Sales_Reps!$A:$C,3,FALSE),"")</f>
        <v>South</v>
      </c>
      <c r="P89" s="33">
        <f>IFERROR(VLOOKUP(D89,Products!$A:$D,4,FALSE),"")</f>
        <v>861</v>
      </c>
      <c r="Q89" s="33">
        <f t="shared" si="1"/>
        <v>0.39790209790209791</v>
      </c>
    </row>
    <row r="90" spans="1:17" x14ac:dyDescent="0.3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  <c r="L90" t="str">
        <f>IFERROR(VLOOKUP(D90,Products!$A:$C,3,FALSE),"")</f>
        <v>Apparel</v>
      </c>
      <c r="M90" t="str">
        <f>IFERROR(VLOOKUP(C90,Customers!$A:$E,5,FALSE),"")</f>
        <v>Corporate</v>
      </c>
      <c r="N90">
        <f>IFERROR(VLOOKUP(C90,Customers!$A:$E,3,FALSE),"")</f>
        <v>59</v>
      </c>
      <c r="O90" s="33" t="str">
        <f>IFERROR(VLOOKUP(E90,Sales_Reps!$A:$C,3,FALSE),"")</f>
        <v>North</v>
      </c>
      <c r="P90" s="33">
        <f>IFERROR(VLOOKUP(D90,Products!$A:$D,4,FALSE),"")</f>
        <v>396</v>
      </c>
      <c r="Q90" s="33">
        <f t="shared" si="1"/>
        <v>0.36129032258064514</v>
      </c>
    </row>
    <row r="91" spans="1:17" x14ac:dyDescent="0.3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  <c r="L91" t="str">
        <f>IFERROR(VLOOKUP(D91,Products!$A:$C,3,FALSE),"")</f>
        <v>Electronics</v>
      </c>
      <c r="M91" t="str">
        <f>IFERROR(VLOOKUP(C91,Customers!$A:$E,5,FALSE),"")</f>
        <v>SMB</v>
      </c>
      <c r="N91">
        <f>IFERROR(VLOOKUP(C91,Customers!$A:$E,3,FALSE),"")</f>
        <v>65</v>
      </c>
      <c r="O91" s="33" t="str">
        <f>IFERROR(VLOOKUP(E91,Sales_Reps!$A:$C,3,FALSE),"")</f>
        <v>South</v>
      </c>
      <c r="P91" s="33">
        <f>IFERROR(VLOOKUP(D91,Products!$A:$D,4,FALSE),"")</f>
        <v>1665</v>
      </c>
      <c r="Q91" s="33">
        <f t="shared" si="1"/>
        <v>0.53361344537815125</v>
      </c>
    </row>
    <row r="92" spans="1:17" x14ac:dyDescent="0.3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  <c r="L92" t="str">
        <f>IFERROR(VLOOKUP(D92,Products!$A:$C,3,FALSE),"")</f>
        <v>Grocery</v>
      </c>
      <c r="M92" t="str">
        <f>IFERROR(VLOOKUP(C92,Customers!$A:$E,5,FALSE),"")</f>
        <v>Corporate</v>
      </c>
      <c r="N92">
        <f>IFERROR(VLOOKUP(C92,Customers!$A:$E,3,FALSE),"")</f>
        <v>46</v>
      </c>
      <c r="O92" s="33" t="str">
        <f>IFERROR(VLOOKUP(E92,Sales_Reps!$A:$C,3,FALSE),"")</f>
        <v>South</v>
      </c>
      <c r="P92" s="33">
        <f>IFERROR(VLOOKUP(D92,Products!$A:$D,4,FALSE),"")</f>
        <v>1412</v>
      </c>
      <c r="Q92" s="33">
        <f t="shared" si="1"/>
        <v>0.37797356828193834</v>
      </c>
    </row>
    <row r="93" spans="1:17" x14ac:dyDescent="0.3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  <c r="L93" t="str">
        <f>IFERROR(VLOOKUP(D93,Products!$A:$C,3,FALSE),"")</f>
        <v>Apparel</v>
      </c>
      <c r="M93" t="str">
        <f>IFERROR(VLOOKUP(C93,Customers!$A:$E,5,FALSE),"")</f>
        <v>Retail</v>
      </c>
      <c r="N93">
        <f>IFERROR(VLOOKUP(C93,Customers!$A:$E,3,FALSE),"")</f>
        <v>49</v>
      </c>
      <c r="O93" s="33" t="str">
        <f>IFERROR(VLOOKUP(E93,Sales_Reps!$A:$C,3,FALSE),"")</f>
        <v>South</v>
      </c>
      <c r="P93" s="33">
        <f>IFERROR(VLOOKUP(D93,Products!$A:$D,4,FALSE),"")</f>
        <v>1962</v>
      </c>
      <c r="Q93" s="33">
        <f t="shared" si="1"/>
        <v>0.2786764705882353</v>
      </c>
    </row>
    <row r="94" spans="1:17" x14ac:dyDescent="0.3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  <c r="L94" t="str">
        <f>IFERROR(VLOOKUP(D94,Products!$A:$C,3,FALSE),"")</f>
        <v>Grocery</v>
      </c>
      <c r="M94" t="str">
        <f>IFERROR(VLOOKUP(C94,Customers!$A:$E,5,FALSE),"")</f>
        <v>Retail</v>
      </c>
      <c r="N94">
        <f>IFERROR(VLOOKUP(C94,Customers!$A:$E,3,FALSE),"")</f>
        <v>38</v>
      </c>
      <c r="O94" s="33" t="str">
        <f>IFERROR(VLOOKUP(E94,Sales_Reps!$A:$C,3,FALSE),"")</f>
        <v>North</v>
      </c>
      <c r="P94" s="33">
        <f>IFERROR(VLOOKUP(D94,Products!$A:$D,4,FALSE),"")</f>
        <v>1010</v>
      </c>
      <c r="Q94" s="33">
        <f t="shared" si="1"/>
        <v>0.54298642533936647</v>
      </c>
    </row>
    <row r="95" spans="1:17" x14ac:dyDescent="0.3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  <c r="L95" t="str">
        <f>IFERROR(VLOOKUP(D95,Products!$A:$C,3,FALSE),"")</f>
        <v>Sports</v>
      </c>
      <c r="M95" t="str">
        <f>IFERROR(VLOOKUP(C95,Customers!$A:$E,5,FALSE),"")</f>
        <v>Retail</v>
      </c>
      <c r="N95">
        <f>IFERROR(VLOOKUP(C95,Customers!$A:$E,3,FALSE),"")</f>
        <v>25</v>
      </c>
      <c r="O95" s="33" t="str">
        <f>IFERROR(VLOOKUP(E95,Sales_Reps!$A:$C,3,FALSE),"")</f>
        <v>West</v>
      </c>
      <c r="P95" s="33">
        <f>IFERROR(VLOOKUP(D95,Products!$A:$D,4,FALSE),"")</f>
        <v>147</v>
      </c>
      <c r="Q95" s="33">
        <f t="shared" si="1"/>
        <v>0.22631578947368422</v>
      </c>
    </row>
    <row r="96" spans="1:17" x14ac:dyDescent="0.3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  <c r="L96" t="str">
        <f>IFERROR(VLOOKUP(D96,Products!$A:$C,3,FALSE),"")</f>
        <v>Beauty</v>
      </c>
      <c r="M96" t="str">
        <f>IFERROR(VLOOKUP(C96,Customers!$A:$E,5,FALSE),"")</f>
        <v>Retail</v>
      </c>
      <c r="N96">
        <f>IFERROR(VLOOKUP(C96,Customers!$A:$E,3,FALSE),"")</f>
        <v>26</v>
      </c>
      <c r="O96" s="33" t="str">
        <f>IFERROR(VLOOKUP(E96,Sales_Reps!$A:$C,3,FALSE),"")</f>
        <v>West</v>
      </c>
      <c r="P96" s="33">
        <f>IFERROR(VLOOKUP(D96,Products!$A:$D,4,FALSE),"")</f>
        <v>2237</v>
      </c>
      <c r="Q96" s="33">
        <f t="shared" si="1"/>
        <v>0.56137254901960787</v>
      </c>
    </row>
    <row r="97" spans="1:17" x14ac:dyDescent="0.3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  <c r="L97" t="str">
        <f>IFERROR(VLOOKUP(D97,Products!$A:$C,3,FALSE),"")</f>
        <v>Sports</v>
      </c>
      <c r="M97" t="str">
        <f>IFERROR(VLOOKUP(C97,Customers!$A:$E,5,FALSE),"")</f>
        <v>Corporate</v>
      </c>
      <c r="N97">
        <f>IFERROR(VLOOKUP(C97,Customers!$A:$E,3,FALSE),"")</f>
        <v>38</v>
      </c>
      <c r="O97" s="33" t="str">
        <f>IFERROR(VLOOKUP(E97,Sales_Reps!$A:$C,3,FALSE),"")</f>
        <v>South</v>
      </c>
      <c r="P97" s="33">
        <f>IFERROR(VLOOKUP(D97,Products!$A:$D,4,FALSE),"")</f>
        <v>516</v>
      </c>
      <c r="Q97" s="33">
        <f t="shared" si="1"/>
        <v>0.4891089108910891</v>
      </c>
    </row>
    <row r="98" spans="1:17" x14ac:dyDescent="0.3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  <c r="L98" t="str">
        <f>IFERROR(VLOOKUP(D98,Products!$A:$C,3,FALSE),"")</f>
        <v>Home</v>
      </c>
      <c r="M98" t="str">
        <f>IFERROR(VLOOKUP(C98,Customers!$A:$E,5,FALSE),"")</f>
        <v>Retail</v>
      </c>
      <c r="N98">
        <f>IFERROR(VLOOKUP(C98,Customers!$A:$E,3,FALSE),"")</f>
        <v>53</v>
      </c>
      <c r="O98" s="33" t="str">
        <f>IFERROR(VLOOKUP(E98,Sales_Reps!$A:$C,3,FALSE),"")</f>
        <v>West</v>
      </c>
      <c r="P98" s="33">
        <f>IFERROR(VLOOKUP(D98,Products!$A:$D,4,FALSE),"")</f>
        <v>2135</v>
      </c>
      <c r="Q98" s="33">
        <f t="shared" si="1"/>
        <v>0.42761394101876676</v>
      </c>
    </row>
    <row r="99" spans="1:17" x14ac:dyDescent="0.3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  <c r="L99" t="str">
        <f>IFERROR(VLOOKUP(D99,Products!$A:$C,3,FALSE),"")</f>
        <v>Electronics</v>
      </c>
      <c r="M99" t="str">
        <f>IFERROR(VLOOKUP(C99,Customers!$A:$E,5,FALSE),"")</f>
        <v>Retail</v>
      </c>
      <c r="N99">
        <f>IFERROR(VLOOKUP(C99,Customers!$A:$E,3,FALSE),"")</f>
        <v>41</v>
      </c>
      <c r="O99" s="33" t="str">
        <f>IFERROR(VLOOKUP(E99,Sales_Reps!$A:$C,3,FALSE),"")</f>
        <v>West</v>
      </c>
      <c r="P99" s="33">
        <f>IFERROR(VLOOKUP(D99,Products!$A:$D,4,FALSE),"")</f>
        <v>1052</v>
      </c>
      <c r="Q99" s="33">
        <f t="shared" si="1"/>
        <v>0.5953846153846154</v>
      </c>
    </row>
    <row r="100" spans="1:17" x14ac:dyDescent="0.3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  <c r="L100" t="str">
        <f>IFERROR(VLOOKUP(D100,Products!$A:$C,3,FALSE),"")</f>
        <v>Grocery</v>
      </c>
      <c r="M100" t="str">
        <f>IFERROR(VLOOKUP(C100,Customers!$A:$E,5,FALSE),"")</f>
        <v>SMB</v>
      </c>
      <c r="N100">
        <f>IFERROR(VLOOKUP(C100,Customers!$A:$E,3,FALSE),"")</f>
        <v>22</v>
      </c>
      <c r="O100" s="33" t="str">
        <f>IFERROR(VLOOKUP(E100,Sales_Reps!$A:$C,3,FALSE),"")</f>
        <v>North</v>
      </c>
      <c r="P100" s="33">
        <f>IFERROR(VLOOKUP(D100,Products!$A:$D,4,FALSE),"")</f>
        <v>2911</v>
      </c>
      <c r="Q100" s="33">
        <f t="shared" si="1"/>
        <v>0.28300492610837441</v>
      </c>
    </row>
    <row r="101" spans="1:17" x14ac:dyDescent="0.3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  <c r="L101" t="str">
        <f>IFERROR(VLOOKUP(D101,Products!$A:$C,3,FALSE),"")</f>
        <v>Beauty</v>
      </c>
      <c r="M101" t="str">
        <f>IFERROR(VLOOKUP(C101,Customers!$A:$E,5,FALSE),"")</f>
        <v>Retail</v>
      </c>
      <c r="N101">
        <f>IFERROR(VLOOKUP(C101,Customers!$A:$E,3,FALSE),"")</f>
        <v>60</v>
      </c>
      <c r="O101" s="33" t="str">
        <f>IFERROR(VLOOKUP(E101,Sales_Reps!$A:$C,3,FALSE),"")</f>
        <v>West</v>
      </c>
      <c r="P101" s="33">
        <f>IFERROR(VLOOKUP(D101,Products!$A:$D,4,FALSE),"")</f>
        <v>2617</v>
      </c>
      <c r="Q101" s="33">
        <f t="shared" si="1"/>
        <v>0.56957236842105263</v>
      </c>
    </row>
    <row r="102" spans="1:17" x14ac:dyDescent="0.3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  <c r="L102" t="str">
        <f>IFERROR(VLOOKUP(D102,Products!$A:$C,3,FALSE),"")</f>
        <v>Apparel</v>
      </c>
      <c r="M102" t="str">
        <f>IFERROR(VLOOKUP(C102,Customers!$A:$E,5,FALSE),"")</f>
        <v>SMB</v>
      </c>
      <c r="N102">
        <f>IFERROR(VLOOKUP(C102,Customers!$A:$E,3,FALSE),"")</f>
        <v>44</v>
      </c>
      <c r="O102" s="33" t="str">
        <f>IFERROR(VLOOKUP(E102,Sales_Reps!$A:$C,3,FALSE),"")</f>
        <v>West</v>
      </c>
      <c r="P102" s="33">
        <f>IFERROR(VLOOKUP(D102,Products!$A:$D,4,FALSE),"")</f>
        <v>1075</v>
      </c>
      <c r="Q102" s="33">
        <f t="shared" si="1"/>
        <v>0.57171314741035861</v>
      </c>
    </row>
    <row r="103" spans="1:17" x14ac:dyDescent="0.3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  <c r="L103" t="str">
        <f>IFERROR(VLOOKUP(D103,Products!$A:$C,3,FALSE),"")</f>
        <v>Home</v>
      </c>
      <c r="M103" t="str">
        <f>IFERROR(VLOOKUP(C103,Customers!$A:$E,5,FALSE),"")</f>
        <v>SMB</v>
      </c>
      <c r="N103">
        <f>IFERROR(VLOOKUP(C103,Customers!$A:$E,3,FALSE),"")</f>
        <v>38</v>
      </c>
      <c r="O103" s="33" t="str">
        <f>IFERROR(VLOOKUP(E103,Sales_Reps!$A:$C,3,FALSE),"")</f>
        <v>West</v>
      </c>
      <c r="P103" s="33">
        <f>IFERROR(VLOOKUP(D103,Products!$A:$D,4,FALSE),"")</f>
        <v>1556</v>
      </c>
      <c r="Q103" s="33">
        <f t="shared" si="1"/>
        <v>0.52123076923076928</v>
      </c>
    </row>
    <row r="104" spans="1:17" x14ac:dyDescent="0.3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  <c r="L104" t="str">
        <f>IFERROR(VLOOKUP(D104,Products!$A:$C,3,FALSE),"")</f>
        <v>Sports</v>
      </c>
      <c r="M104" t="str">
        <f>IFERROR(VLOOKUP(C104,Customers!$A:$E,5,FALSE),"")</f>
        <v>SMB</v>
      </c>
      <c r="N104">
        <f>IFERROR(VLOOKUP(C104,Customers!$A:$E,3,FALSE),"")</f>
        <v>28</v>
      </c>
      <c r="O104" s="33" t="str">
        <f>IFERROR(VLOOKUP(E104,Sales_Reps!$A:$C,3,FALSE),"")</f>
        <v>North</v>
      </c>
      <c r="P104" s="33">
        <f>IFERROR(VLOOKUP(D104,Products!$A:$D,4,FALSE),"")</f>
        <v>2265</v>
      </c>
      <c r="Q104" s="33">
        <f t="shared" si="1"/>
        <v>0.58133086876155271</v>
      </c>
    </row>
    <row r="105" spans="1:17" x14ac:dyDescent="0.3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  <c r="L105" t="str">
        <f>IFERROR(VLOOKUP(D105,Products!$A:$C,3,FALSE),"")</f>
        <v>Electronics</v>
      </c>
      <c r="M105" t="str">
        <f>IFERROR(VLOOKUP(C105,Customers!$A:$E,5,FALSE),"")</f>
        <v>Corporate</v>
      </c>
      <c r="N105">
        <f>IFERROR(VLOOKUP(C105,Customers!$A:$E,3,FALSE),"")</f>
        <v>51</v>
      </c>
      <c r="O105" s="33" t="str">
        <f>IFERROR(VLOOKUP(E105,Sales_Reps!$A:$C,3,FALSE),"")</f>
        <v>East</v>
      </c>
      <c r="P105" s="33">
        <f>IFERROR(VLOOKUP(D105,Products!$A:$D,4,FALSE),"")</f>
        <v>1665</v>
      </c>
      <c r="Q105" s="33">
        <f t="shared" si="1"/>
        <v>0.53361344537815125</v>
      </c>
    </row>
    <row r="106" spans="1:17" x14ac:dyDescent="0.3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  <c r="L106" t="str">
        <f>IFERROR(VLOOKUP(D106,Products!$A:$C,3,FALSE),"")</f>
        <v>Electronics</v>
      </c>
      <c r="M106" t="str">
        <f>IFERROR(VLOOKUP(C106,Customers!$A:$E,5,FALSE),"")</f>
        <v>SMB</v>
      </c>
      <c r="N106">
        <f>IFERROR(VLOOKUP(C106,Customers!$A:$E,3,FALSE),"")</f>
        <v>22</v>
      </c>
      <c r="O106" s="33" t="str">
        <f>IFERROR(VLOOKUP(E106,Sales_Reps!$A:$C,3,FALSE),"")</f>
        <v>North</v>
      </c>
      <c r="P106" s="33">
        <f>IFERROR(VLOOKUP(D106,Products!$A:$D,4,FALSE),"")</f>
        <v>2405</v>
      </c>
      <c r="Q106" s="33">
        <f t="shared" si="1"/>
        <v>0.54878048780487809</v>
      </c>
    </row>
    <row r="107" spans="1:17" x14ac:dyDescent="0.3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  <c r="L107" t="str">
        <f>IFERROR(VLOOKUP(D107,Products!$A:$C,3,FALSE),"")</f>
        <v>Grocery</v>
      </c>
      <c r="M107" t="str">
        <f>IFERROR(VLOOKUP(C107,Customers!$A:$E,5,FALSE),"")</f>
        <v>Retail</v>
      </c>
      <c r="N107">
        <f>IFERROR(VLOOKUP(C107,Customers!$A:$E,3,FALSE),"")</f>
        <v>25</v>
      </c>
      <c r="O107" s="33" t="str">
        <f>IFERROR(VLOOKUP(E107,Sales_Reps!$A:$C,3,FALSE),"")</f>
        <v>East</v>
      </c>
      <c r="P107" s="33">
        <f>IFERROR(VLOOKUP(D107,Products!$A:$D,4,FALSE),"")</f>
        <v>1182</v>
      </c>
      <c r="Q107" s="33">
        <f t="shared" si="1"/>
        <v>0.50336134453781511</v>
      </c>
    </row>
    <row r="108" spans="1:17" x14ac:dyDescent="0.3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  <c r="L108" t="str">
        <f>IFERROR(VLOOKUP(D108,Products!$A:$C,3,FALSE),"")</f>
        <v>Sports</v>
      </c>
      <c r="M108" t="str">
        <f>IFERROR(VLOOKUP(C108,Customers!$A:$E,5,FALSE),"")</f>
        <v>SMB</v>
      </c>
      <c r="N108">
        <f>IFERROR(VLOOKUP(C108,Customers!$A:$E,3,FALSE),"")</f>
        <v>62</v>
      </c>
      <c r="O108" s="33" t="str">
        <f>IFERROR(VLOOKUP(E108,Sales_Reps!$A:$C,3,FALSE),"")</f>
        <v>West</v>
      </c>
      <c r="P108" s="33">
        <f>IFERROR(VLOOKUP(D108,Products!$A:$D,4,FALSE),"")</f>
        <v>516</v>
      </c>
      <c r="Q108" s="33">
        <f t="shared" si="1"/>
        <v>0.4891089108910891</v>
      </c>
    </row>
    <row r="109" spans="1:17" x14ac:dyDescent="0.3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  <c r="L109" t="str">
        <f>IFERROR(VLOOKUP(D109,Products!$A:$C,3,FALSE),"")</f>
        <v>Grocery</v>
      </c>
      <c r="M109" t="str">
        <f>IFERROR(VLOOKUP(C109,Customers!$A:$E,5,FALSE),"")</f>
        <v>Retail</v>
      </c>
      <c r="N109">
        <f>IFERROR(VLOOKUP(C109,Customers!$A:$E,3,FALSE),"")</f>
        <v>42</v>
      </c>
      <c r="O109" s="33" t="str">
        <f>IFERROR(VLOOKUP(E109,Sales_Reps!$A:$C,3,FALSE),"")</f>
        <v>West</v>
      </c>
      <c r="P109" s="33">
        <f>IFERROR(VLOOKUP(D109,Products!$A:$D,4,FALSE),"")</f>
        <v>2214</v>
      </c>
      <c r="Q109" s="33">
        <f t="shared" si="1"/>
        <v>0.39508196721311473</v>
      </c>
    </row>
    <row r="110" spans="1:17" x14ac:dyDescent="0.3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  <c r="L110" t="str">
        <f>IFERROR(VLOOKUP(D110,Products!$A:$C,3,FALSE),"")</f>
        <v>Grocery</v>
      </c>
      <c r="M110" t="str">
        <f>IFERROR(VLOOKUP(C110,Customers!$A:$E,5,FALSE),"")</f>
        <v>Retail</v>
      </c>
      <c r="N110">
        <f>IFERROR(VLOOKUP(C110,Customers!$A:$E,3,FALSE),"")</f>
        <v>43</v>
      </c>
      <c r="O110" s="33" t="str">
        <f>IFERROR(VLOOKUP(E110,Sales_Reps!$A:$C,3,FALSE),"")</f>
        <v>South</v>
      </c>
      <c r="P110" s="33">
        <f>IFERROR(VLOOKUP(D110,Products!$A:$D,4,FALSE),"")</f>
        <v>2027</v>
      </c>
      <c r="Q110" s="33">
        <f t="shared" si="1"/>
        <v>0.50196560196560192</v>
      </c>
    </row>
    <row r="111" spans="1:17" x14ac:dyDescent="0.3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  <c r="L111" t="str">
        <f>IFERROR(VLOOKUP(D111,Products!$A:$C,3,FALSE),"")</f>
        <v>Home</v>
      </c>
      <c r="M111" t="str">
        <f>IFERROR(VLOOKUP(C111,Customers!$A:$E,5,FALSE),"")</f>
        <v>Corporate</v>
      </c>
      <c r="N111">
        <f>IFERROR(VLOOKUP(C111,Customers!$A:$E,3,FALSE),"")</f>
        <v>56</v>
      </c>
      <c r="O111" s="33" t="str">
        <f>IFERROR(VLOOKUP(E111,Sales_Reps!$A:$C,3,FALSE),"")</f>
        <v>West</v>
      </c>
      <c r="P111" s="33">
        <f>IFERROR(VLOOKUP(D111,Products!$A:$D,4,FALSE),"")</f>
        <v>329</v>
      </c>
      <c r="Q111" s="33">
        <f t="shared" si="1"/>
        <v>0.50151515151515147</v>
      </c>
    </row>
    <row r="112" spans="1:17" x14ac:dyDescent="0.3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  <c r="L112" t="str">
        <f>IFERROR(VLOOKUP(D112,Products!$A:$C,3,FALSE),"")</f>
        <v>Home</v>
      </c>
      <c r="M112" t="str">
        <f>IFERROR(VLOOKUP(C112,Customers!$A:$E,5,FALSE),"")</f>
        <v>SMB</v>
      </c>
      <c r="N112">
        <f>IFERROR(VLOOKUP(C112,Customers!$A:$E,3,FALSE),"")</f>
        <v>44</v>
      </c>
      <c r="O112" s="33" t="str">
        <f>IFERROR(VLOOKUP(E112,Sales_Reps!$A:$C,3,FALSE),"")</f>
        <v>West</v>
      </c>
      <c r="P112" s="33">
        <f>IFERROR(VLOOKUP(D112,Products!$A:$D,4,FALSE),"")</f>
        <v>519</v>
      </c>
      <c r="Q112" s="33">
        <f t="shared" si="1"/>
        <v>0.51944444444444449</v>
      </c>
    </row>
    <row r="113" spans="1:17" x14ac:dyDescent="0.3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  <c r="L113" t="str">
        <f>IFERROR(VLOOKUP(D113,Products!$A:$C,3,FALSE),"")</f>
        <v>Apparel</v>
      </c>
      <c r="M113" t="str">
        <f>IFERROR(VLOOKUP(C113,Customers!$A:$E,5,FALSE),"")</f>
        <v>SMB</v>
      </c>
      <c r="N113">
        <f>IFERROR(VLOOKUP(C113,Customers!$A:$E,3,FALSE),"")</f>
        <v>53</v>
      </c>
      <c r="O113" s="33" t="str">
        <f>IFERROR(VLOOKUP(E113,Sales_Reps!$A:$C,3,FALSE),"")</f>
        <v>North</v>
      </c>
      <c r="P113" s="33">
        <f>IFERROR(VLOOKUP(D113,Products!$A:$D,4,FALSE),"")</f>
        <v>391</v>
      </c>
      <c r="Q113" s="33">
        <f t="shared" si="1"/>
        <v>0.52317073170731709</v>
      </c>
    </row>
    <row r="114" spans="1:17" x14ac:dyDescent="0.3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  <c r="L114" t="str">
        <f>IFERROR(VLOOKUP(D114,Products!$A:$C,3,FALSE),"")</f>
        <v>Beauty</v>
      </c>
      <c r="M114" t="str">
        <f>IFERROR(VLOOKUP(C114,Customers!$A:$E,5,FALSE),"")</f>
        <v>SMB</v>
      </c>
      <c r="N114">
        <f>IFERROR(VLOOKUP(C114,Customers!$A:$E,3,FALSE),"")</f>
        <v>27</v>
      </c>
      <c r="O114" s="33" t="str">
        <f>IFERROR(VLOOKUP(E114,Sales_Reps!$A:$C,3,FALSE),"")</f>
        <v>West</v>
      </c>
      <c r="P114" s="33">
        <f>IFERROR(VLOOKUP(D114,Products!$A:$D,4,FALSE),"")</f>
        <v>675</v>
      </c>
      <c r="Q114" s="33">
        <f t="shared" si="1"/>
        <v>0.296875</v>
      </c>
    </row>
    <row r="115" spans="1:17" x14ac:dyDescent="0.3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  <c r="L115" t="str">
        <f>IFERROR(VLOOKUP(D115,Products!$A:$C,3,FALSE),"")</f>
        <v>Electronics</v>
      </c>
      <c r="M115" t="str">
        <f>IFERROR(VLOOKUP(C115,Customers!$A:$E,5,FALSE),"")</f>
        <v>Corporate</v>
      </c>
      <c r="N115">
        <f>IFERROR(VLOOKUP(C115,Customers!$A:$E,3,FALSE),"")</f>
        <v>27</v>
      </c>
      <c r="O115" s="33" t="str">
        <f>IFERROR(VLOOKUP(E115,Sales_Reps!$A:$C,3,FALSE),"")</f>
        <v>South</v>
      </c>
      <c r="P115" s="33">
        <f>IFERROR(VLOOKUP(D115,Products!$A:$D,4,FALSE),"")</f>
        <v>1052</v>
      </c>
      <c r="Q115" s="33">
        <f t="shared" si="1"/>
        <v>0.5953846153846154</v>
      </c>
    </row>
    <row r="116" spans="1:17" x14ac:dyDescent="0.3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  <c r="L116" t="str">
        <f>IFERROR(VLOOKUP(D116,Products!$A:$C,3,FALSE),"")</f>
        <v>Home</v>
      </c>
      <c r="M116" t="str">
        <f>IFERROR(VLOOKUP(C116,Customers!$A:$E,5,FALSE),"")</f>
        <v>Retail</v>
      </c>
      <c r="N116">
        <f>IFERROR(VLOOKUP(C116,Customers!$A:$E,3,FALSE),"")</f>
        <v>63</v>
      </c>
      <c r="O116" s="33" t="str">
        <f>IFERROR(VLOOKUP(E116,Sales_Reps!$A:$C,3,FALSE),"")</f>
        <v>West</v>
      </c>
      <c r="P116" s="33">
        <f>IFERROR(VLOOKUP(D116,Products!$A:$D,4,FALSE),"")</f>
        <v>1143</v>
      </c>
      <c r="Q116" s="33">
        <f t="shared" si="1"/>
        <v>0.43694581280788175</v>
      </c>
    </row>
    <row r="117" spans="1:17" x14ac:dyDescent="0.3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  <c r="L117" t="str">
        <f>IFERROR(VLOOKUP(D117,Products!$A:$C,3,FALSE),"")</f>
        <v>Beauty</v>
      </c>
      <c r="M117" t="str">
        <f>IFERROR(VLOOKUP(C117,Customers!$A:$E,5,FALSE),"")</f>
        <v>Retail</v>
      </c>
      <c r="N117">
        <f>IFERROR(VLOOKUP(C117,Customers!$A:$E,3,FALSE),"")</f>
        <v>23</v>
      </c>
      <c r="O117" s="33" t="str">
        <f>IFERROR(VLOOKUP(E117,Sales_Reps!$A:$C,3,FALSE),"")</f>
        <v>West</v>
      </c>
      <c r="P117" s="33">
        <f>IFERROR(VLOOKUP(D117,Products!$A:$D,4,FALSE),"")</f>
        <v>1219</v>
      </c>
      <c r="Q117" s="33">
        <f t="shared" si="1"/>
        <v>0.46768558951965067</v>
      </c>
    </row>
    <row r="118" spans="1:17" x14ac:dyDescent="0.3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  <c r="L118" t="str">
        <f>IFERROR(VLOOKUP(D118,Products!$A:$C,3,FALSE),"")</f>
        <v>Home</v>
      </c>
      <c r="M118" t="str">
        <f>IFERROR(VLOOKUP(C118,Customers!$A:$E,5,FALSE),"")</f>
        <v>Retail</v>
      </c>
      <c r="N118">
        <f>IFERROR(VLOOKUP(C118,Customers!$A:$E,3,FALSE),"")</f>
        <v>44</v>
      </c>
      <c r="O118" s="33" t="str">
        <f>IFERROR(VLOOKUP(E118,Sales_Reps!$A:$C,3,FALSE),"")</f>
        <v>West</v>
      </c>
      <c r="P118" s="33">
        <f>IFERROR(VLOOKUP(D118,Products!$A:$D,4,FALSE),"")</f>
        <v>2135</v>
      </c>
      <c r="Q118" s="33">
        <f t="shared" si="1"/>
        <v>0.42761394101876676</v>
      </c>
    </row>
    <row r="119" spans="1:17" x14ac:dyDescent="0.3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  <c r="L119" t="str">
        <f>IFERROR(VLOOKUP(D119,Products!$A:$C,3,FALSE),"")</f>
        <v>Electronics</v>
      </c>
      <c r="M119" t="str">
        <f>IFERROR(VLOOKUP(C119,Customers!$A:$E,5,FALSE),"")</f>
        <v>SMB</v>
      </c>
      <c r="N119">
        <f>IFERROR(VLOOKUP(C119,Customers!$A:$E,3,FALSE),"")</f>
        <v>54</v>
      </c>
      <c r="O119" s="33" t="str">
        <f>IFERROR(VLOOKUP(E119,Sales_Reps!$A:$C,3,FALSE),"")</f>
        <v>South</v>
      </c>
      <c r="P119" s="33">
        <f>IFERROR(VLOOKUP(D119,Products!$A:$D,4,FALSE),"")</f>
        <v>128</v>
      </c>
      <c r="Q119" s="33">
        <f t="shared" si="1"/>
        <v>0.57333333333333336</v>
      </c>
    </row>
    <row r="120" spans="1:17" x14ac:dyDescent="0.3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  <c r="L120" t="str">
        <f>IFERROR(VLOOKUP(D120,Products!$A:$C,3,FALSE),"")</f>
        <v>Electronics</v>
      </c>
      <c r="M120" t="str">
        <f>IFERROR(VLOOKUP(C120,Customers!$A:$E,5,FALSE),"")</f>
        <v>Retail</v>
      </c>
      <c r="N120">
        <f>IFERROR(VLOOKUP(C120,Customers!$A:$E,3,FALSE),"")</f>
        <v>50</v>
      </c>
      <c r="O120" s="33" t="str">
        <f>IFERROR(VLOOKUP(E120,Sales_Reps!$A:$C,3,FALSE),"")</f>
        <v>South</v>
      </c>
      <c r="P120" s="33">
        <f>IFERROR(VLOOKUP(D120,Products!$A:$D,4,FALSE),"")</f>
        <v>128</v>
      </c>
      <c r="Q120" s="33">
        <f t="shared" si="1"/>
        <v>0.57333333333333336</v>
      </c>
    </row>
    <row r="121" spans="1:17" x14ac:dyDescent="0.3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  <c r="L121" t="str">
        <f>IFERROR(VLOOKUP(D121,Products!$A:$C,3,FALSE),"")</f>
        <v>Beauty</v>
      </c>
      <c r="M121" t="str">
        <f>IFERROR(VLOOKUP(C121,Customers!$A:$E,5,FALSE),"")</f>
        <v>SMB</v>
      </c>
      <c r="N121">
        <f>IFERROR(VLOOKUP(C121,Customers!$A:$E,3,FALSE),"")</f>
        <v>28</v>
      </c>
      <c r="O121" s="33" t="str">
        <f>IFERROR(VLOOKUP(E121,Sales_Reps!$A:$C,3,FALSE),"")</f>
        <v>North</v>
      </c>
      <c r="P121" s="33">
        <f>IFERROR(VLOOKUP(D121,Products!$A:$D,4,FALSE),"")</f>
        <v>1728</v>
      </c>
      <c r="Q121" s="33">
        <f t="shared" si="1"/>
        <v>0.48417910447761192</v>
      </c>
    </row>
    <row r="122" spans="1:17" x14ac:dyDescent="0.3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  <c r="L122" t="str">
        <f>IFERROR(VLOOKUP(D122,Products!$A:$C,3,FALSE),"")</f>
        <v>Electronics</v>
      </c>
      <c r="M122" t="str">
        <f>IFERROR(VLOOKUP(C122,Customers!$A:$E,5,FALSE),"")</f>
        <v>SMB</v>
      </c>
      <c r="N122">
        <f>IFERROR(VLOOKUP(C122,Customers!$A:$E,3,FALSE),"")</f>
        <v>46</v>
      </c>
      <c r="O122" s="33" t="str">
        <f>IFERROR(VLOOKUP(E122,Sales_Reps!$A:$C,3,FALSE),"")</f>
        <v>North</v>
      </c>
      <c r="P122" s="33">
        <f>IFERROR(VLOOKUP(D122,Products!$A:$D,4,FALSE),"")</f>
        <v>2405</v>
      </c>
      <c r="Q122" s="33">
        <f t="shared" si="1"/>
        <v>0.54878048780487809</v>
      </c>
    </row>
    <row r="123" spans="1:17" x14ac:dyDescent="0.3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  <c r="L123" t="str">
        <f>IFERROR(VLOOKUP(D123,Products!$A:$C,3,FALSE),"")</f>
        <v>Apparel</v>
      </c>
      <c r="M123" t="str">
        <f>IFERROR(VLOOKUP(C123,Customers!$A:$E,5,FALSE),"")</f>
        <v>Retail</v>
      </c>
      <c r="N123">
        <f>IFERROR(VLOOKUP(C123,Customers!$A:$E,3,FALSE),"")</f>
        <v>30</v>
      </c>
      <c r="O123" s="33" t="str">
        <f>IFERROR(VLOOKUP(E123,Sales_Reps!$A:$C,3,FALSE),"")</f>
        <v>North</v>
      </c>
      <c r="P123" s="33">
        <f>IFERROR(VLOOKUP(D123,Products!$A:$D,4,FALSE),"")</f>
        <v>2509</v>
      </c>
      <c r="Q123" s="33">
        <f t="shared" si="1"/>
        <v>0.3069060773480663</v>
      </c>
    </row>
    <row r="124" spans="1:17" x14ac:dyDescent="0.3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  <c r="L124" t="str">
        <f>IFERROR(VLOOKUP(D124,Products!$A:$C,3,FALSE),"")</f>
        <v>Apparel</v>
      </c>
      <c r="M124" t="str">
        <f>IFERROR(VLOOKUP(C124,Customers!$A:$E,5,FALSE),"")</f>
        <v>SMB</v>
      </c>
      <c r="N124">
        <f>IFERROR(VLOOKUP(C124,Customers!$A:$E,3,FALSE),"")</f>
        <v>53</v>
      </c>
      <c r="O124" s="33" t="str">
        <f>IFERROR(VLOOKUP(E124,Sales_Reps!$A:$C,3,FALSE),"")</f>
        <v>North</v>
      </c>
      <c r="P124" s="33">
        <f>IFERROR(VLOOKUP(D124,Products!$A:$D,4,FALSE),"")</f>
        <v>2509</v>
      </c>
      <c r="Q124" s="33">
        <f t="shared" si="1"/>
        <v>0.3069060773480663</v>
      </c>
    </row>
    <row r="125" spans="1:17" x14ac:dyDescent="0.3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  <c r="L125" t="str">
        <f>IFERROR(VLOOKUP(D125,Products!$A:$C,3,FALSE),"")</f>
        <v>Sports</v>
      </c>
      <c r="M125" t="str">
        <f>IFERROR(VLOOKUP(C125,Customers!$A:$E,5,FALSE),"")</f>
        <v>SMB</v>
      </c>
      <c r="N125">
        <f>IFERROR(VLOOKUP(C125,Customers!$A:$E,3,FALSE),"")</f>
        <v>51</v>
      </c>
      <c r="O125" s="33" t="str">
        <f>IFERROR(VLOOKUP(E125,Sales_Reps!$A:$C,3,FALSE),"")</f>
        <v>North</v>
      </c>
      <c r="P125" s="33">
        <f>IFERROR(VLOOKUP(D125,Products!$A:$D,4,FALSE),"")</f>
        <v>705</v>
      </c>
      <c r="Q125" s="33">
        <f t="shared" si="1"/>
        <v>0.265625</v>
      </c>
    </row>
    <row r="126" spans="1:17" x14ac:dyDescent="0.3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  <c r="L126" t="str">
        <f>IFERROR(VLOOKUP(D126,Products!$A:$C,3,FALSE),"")</f>
        <v>Beauty</v>
      </c>
      <c r="M126" t="str">
        <f>IFERROR(VLOOKUP(C126,Customers!$A:$E,5,FALSE),"")</f>
        <v>Retail</v>
      </c>
      <c r="N126">
        <f>IFERROR(VLOOKUP(C126,Customers!$A:$E,3,FALSE),"")</f>
        <v>59</v>
      </c>
      <c r="O126" s="33" t="str">
        <f>IFERROR(VLOOKUP(E126,Sales_Reps!$A:$C,3,FALSE),"")</f>
        <v>West</v>
      </c>
      <c r="P126" s="33">
        <f>IFERROR(VLOOKUP(D126,Products!$A:$D,4,FALSE),"")</f>
        <v>1222</v>
      </c>
      <c r="Q126" s="33">
        <f t="shared" si="1"/>
        <v>0.2593939393939394</v>
      </c>
    </row>
    <row r="127" spans="1:17" x14ac:dyDescent="0.3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  <c r="L127" t="str">
        <f>IFERROR(VLOOKUP(D127,Products!$A:$C,3,FALSE),"")</f>
        <v>Beauty</v>
      </c>
      <c r="M127" t="str">
        <f>IFERROR(VLOOKUP(C127,Customers!$A:$E,5,FALSE),"")</f>
        <v>Corporate</v>
      </c>
      <c r="N127">
        <f>IFERROR(VLOOKUP(C127,Customers!$A:$E,3,FALSE),"")</f>
        <v>24</v>
      </c>
      <c r="O127" s="33" t="str">
        <f>IFERROR(VLOOKUP(E127,Sales_Reps!$A:$C,3,FALSE),"")</f>
        <v>South</v>
      </c>
      <c r="P127" s="33">
        <f>IFERROR(VLOOKUP(D127,Products!$A:$D,4,FALSE),"")</f>
        <v>675</v>
      </c>
      <c r="Q127" s="33">
        <f t="shared" si="1"/>
        <v>0.296875</v>
      </c>
    </row>
    <row r="128" spans="1:17" x14ac:dyDescent="0.3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  <c r="L128" t="str">
        <f>IFERROR(VLOOKUP(D128,Products!$A:$C,3,FALSE),"")</f>
        <v>Electronics</v>
      </c>
      <c r="M128" t="str">
        <f>IFERROR(VLOOKUP(C128,Customers!$A:$E,5,FALSE),"")</f>
        <v>SMB</v>
      </c>
      <c r="N128">
        <f>IFERROR(VLOOKUP(C128,Customers!$A:$E,3,FALSE),"")</f>
        <v>53</v>
      </c>
      <c r="O128" s="33" t="str">
        <f>IFERROR(VLOOKUP(E128,Sales_Reps!$A:$C,3,FALSE),"")</f>
        <v>North</v>
      </c>
      <c r="P128" s="33">
        <f>IFERROR(VLOOKUP(D128,Products!$A:$D,4,FALSE),"")</f>
        <v>2865</v>
      </c>
      <c r="Q128" s="33">
        <f t="shared" si="1"/>
        <v>0.27833753148614609</v>
      </c>
    </row>
    <row r="129" spans="1:17" x14ac:dyDescent="0.3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  <c r="L129" t="str">
        <f>IFERROR(VLOOKUP(D129,Products!$A:$C,3,FALSE),"")</f>
        <v>Grocery</v>
      </c>
      <c r="M129" t="str">
        <f>IFERROR(VLOOKUP(C129,Customers!$A:$E,5,FALSE),"")</f>
        <v>Retail</v>
      </c>
      <c r="N129">
        <f>IFERROR(VLOOKUP(C129,Customers!$A:$E,3,FALSE),"")</f>
        <v>29</v>
      </c>
      <c r="O129" s="33" t="str">
        <f>IFERROR(VLOOKUP(E129,Sales_Reps!$A:$C,3,FALSE),"")</f>
        <v>North</v>
      </c>
      <c r="P129" s="33">
        <f>IFERROR(VLOOKUP(D129,Products!$A:$D,4,FALSE),"")</f>
        <v>434</v>
      </c>
      <c r="Q129" s="33">
        <f t="shared" si="1"/>
        <v>0.5525773195876289</v>
      </c>
    </row>
    <row r="130" spans="1:17" x14ac:dyDescent="0.3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  <c r="L130" t="str">
        <f>IFERROR(VLOOKUP(D130,Products!$A:$C,3,FALSE),"")</f>
        <v>Home</v>
      </c>
      <c r="M130" t="str">
        <f>IFERROR(VLOOKUP(C130,Customers!$A:$E,5,FALSE),"")</f>
        <v>Retail</v>
      </c>
      <c r="N130">
        <f>IFERROR(VLOOKUP(C130,Customers!$A:$E,3,FALSE),"")</f>
        <v>61</v>
      </c>
      <c r="O130" s="33" t="str">
        <f>IFERROR(VLOOKUP(E130,Sales_Reps!$A:$C,3,FALSE),"")</f>
        <v>North</v>
      </c>
      <c r="P130" s="33">
        <f>IFERROR(VLOOKUP(D130,Products!$A:$D,4,FALSE),"")</f>
        <v>1143</v>
      </c>
      <c r="Q130" s="33">
        <f t="shared" si="1"/>
        <v>0.43694581280788175</v>
      </c>
    </row>
    <row r="131" spans="1:17" x14ac:dyDescent="0.3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  <c r="L131" t="str">
        <f>IFERROR(VLOOKUP(D131,Products!$A:$C,3,FALSE),"")</f>
        <v>Grocery</v>
      </c>
      <c r="M131" t="str">
        <f>IFERROR(VLOOKUP(C131,Customers!$A:$E,5,FALSE),"")</f>
        <v>Retail</v>
      </c>
      <c r="N131">
        <f>IFERROR(VLOOKUP(C131,Customers!$A:$E,3,FALSE),"")</f>
        <v>22</v>
      </c>
      <c r="O131" s="33" t="str">
        <f>IFERROR(VLOOKUP(E131,Sales_Reps!$A:$C,3,FALSE),"")</f>
        <v>East</v>
      </c>
      <c r="P131" s="33">
        <f>IFERROR(VLOOKUP(D131,Products!$A:$D,4,FALSE),"")</f>
        <v>1203</v>
      </c>
      <c r="Q131" s="33">
        <f t="shared" ref="Q131:Q194" si="2">IFERROR((G131-P131)/G131,"")</f>
        <v>0.47004405286343615</v>
      </c>
    </row>
    <row r="132" spans="1:17" x14ac:dyDescent="0.3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  <c r="L132" t="str">
        <f>IFERROR(VLOOKUP(D132,Products!$A:$C,3,FALSE),"")</f>
        <v>Beauty</v>
      </c>
      <c r="M132" t="str">
        <f>IFERROR(VLOOKUP(C132,Customers!$A:$E,5,FALSE),"")</f>
        <v>Corporate</v>
      </c>
      <c r="N132">
        <f>IFERROR(VLOOKUP(C132,Customers!$A:$E,3,FALSE),"")</f>
        <v>32</v>
      </c>
      <c r="O132" s="33" t="str">
        <f>IFERROR(VLOOKUP(E132,Sales_Reps!$A:$C,3,FALSE),"")</f>
        <v>North</v>
      </c>
      <c r="P132" s="33">
        <f>IFERROR(VLOOKUP(D132,Products!$A:$D,4,FALSE),"")</f>
        <v>2768</v>
      </c>
      <c r="Q132" s="33">
        <f t="shared" si="2"/>
        <v>0.43278688524590164</v>
      </c>
    </row>
    <row r="133" spans="1:17" x14ac:dyDescent="0.3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  <c r="L133" t="str">
        <f>IFERROR(VLOOKUP(D133,Products!$A:$C,3,FALSE),"")</f>
        <v>Electronics</v>
      </c>
      <c r="M133" t="str">
        <f>IFERROR(VLOOKUP(C133,Customers!$A:$E,5,FALSE),"")</f>
        <v>Corporate</v>
      </c>
      <c r="N133">
        <f>IFERROR(VLOOKUP(C133,Customers!$A:$E,3,FALSE),"")</f>
        <v>42</v>
      </c>
      <c r="O133" s="33" t="str">
        <f>IFERROR(VLOOKUP(E133,Sales_Reps!$A:$C,3,FALSE),"")</f>
        <v>South</v>
      </c>
      <c r="P133" s="33">
        <f>IFERROR(VLOOKUP(D133,Products!$A:$D,4,FALSE),"")</f>
        <v>1559</v>
      </c>
      <c r="Q133" s="33">
        <f t="shared" si="2"/>
        <v>0.59715762273901807</v>
      </c>
    </row>
    <row r="134" spans="1:17" x14ac:dyDescent="0.3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  <c r="L134" t="str">
        <f>IFERROR(VLOOKUP(D134,Products!$A:$C,3,FALSE),"")</f>
        <v>Beauty</v>
      </c>
      <c r="M134" t="str">
        <f>IFERROR(VLOOKUP(C134,Customers!$A:$E,5,FALSE),"")</f>
        <v>Retail</v>
      </c>
      <c r="N134">
        <f>IFERROR(VLOOKUP(C134,Customers!$A:$E,3,FALSE),"")</f>
        <v>22</v>
      </c>
      <c r="O134" s="33" t="str">
        <f>IFERROR(VLOOKUP(E134,Sales_Reps!$A:$C,3,FALSE),"")</f>
        <v>North</v>
      </c>
      <c r="P134" s="33">
        <f>IFERROR(VLOOKUP(D134,Products!$A:$D,4,FALSE),"")</f>
        <v>1219</v>
      </c>
      <c r="Q134" s="33">
        <f t="shared" si="2"/>
        <v>0.46768558951965067</v>
      </c>
    </row>
    <row r="135" spans="1:17" x14ac:dyDescent="0.3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  <c r="L135" t="str">
        <f>IFERROR(VLOOKUP(D135,Products!$A:$C,3,FALSE),"")</f>
        <v>Grocery</v>
      </c>
      <c r="M135" t="str">
        <f>IFERROR(VLOOKUP(C135,Customers!$A:$E,5,FALSE),"")</f>
        <v>Retail</v>
      </c>
      <c r="N135">
        <f>IFERROR(VLOOKUP(C135,Customers!$A:$E,3,FALSE),"")</f>
        <v>44</v>
      </c>
      <c r="O135" s="33" t="str">
        <f>IFERROR(VLOOKUP(E135,Sales_Reps!$A:$C,3,FALSE),"")</f>
        <v>East</v>
      </c>
      <c r="P135" s="33">
        <f>IFERROR(VLOOKUP(D135,Products!$A:$D,4,FALSE),"")</f>
        <v>1182</v>
      </c>
      <c r="Q135" s="33">
        <f t="shared" si="2"/>
        <v>0.50336134453781511</v>
      </c>
    </row>
    <row r="136" spans="1:17" x14ac:dyDescent="0.3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  <c r="L136" t="str">
        <f>IFERROR(VLOOKUP(D136,Products!$A:$C,3,FALSE),"")</f>
        <v>Grocery</v>
      </c>
      <c r="M136" t="str">
        <f>IFERROR(VLOOKUP(C136,Customers!$A:$E,5,FALSE),"")</f>
        <v>SMB</v>
      </c>
      <c r="N136">
        <f>IFERROR(VLOOKUP(C136,Customers!$A:$E,3,FALSE),"")</f>
        <v>64</v>
      </c>
      <c r="O136" s="33" t="str">
        <f>IFERROR(VLOOKUP(E136,Sales_Reps!$A:$C,3,FALSE),"")</f>
        <v>South</v>
      </c>
      <c r="P136" s="33">
        <f>IFERROR(VLOOKUP(D136,Products!$A:$D,4,FALSE),"")</f>
        <v>1010</v>
      </c>
      <c r="Q136" s="33">
        <f t="shared" si="2"/>
        <v>0.54298642533936647</v>
      </c>
    </row>
    <row r="137" spans="1:17" x14ac:dyDescent="0.3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  <c r="L137" t="str">
        <f>IFERROR(VLOOKUP(D137,Products!$A:$C,3,FALSE),"")</f>
        <v>Electronics</v>
      </c>
      <c r="M137" t="str">
        <f>IFERROR(VLOOKUP(C137,Customers!$A:$E,5,FALSE),"")</f>
        <v>SMB</v>
      </c>
      <c r="N137">
        <f>IFERROR(VLOOKUP(C137,Customers!$A:$E,3,FALSE),"")</f>
        <v>29</v>
      </c>
      <c r="O137" s="33" t="str">
        <f>IFERROR(VLOOKUP(E137,Sales_Reps!$A:$C,3,FALSE),"")</f>
        <v>East</v>
      </c>
      <c r="P137" s="33">
        <f>IFERROR(VLOOKUP(D137,Products!$A:$D,4,FALSE),"")</f>
        <v>2405</v>
      </c>
      <c r="Q137" s="33">
        <f t="shared" si="2"/>
        <v>0.54878048780487809</v>
      </c>
    </row>
    <row r="138" spans="1:17" x14ac:dyDescent="0.3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  <c r="L138" t="str">
        <f>IFERROR(VLOOKUP(D138,Products!$A:$C,3,FALSE),"")</f>
        <v>Electronics</v>
      </c>
      <c r="M138" t="str">
        <f>IFERROR(VLOOKUP(C138,Customers!$A:$E,5,FALSE),"")</f>
        <v>SMB</v>
      </c>
      <c r="N138">
        <f>IFERROR(VLOOKUP(C138,Customers!$A:$E,3,FALSE),"")</f>
        <v>64</v>
      </c>
      <c r="O138" s="33" t="str">
        <f>IFERROR(VLOOKUP(E138,Sales_Reps!$A:$C,3,FALSE),"")</f>
        <v>East</v>
      </c>
      <c r="P138" s="33">
        <f>IFERROR(VLOOKUP(D138,Products!$A:$D,4,FALSE),"")</f>
        <v>2865</v>
      </c>
      <c r="Q138" s="33">
        <f t="shared" si="2"/>
        <v>0.27833753148614609</v>
      </c>
    </row>
    <row r="139" spans="1:17" x14ac:dyDescent="0.3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  <c r="L139" t="str">
        <f>IFERROR(VLOOKUP(D139,Products!$A:$C,3,FALSE),"")</f>
        <v>Apparel</v>
      </c>
      <c r="M139" t="str">
        <f>IFERROR(VLOOKUP(C139,Customers!$A:$E,5,FALSE),"")</f>
        <v>Corporate</v>
      </c>
      <c r="N139">
        <f>IFERROR(VLOOKUP(C139,Customers!$A:$E,3,FALSE),"")</f>
        <v>48</v>
      </c>
      <c r="O139" s="33" t="str">
        <f>IFERROR(VLOOKUP(E139,Sales_Reps!$A:$C,3,FALSE),"")</f>
        <v>East</v>
      </c>
      <c r="P139" s="33">
        <f>IFERROR(VLOOKUP(D139,Products!$A:$D,4,FALSE),"")</f>
        <v>1886</v>
      </c>
      <c r="Q139" s="33">
        <f t="shared" si="2"/>
        <v>0.4031645569620253</v>
      </c>
    </row>
    <row r="140" spans="1:17" x14ac:dyDescent="0.3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  <c r="L140" t="str">
        <f>IFERROR(VLOOKUP(D140,Products!$A:$C,3,FALSE),"")</f>
        <v>Sports</v>
      </c>
      <c r="M140" t="str">
        <f>IFERROR(VLOOKUP(C140,Customers!$A:$E,5,FALSE),"")</f>
        <v>Retail</v>
      </c>
      <c r="N140">
        <f>IFERROR(VLOOKUP(C140,Customers!$A:$E,3,FALSE),"")</f>
        <v>55</v>
      </c>
      <c r="O140" s="33" t="str">
        <f>IFERROR(VLOOKUP(E140,Sales_Reps!$A:$C,3,FALSE),"")</f>
        <v>South</v>
      </c>
      <c r="P140" s="33">
        <f>IFERROR(VLOOKUP(D140,Products!$A:$D,4,FALSE),"")</f>
        <v>147</v>
      </c>
      <c r="Q140" s="33">
        <f t="shared" si="2"/>
        <v>0.22631578947368422</v>
      </c>
    </row>
    <row r="141" spans="1:17" x14ac:dyDescent="0.3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  <c r="L141" t="str">
        <f>IFERROR(VLOOKUP(D141,Products!$A:$C,3,FALSE),"")</f>
        <v>Grocery</v>
      </c>
      <c r="M141" t="str">
        <f>IFERROR(VLOOKUP(C141,Customers!$A:$E,5,FALSE),"")</f>
        <v>Retail</v>
      </c>
      <c r="N141">
        <f>IFERROR(VLOOKUP(C141,Customers!$A:$E,3,FALSE),"")</f>
        <v>31</v>
      </c>
      <c r="O141" s="33" t="str">
        <f>IFERROR(VLOOKUP(E141,Sales_Reps!$A:$C,3,FALSE),"")</f>
        <v>North</v>
      </c>
      <c r="P141" s="33">
        <f>IFERROR(VLOOKUP(D141,Products!$A:$D,4,FALSE),"")</f>
        <v>1435</v>
      </c>
      <c r="Q141" s="33">
        <f t="shared" si="2"/>
        <v>0.48007246376811596</v>
      </c>
    </row>
    <row r="142" spans="1:17" x14ac:dyDescent="0.3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  <c r="L142" t="str">
        <f>IFERROR(VLOOKUP(D142,Products!$A:$C,3,FALSE),"")</f>
        <v>Grocery</v>
      </c>
      <c r="M142" t="str">
        <f>IFERROR(VLOOKUP(C142,Customers!$A:$E,5,FALSE),"")</f>
        <v>Retail</v>
      </c>
      <c r="N142">
        <f>IFERROR(VLOOKUP(C142,Customers!$A:$E,3,FALSE),"")</f>
        <v>42</v>
      </c>
      <c r="O142" s="33" t="str">
        <f>IFERROR(VLOOKUP(E142,Sales_Reps!$A:$C,3,FALSE),"")</f>
        <v>East</v>
      </c>
      <c r="P142" s="33">
        <f>IFERROR(VLOOKUP(D142,Products!$A:$D,4,FALSE),"")</f>
        <v>1412</v>
      </c>
      <c r="Q142" s="33">
        <f t="shared" si="2"/>
        <v>0.37797356828193834</v>
      </c>
    </row>
    <row r="143" spans="1:17" x14ac:dyDescent="0.3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  <c r="L143" t="str">
        <f>IFERROR(VLOOKUP(D143,Products!$A:$C,3,FALSE),"")</f>
        <v>Sports</v>
      </c>
      <c r="M143" t="str">
        <f>IFERROR(VLOOKUP(C143,Customers!$A:$E,5,FALSE),"")</f>
        <v>Retail</v>
      </c>
      <c r="N143">
        <f>IFERROR(VLOOKUP(C143,Customers!$A:$E,3,FALSE),"")</f>
        <v>32</v>
      </c>
      <c r="O143" s="33" t="str">
        <f>IFERROR(VLOOKUP(E143,Sales_Reps!$A:$C,3,FALSE),"")</f>
        <v>North</v>
      </c>
      <c r="P143" s="33">
        <f>IFERROR(VLOOKUP(D143,Products!$A:$D,4,FALSE),"")</f>
        <v>2265</v>
      </c>
      <c r="Q143" s="33">
        <f t="shared" si="2"/>
        <v>0.58133086876155271</v>
      </c>
    </row>
    <row r="144" spans="1:17" x14ac:dyDescent="0.3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  <c r="L144" t="str">
        <f>IFERROR(VLOOKUP(D144,Products!$A:$C,3,FALSE),"")</f>
        <v>Grocery</v>
      </c>
      <c r="M144" t="str">
        <f>IFERROR(VLOOKUP(C144,Customers!$A:$E,5,FALSE),"")</f>
        <v>Corporate</v>
      </c>
      <c r="N144">
        <f>IFERROR(VLOOKUP(C144,Customers!$A:$E,3,FALSE),"")</f>
        <v>31</v>
      </c>
      <c r="O144" s="33" t="str">
        <f>IFERROR(VLOOKUP(E144,Sales_Reps!$A:$C,3,FALSE),"")</f>
        <v>South</v>
      </c>
      <c r="P144" s="33">
        <f>IFERROR(VLOOKUP(D144,Products!$A:$D,4,FALSE),"")</f>
        <v>1203</v>
      </c>
      <c r="Q144" s="33">
        <f t="shared" si="2"/>
        <v>0.47004405286343615</v>
      </c>
    </row>
    <row r="145" spans="1:17" x14ac:dyDescent="0.3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  <c r="L145" t="str">
        <f>IFERROR(VLOOKUP(D145,Products!$A:$C,3,FALSE),"")</f>
        <v>Apparel</v>
      </c>
      <c r="M145" t="str">
        <f>IFERROR(VLOOKUP(C145,Customers!$A:$E,5,FALSE),"")</f>
        <v>SMB</v>
      </c>
      <c r="N145">
        <f>IFERROR(VLOOKUP(C145,Customers!$A:$E,3,FALSE),"")</f>
        <v>27</v>
      </c>
      <c r="O145" s="33" t="str">
        <f>IFERROR(VLOOKUP(E145,Sales_Reps!$A:$C,3,FALSE),"")</f>
        <v>North</v>
      </c>
      <c r="P145" s="33">
        <f>IFERROR(VLOOKUP(D145,Products!$A:$D,4,FALSE),"")</f>
        <v>1886</v>
      </c>
      <c r="Q145" s="33">
        <f t="shared" si="2"/>
        <v>0.4031645569620253</v>
      </c>
    </row>
    <row r="146" spans="1:17" x14ac:dyDescent="0.3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  <c r="L146" t="str">
        <f>IFERROR(VLOOKUP(D146,Products!$A:$C,3,FALSE),"")</f>
        <v>Grocery</v>
      </c>
      <c r="M146" t="str">
        <f>IFERROR(VLOOKUP(C146,Customers!$A:$E,5,FALSE),"")</f>
        <v>SMB</v>
      </c>
      <c r="N146">
        <f>IFERROR(VLOOKUP(C146,Customers!$A:$E,3,FALSE),"")</f>
        <v>29</v>
      </c>
      <c r="O146" s="33" t="str">
        <f>IFERROR(VLOOKUP(E146,Sales_Reps!$A:$C,3,FALSE),"")</f>
        <v>West</v>
      </c>
      <c r="P146" s="33">
        <f>IFERROR(VLOOKUP(D146,Products!$A:$D,4,FALSE),"")</f>
        <v>2911</v>
      </c>
      <c r="Q146" s="33">
        <f t="shared" si="2"/>
        <v>0.28300492610837441</v>
      </c>
    </row>
    <row r="147" spans="1:17" x14ac:dyDescent="0.3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  <c r="L147" t="str">
        <f>IFERROR(VLOOKUP(D147,Products!$A:$C,3,FALSE),"")</f>
        <v>Apparel</v>
      </c>
      <c r="M147" t="str">
        <f>IFERROR(VLOOKUP(C147,Customers!$A:$E,5,FALSE),"")</f>
        <v/>
      </c>
      <c r="N147" t="str">
        <f>IFERROR(VLOOKUP(C147,Customers!$A:$E,3,FALSE),"")</f>
        <v/>
      </c>
      <c r="O147" s="33" t="str">
        <f>IFERROR(VLOOKUP(E147,Sales_Reps!$A:$C,3,FALSE),"")</f>
        <v>East</v>
      </c>
      <c r="P147" s="33">
        <f>IFERROR(VLOOKUP(D147,Products!$A:$D,4,FALSE),"")</f>
        <v>391</v>
      </c>
      <c r="Q147" s="33">
        <f t="shared" si="2"/>
        <v>0.52317073170731709</v>
      </c>
    </row>
    <row r="148" spans="1:17" x14ac:dyDescent="0.3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  <c r="L148" t="str">
        <f>IFERROR(VLOOKUP(D148,Products!$A:$C,3,FALSE),"")</f>
        <v>Home</v>
      </c>
      <c r="M148" t="str">
        <f>IFERROR(VLOOKUP(C148,Customers!$A:$E,5,FALSE),"")</f>
        <v>SMB</v>
      </c>
      <c r="N148">
        <f>IFERROR(VLOOKUP(C148,Customers!$A:$E,3,FALSE),"")</f>
        <v>30</v>
      </c>
      <c r="O148" s="33" t="str">
        <f>IFERROR(VLOOKUP(E148,Sales_Reps!$A:$C,3,FALSE),"")</f>
        <v>North</v>
      </c>
      <c r="P148" s="33">
        <f>IFERROR(VLOOKUP(D148,Products!$A:$D,4,FALSE),"")</f>
        <v>288</v>
      </c>
      <c r="Q148" s="33">
        <f t="shared" si="2"/>
        <v>0.22162162162162163</v>
      </c>
    </row>
    <row r="149" spans="1:17" x14ac:dyDescent="0.3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  <c r="L149" t="str">
        <f>IFERROR(VLOOKUP(D149,Products!$A:$C,3,FALSE),"")</f>
        <v>Home</v>
      </c>
      <c r="M149" t="str">
        <f>IFERROR(VLOOKUP(C149,Customers!$A:$E,5,FALSE),"")</f>
        <v>Retail</v>
      </c>
      <c r="N149">
        <f>IFERROR(VLOOKUP(C149,Customers!$A:$E,3,FALSE),"")</f>
        <v>65</v>
      </c>
      <c r="O149" s="33" t="str">
        <f>IFERROR(VLOOKUP(E149,Sales_Reps!$A:$C,3,FALSE),"")</f>
        <v>North</v>
      </c>
      <c r="P149" s="33">
        <f>IFERROR(VLOOKUP(D149,Products!$A:$D,4,FALSE),"")</f>
        <v>2459</v>
      </c>
      <c r="Q149" s="33">
        <f t="shared" si="2"/>
        <v>0.51594488188976373</v>
      </c>
    </row>
    <row r="150" spans="1:17" x14ac:dyDescent="0.3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  <c r="L150" t="str">
        <f>IFERROR(VLOOKUP(D150,Products!$A:$C,3,FALSE),"")</f>
        <v>Grocery</v>
      </c>
      <c r="M150" t="str">
        <f>IFERROR(VLOOKUP(C150,Customers!$A:$E,5,FALSE),"")</f>
        <v>SMB</v>
      </c>
      <c r="N150">
        <f>IFERROR(VLOOKUP(C150,Customers!$A:$E,3,FALSE),"")</f>
        <v>54</v>
      </c>
      <c r="O150" s="33" t="str">
        <f>IFERROR(VLOOKUP(E150,Sales_Reps!$A:$C,3,FALSE),"")</f>
        <v>South</v>
      </c>
      <c r="P150" s="33">
        <f>IFERROR(VLOOKUP(D150,Products!$A:$D,4,FALSE),"")</f>
        <v>2027</v>
      </c>
      <c r="Q150" s="33">
        <f t="shared" si="2"/>
        <v>0.50196560196560192</v>
      </c>
    </row>
    <row r="151" spans="1:17" x14ac:dyDescent="0.3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  <c r="L151" t="str">
        <f>IFERROR(VLOOKUP(D151,Products!$A:$C,3,FALSE),"")</f>
        <v>Electronics</v>
      </c>
      <c r="M151" t="str">
        <f>IFERROR(VLOOKUP(C151,Customers!$A:$E,5,FALSE),"")</f>
        <v>SMB</v>
      </c>
      <c r="N151">
        <f>IFERROR(VLOOKUP(C151,Customers!$A:$E,3,FALSE),"")</f>
        <v>30</v>
      </c>
      <c r="O151" s="33" t="str">
        <f>IFERROR(VLOOKUP(E151,Sales_Reps!$A:$C,3,FALSE),"")</f>
        <v>West</v>
      </c>
      <c r="P151" s="33">
        <f>IFERROR(VLOOKUP(D151,Products!$A:$D,4,FALSE),"")</f>
        <v>128</v>
      </c>
      <c r="Q151" s="33">
        <f t="shared" si="2"/>
        <v>0.57333333333333336</v>
      </c>
    </row>
    <row r="152" spans="1:17" x14ac:dyDescent="0.3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  <c r="L152" t="str">
        <f>IFERROR(VLOOKUP(D152,Products!$A:$C,3,FALSE),"")</f>
        <v>Beauty</v>
      </c>
      <c r="M152" t="str">
        <f>IFERROR(VLOOKUP(C152,Customers!$A:$E,5,FALSE),"")</f>
        <v>Retail</v>
      </c>
      <c r="N152">
        <f>IFERROR(VLOOKUP(C152,Customers!$A:$E,3,FALSE),"")</f>
        <v>41</v>
      </c>
      <c r="O152" s="33" t="str">
        <f>IFERROR(VLOOKUP(E152,Sales_Reps!$A:$C,3,FALSE),"")</f>
        <v>South</v>
      </c>
      <c r="P152" s="33">
        <f>IFERROR(VLOOKUP(D152,Products!$A:$D,4,FALSE),"")</f>
        <v>2237</v>
      </c>
      <c r="Q152" s="33">
        <f t="shared" si="2"/>
        <v>0.56137254901960787</v>
      </c>
    </row>
    <row r="153" spans="1:17" x14ac:dyDescent="0.3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  <c r="L153" t="str">
        <f>IFERROR(VLOOKUP(D153,Products!$A:$C,3,FALSE),"")</f>
        <v>Home</v>
      </c>
      <c r="M153" t="str">
        <f>IFERROR(VLOOKUP(C153,Customers!$A:$E,5,FALSE),"")</f>
        <v>Retail</v>
      </c>
      <c r="N153">
        <f>IFERROR(VLOOKUP(C153,Customers!$A:$E,3,FALSE),"")</f>
        <v>37</v>
      </c>
      <c r="O153" s="33" t="str">
        <f>IFERROR(VLOOKUP(E153,Sales_Reps!$A:$C,3,FALSE),"")</f>
        <v>South</v>
      </c>
      <c r="P153" s="33">
        <f>IFERROR(VLOOKUP(D153,Products!$A:$D,4,FALSE),"")</f>
        <v>2549</v>
      </c>
      <c r="Q153" s="33">
        <f t="shared" si="2"/>
        <v>0.53570127504553733</v>
      </c>
    </row>
    <row r="154" spans="1:17" x14ac:dyDescent="0.3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  <c r="L154" t="str">
        <f>IFERROR(VLOOKUP(D154,Products!$A:$C,3,FALSE),"")</f>
        <v>Apparel</v>
      </c>
      <c r="M154" t="str">
        <f>IFERROR(VLOOKUP(C154,Customers!$A:$E,5,FALSE),"")</f>
        <v>SMB</v>
      </c>
      <c r="N154">
        <f>IFERROR(VLOOKUP(C154,Customers!$A:$E,3,FALSE),"")</f>
        <v>34</v>
      </c>
      <c r="O154" s="33" t="str">
        <f>IFERROR(VLOOKUP(E154,Sales_Reps!$A:$C,3,FALSE),"")</f>
        <v>South</v>
      </c>
      <c r="P154" s="33">
        <f>IFERROR(VLOOKUP(D154,Products!$A:$D,4,FALSE),"")</f>
        <v>1748</v>
      </c>
      <c r="Q154" s="33">
        <f t="shared" si="2"/>
        <v>0.49333333333333335</v>
      </c>
    </row>
    <row r="155" spans="1:17" x14ac:dyDescent="0.3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  <c r="L155" t="str">
        <f>IFERROR(VLOOKUP(D155,Products!$A:$C,3,FALSE),"")</f>
        <v>Grocery</v>
      </c>
      <c r="M155" t="str">
        <f>IFERROR(VLOOKUP(C155,Customers!$A:$E,5,FALSE),"")</f>
        <v>Corporate</v>
      </c>
      <c r="N155">
        <f>IFERROR(VLOOKUP(C155,Customers!$A:$E,3,FALSE),"")</f>
        <v>43</v>
      </c>
      <c r="O155" s="33" t="str">
        <f>IFERROR(VLOOKUP(E155,Sales_Reps!$A:$C,3,FALSE),"")</f>
        <v>North</v>
      </c>
      <c r="P155" s="33">
        <f>IFERROR(VLOOKUP(D155,Products!$A:$D,4,FALSE),"")</f>
        <v>1010</v>
      </c>
      <c r="Q155" s="33">
        <f t="shared" si="2"/>
        <v>0.54298642533936647</v>
      </c>
    </row>
    <row r="156" spans="1:17" x14ac:dyDescent="0.3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  <c r="L156" t="str">
        <f>IFERROR(VLOOKUP(D156,Products!$A:$C,3,FALSE),"")</f>
        <v>Home</v>
      </c>
      <c r="M156" t="str">
        <f>IFERROR(VLOOKUP(C156,Customers!$A:$E,5,FALSE),"")</f>
        <v>SMB</v>
      </c>
      <c r="N156">
        <f>IFERROR(VLOOKUP(C156,Customers!$A:$E,3,FALSE),"")</f>
        <v>36</v>
      </c>
      <c r="O156" s="33" t="str">
        <f>IFERROR(VLOOKUP(E156,Sales_Reps!$A:$C,3,FALSE),"")</f>
        <v>South</v>
      </c>
      <c r="P156" s="33">
        <f>IFERROR(VLOOKUP(D156,Products!$A:$D,4,FALSE),"")</f>
        <v>1556</v>
      </c>
      <c r="Q156" s="33">
        <f t="shared" si="2"/>
        <v>0.52123076923076928</v>
      </c>
    </row>
    <row r="157" spans="1:17" x14ac:dyDescent="0.3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  <c r="L157" t="str">
        <f>IFERROR(VLOOKUP(D157,Products!$A:$C,3,FALSE),"")</f>
        <v>Apparel</v>
      </c>
      <c r="M157" t="str">
        <f>IFERROR(VLOOKUP(C157,Customers!$A:$E,5,FALSE),"")</f>
        <v>Retail</v>
      </c>
      <c r="N157">
        <f>IFERROR(VLOOKUP(C157,Customers!$A:$E,3,FALSE),"")</f>
        <v>29</v>
      </c>
      <c r="O157" s="33" t="str">
        <f>IFERROR(VLOOKUP(E157,Sales_Reps!$A:$C,3,FALSE),"")</f>
        <v>North</v>
      </c>
      <c r="P157" s="33">
        <f>IFERROR(VLOOKUP(D157,Products!$A:$D,4,FALSE),"")</f>
        <v>1886</v>
      </c>
      <c r="Q157" s="33">
        <f t="shared" si="2"/>
        <v>0.4031645569620253</v>
      </c>
    </row>
    <row r="158" spans="1:17" x14ac:dyDescent="0.3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  <c r="L158" t="str">
        <f>IFERROR(VLOOKUP(D158,Products!$A:$C,3,FALSE),"")</f>
        <v>Electronics</v>
      </c>
      <c r="M158" t="str">
        <f>IFERROR(VLOOKUP(C158,Customers!$A:$E,5,FALSE),"")</f>
        <v>SMB</v>
      </c>
      <c r="N158">
        <f>IFERROR(VLOOKUP(C158,Customers!$A:$E,3,FALSE),"")</f>
        <v>53</v>
      </c>
      <c r="O158" s="33" t="str">
        <f>IFERROR(VLOOKUP(E158,Sales_Reps!$A:$C,3,FALSE),"")</f>
        <v>West</v>
      </c>
      <c r="P158" s="33">
        <f>IFERROR(VLOOKUP(D158,Products!$A:$D,4,FALSE),"")</f>
        <v>1559</v>
      </c>
      <c r="Q158" s="33">
        <f t="shared" si="2"/>
        <v>0.59715762273901807</v>
      </c>
    </row>
    <row r="159" spans="1:17" x14ac:dyDescent="0.3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  <c r="L159" t="str">
        <f>IFERROR(VLOOKUP(D159,Products!$A:$C,3,FALSE),"")</f>
        <v>Sports</v>
      </c>
      <c r="M159" t="str">
        <f>IFERROR(VLOOKUP(C159,Customers!$A:$E,5,FALSE),"")</f>
        <v>Corporate</v>
      </c>
      <c r="N159">
        <f>IFERROR(VLOOKUP(C159,Customers!$A:$E,3,FALSE),"")</f>
        <v>37</v>
      </c>
      <c r="O159" s="33" t="str">
        <f>IFERROR(VLOOKUP(E159,Sales_Reps!$A:$C,3,FALSE),"")</f>
        <v>East</v>
      </c>
      <c r="P159" s="33">
        <f>IFERROR(VLOOKUP(D159,Products!$A:$D,4,FALSE),"")</f>
        <v>1860</v>
      </c>
      <c r="Q159" s="33">
        <f t="shared" si="2"/>
        <v>0.50793650793650791</v>
      </c>
    </row>
    <row r="160" spans="1:17" x14ac:dyDescent="0.3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  <c r="L160" t="str">
        <f>IFERROR(VLOOKUP(D160,Products!$A:$C,3,FALSE),"")</f>
        <v>Beauty</v>
      </c>
      <c r="M160" t="str">
        <f>IFERROR(VLOOKUP(C160,Customers!$A:$E,5,FALSE),"")</f>
        <v>Retail</v>
      </c>
      <c r="N160">
        <f>IFERROR(VLOOKUP(C160,Customers!$A:$E,3,FALSE),"")</f>
        <v>55</v>
      </c>
      <c r="O160" s="33" t="str">
        <f>IFERROR(VLOOKUP(E160,Sales_Reps!$A:$C,3,FALSE),"")</f>
        <v>East</v>
      </c>
      <c r="P160" s="33">
        <f>IFERROR(VLOOKUP(D160,Products!$A:$D,4,FALSE),"")</f>
        <v>1626</v>
      </c>
      <c r="Q160" s="33">
        <f t="shared" si="2"/>
        <v>0.46158940397350995</v>
      </c>
    </row>
    <row r="161" spans="1:17" x14ac:dyDescent="0.3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  <c r="L161" t="str">
        <f>IFERROR(VLOOKUP(D161,Products!$A:$C,3,FALSE),"")</f>
        <v>Home</v>
      </c>
      <c r="M161" t="str">
        <f>IFERROR(VLOOKUP(C161,Customers!$A:$E,5,FALSE),"")</f>
        <v>Retail</v>
      </c>
      <c r="N161">
        <f>IFERROR(VLOOKUP(C161,Customers!$A:$E,3,FALSE),"")</f>
        <v>61</v>
      </c>
      <c r="O161" s="33" t="str">
        <f>IFERROR(VLOOKUP(E161,Sales_Reps!$A:$C,3,FALSE),"")</f>
        <v>South</v>
      </c>
      <c r="P161" s="33">
        <f>IFERROR(VLOOKUP(D161,Products!$A:$D,4,FALSE),"")</f>
        <v>2135</v>
      </c>
      <c r="Q161" s="33">
        <f t="shared" si="2"/>
        <v>0.42761394101876676</v>
      </c>
    </row>
    <row r="162" spans="1:17" x14ac:dyDescent="0.3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  <c r="L162" t="str">
        <f>IFERROR(VLOOKUP(D162,Products!$A:$C,3,FALSE),"")</f>
        <v>Beauty</v>
      </c>
      <c r="M162" t="str">
        <f>IFERROR(VLOOKUP(C162,Customers!$A:$E,5,FALSE),"")</f>
        <v>SMB</v>
      </c>
      <c r="N162">
        <f>IFERROR(VLOOKUP(C162,Customers!$A:$E,3,FALSE),"")</f>
        <v>65</v>
      </c>
      <c r="O162" s="33" t="str">
        <f>IFERROR(VLOOKUP(E162,Sales_Reps!$A:$C,3,FALSE),"")</f>
        <v>East</v>
      </c>
      <c r="P162" s="33">
        <f>IFERROR(VLOOKUP(D162,Products!$A:$D,4,FALSE),"")</f>
        <v>2768</v>
      </c>
      <c r="Q162" s="33">
        <f t="shared" si="2"/>
        <v>0.43278688524590164</v>
      </c>
    </row>
    <row r="163" spans="1:17" x14ac:dyDescent="0.3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  <c r="L163" t="str">
        <f>IFERROR(VLOOKUP(D163,Products!$A:$C,3,FALSE),"")</f>
        <v>Grocery</v>
      </c>
      <c r="M163" t="str">
        <f>IFERROR(VLOOKUP(C163,Customers!$A:$E,5,FALSE),"")</f>
        <v>Retail</v>
      </c>
      <c r="N163">
        <f>IFERROR(VLOOKUP(C163,Customers!$A:$E,3,FALSE),"")</f>
        <v>63</v>
      </c>
      <c r="O163" s="33" t="str">
        <f>IFERROR(VLOOKUP(E163,Sales_Reps!$A:$C,3,FALSE),"")</f>
        <v>West</v>
      </c>
      <c r="P163" s="33">
        <f>IFERROR(VLOOKUP(D163,Products!$A:$D,4,FALSE),"")</f>
        <v>434</v>
      </c>
      <c r="Q163" s="33">
        <f t="shared" si="2"/>
        <v>0.5525773195876289</v>
      </c>
    </row>
    <row r="164" spans="1:17" x14ac:dyDescent="0.3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  <c r="L164" t="str">
        <f>IFERROR(VLOOKUP(D164,Products!$A:$C,3,FALSE),"")</f>
        <v>Electronics</v>
      </c>
      <c r="M164" t="str">
        <f>IFERROR(VLOOKUP(C164,Customers!$A:$E,5,FALSE),"")</f>
        <v>SMB</v>
      </c>
      <c r="N164">
        <f>IFERROR(VLOOKUP(C164,Customers!$A:$E,3,FALSE),"")</f>
        <v>43</v>
      </c>
      <c r="O164" s="33" t="str">
        <f>IFERROR(VLOOKUP(E164,Sales_Reps!$A:$C,3,FALSE),"")</f>
        <v>East</v>
      </c>
      <c r="P164" s="33">
        <f>IFERROR(VLOOKUP(D164,Products!$A:$D,4,FALSE),"")</f>
        <v>1259</v>
      </c>
      <c r="Q164" s="33">
        <f t="shared" si="2"/>
        <v>0.52669172932330832</v>
      </c>
    </row>
    <row r="165" spans="1:17" x14ac:dyDescent="0.3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  <c r="L165" t="str">
        <f>IFERROR(VLOOKUP(D165,Products!$A:$C,3,FALSE),"")</f>
        <v>Apparel</v>
      </c>
      <c r="M165" t="str">
        <f>IFERROR(VLOOKUP(C165,Customers!$A:$E,5,FALSE),"")</f>
        <v>SMB</v>
      </c>
      <c r="N165">
        <f>IFERROR(VLOOKUP(C165,Customers!$A:$E,3,FALSE),"")</f>
        <v>27</v>
      </c>
      <c r="O165" s="33" t="str">
        <f>IFERROR(VLOOKUP(E165,Sales_Reps!$A:$C,3,FALSE),"")</f>
        <v>South</v>
      </c>
      <c r="P165" s="33">
        <f>IFERROR(VLOOKUP(D165,Products!$A:$D,4,FALSE),"")</f>
        <v>391</v>
      </c>
      <c r="Q165" s="33">
        <f t="shared" si="2"/>
        <v>0.52317073170731709</v>
      </c>
    </row>
    <row r="166" spans="1:17" x14ac:dyDescent="0.3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  <c r="L166" t="str">
        <f>IFERROR(VLOOKUP(D166,Products!$A:$C,3,FALSE),"")</f>
        <v>Home</v>
      </c>
      <c r="M166" t="str">
        <f>IFERROR(VLOOKUP(C166,Customers!$A:$E,5,FALSE),"")</f>
        <v>Corporate</v>
      </c>
      <c r="N166">
        <f>IFERROR(VLOOKUP(C166,Customers!$A:$E,3,FALSE),"")</f>
        <v>35</v>
      </c>
      <c r="O166" s="33" t="str">
        <f>IFERROR(VLOOKUP(E166,Sales_Reps!$A:$C,3,FALSE),"")</f>
        <v>South</v>
      </c>
      <c r="P166" s="33">
        <f>IFERROR(VLOOKUP(D166,Products!$A:$D,4,FALSE),"")</f>
        <v>1143</v>
      </c>
      <c r="Q166" s="33">
        <f t="shared" si="2"/>
        <v>0.43694581280788175</v>
      </c>
    </row>
    <row r="167" spans="1:17" x14ac:dyDescent="0.3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  <c r="L167" t="str">
        <f>IFERROR(VLOOKUP(D167,Products!$A:$C,3,FALSE),"")</f>
        <v>Apparel</v>
      </c>
      <c r="M167" t="str">
        <f>IFERROR(VLOOKUP(C167,Customers!$A:$E,5,FALSE),"")</f>
        <v>SMB</v>
      </c>
      <c r="N167">
        <f>IFERROR(VLOOKUP(C167,Customers!$A:$E,3,FALSE),"")</f>
        <v>59</v>
      </c>
      <c r="O167" s="33" t="str">
        <f>IFERROR(VLOOKUP(E167,Sales_Reps!$A:$C,3,FALSE),"")</f>
        <v>South</v>
      </c>
      <c r="P167" s="33">
        <f>IFERROR(VLOOKUP(D167,Products!$A:$D,4,FALSE),"")</f>
        <v>396</v>
      </c>
      <c r="Q167" s="33">
        <f t="shared" si="2"/>
        <v>0.36129032258064514</v>
      </c>
    </row>
    <row r="168" spans="1:17" x14ac:dyDescent="0.3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  <c r="L168" t="str">
        <f>IFERROR(VLOOKUP(D168,Products!$A:$C,3,FALSE),"")</f>
        <v>Grocery</v>
      </c>
      <c r="M168" t="str">
        <f>IFERROR(VLOOKUP(C168,Customers!$A:$E,5,FALSE),"")</f>
        <v>SMB</v>
      </c>
      <c r="N168">
        <f>IFERROR(VLOOKUP(C168,Customers!$A:$E,3,FALSE),"")</f>
        <v>34</v>
      </c>
      <c r="O168" s="33" t="str">
        <f>IFERROR(VLOOKUP(E168,Sales_Reps!$A:$C,3,FALSE),"")</f>
        <v>East</v>
      </c>
      <c r="P168" s="33">
        <f>IFERROR(VLOOKUP(D168,Products!$A:$D,4,FALSE),"")</f>
        <v>1412</v>
      </c>
      <c r="Q168" s="33">
        <f t="shared" si="2"/>
        <v>0.37797356828193834</v>
      </c>
    </row>
    <row r="169" spans="1:17" x14ac:dyDescent="0.3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  <c r="L169" t="str">
        <f>IFERROR(VLOOKUP(D169,Products!$A:$C,3,FALSE),"")</f>
        <v>Sports</v>
      </c>
      <c r="M169" t="str">
        <f>IFERROR(VLOOKUP(C169,Customers!$A:$E,5,FALSE),"")</f>
        <v>SMB</v>
      </c>
      <c r="N169">
        <f>IFERROR(VLOOKUP(C169,Customers!$A:$E,3,FALSE),"")</f>
        <v>40</v>
      </c>
      <c r="O169" s="33" t="str">
        <f>IFERROR(VLOOKUP(E169,Sales_Reps!$A:$C,3,FALSE),"")</f>
        <v>South</v>
      </c>
      <c r="P169" s="33">
        <f>IFERROR(VLOOKUP(D169,Products!$A:$D,4,FALSE),"")</f>
        <v>302</v>
      </c>
      <c r="Q169" s="33">
        <f t="shared" si="2"/>
        <v>0.35744680851063831</v>
      </c>
    </row>
    <row r="170" spans="1:17" x14ac:dyDescent="0.3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  <c r="L170" t="str">
        <f>IFERROR(VLOOKUP(D170,Products!$A:$C,3,FALSE),"")</f>
        <v>Electronics</v>
      </c>
      <c r="M170" t="str">
        <f>IFERROR(VLOOKUP(C170,Customers!$A:$E,5,FALSE),"")</f>
        <v>Retail</v>
      </c>
      <c r="N170">
        <f>IFERROR(VLOOKUP(C170,Customers!$A:$E,3,FALSE),"")</f>
        <v>63</v>
      </c>
      <c r="O170" s="33" t="str">
        <f>IFERROR(VLOOKUP(E170,Sales_Reps!$A:$C,3,FALSE),"")</f>
        <v>North</v>
      </c>
      <c r="P170" s="33">
        <f>IFERROR(VLOOKUP(D170,Products!$A:$D,4,FALSE),"")</f>
        <v>2405</v>
      </c>
      <c r="Q170" s="33">
        <f t="shared" si="2"/>
        <v>0.54878048780487809</v>
      </c>
    </row>
    <row r="171" spans="1:17" x14ac:dyDescent="0.3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  <c r="L171" t="str">
        <f>IFERROR(VLOOKUP(D171,Products!$A:$C,3,FALSE),"")</f>
        <v>Beauty</v>
      </c>
      <c r="M171" t="str">
        <f>IFERROR(VLOOKUP(C171,Customers!$A:$E,5,FALSE),"")</f>
        <v>SMB</v>
      </c>
      <c r="N171">
        <f>IFERROR(VLOOKUP(C171,Customers!$A:$E,3,FALSE),"")</f>
        <v>49</v>
      </c>
      <c r="O171" s="33" t="str">
        <f>IFERROR(VLOOKUP(E171,Sales_Reps!$A:$C,3,FALSE),"")</f>
        <v>North</v>
      </c>
      <c r="P171" s="33">
        <f>IFERROR(VLOOKUP(D171,Products!$A:$D,4,FALSE),"")</f>
        <v>2617</v>
      </c>
      <c r="Q171" s="33">
        <f t="shared" si="2"/>
        <v>0.56957236842105263</v>
      </c>
    </row>
    <row r="172" spans="1:17" x14ac:dyDescent="0.3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  <c r="L172" t="str">
        <f>IFERROR(VLOOKUP(D172,Products!$A:$C,3,FALSE),"")</f>
        <v>Grocery</v>
      </c>
      <c r="M172" t="str">
        <f>IFERROR(VLOOKUP(C172,Customers!$A:$E,5,FALSE),"")</f>
        <v>Retail</v>
      </c>
      <c r="N172">
        <f>IFERROR(VLOOKUP(C172,Customers!$A:$E,3,FALSE),"")</f>
        <v>54</v>
      </c>
      <c r="O172" s="33" t="str">
        <f>IFERROR(VLOOKUP(E172,Sales_Reps!$A:$C,3,FALSE),"")</f>
        <v>East</v>
      </c>
      <c r="P172" s="33">
        <f>IFERROR(VLOOKUP(D172,Products!$A:$D,4,FALSE),"")</f>
        <v>2436</v>
      </c>
      <c r="Q172" s="33">
        <f t="shared" si="2"/>
        <v>0.35555555555555557</v>
      </c>
    </row>
    <row r="173" spans="1:17" x14ac:dyDescent="0.3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  <c r="L173" t="str">
        <f>IFERROR(VLOOKUP(D173,Products!$A:$C,3,FALSE),"")</f>
        <v>Apparel</v>
      </c>
      <c r="M173" t="str">
        <f>IFERROR(VLOOKUP(C173,Customers!$A:$E,5,FALSE),"")</f>
        <v>Corporate</v>
      </c>
      <c r="N173">
        <f>IFERROR(VLOOKUP(C173,Customers!$A:$E,3,FALSE),"")</f>
        <v>52</v>
      </c>
      <c r="O173" s="33" t="str">
        <f>IFERROR(VLOOKUP(E173,Sales_Reps!$A:$C,3,FALSE),"")</f>
        <v>South</v>
      </c>
      <c r="P173" s="33">
        <f>IFERROR(VLOOKUP(D173,Products!$A:$D,4,FALSE),"")</f>
        <v>396</v>
      </c>
      <c r="Q173" s="33">
        <f t="shared" si="2"/>
        <v>0.36129032258064514</v>
      </c>
    </row>
    <row r="174" spans="1:17" x14ac:dyDescent="0.3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  <c r="L174" t="str">
        <f>IFERROR(VLOOKUP(D174,Products!$A:$C,3,FALSE),"")</f>
        <v>Apparel</v>
      </c>
      <c r="M174" t="str">
        <f>IFERROR(VLOOKUP(C174,Customers!$A:$E,5,FALSE),"")</f>
        <v>Corporate</v>
      </c>
      <c r="N174">
        <f>IFERROR(VLOOKUP(C174,Customers!$A:$E,3,FALSE),"")</f>
        <v>48</v>
      </c>
      <c r="O174" s="33" t="str">
        <f>IFERROR(VLOOKUP(E174,Sales_Reps!$A:$C,3,FALSE),"")</f>
        <v>West</v>
      </c>
      <c r="P174" s="33">
        <f>IFERROR(VLOOKUP(D174,Products!$A:$D,4,FALSE),"")</f>
        <v>1075</v>
      </c>
      <c r="Q174" s="33">
        <f t="shared" si="2"/>
        <v>0.57171314741035861</v>
      </c>
    </row>
    <row r="175" spans="1:17" x14ac:dyDescent="0.3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  <c r="L175" t="str">
        <f>IFERROR(VLOOKUP(D175,Products!$A:$C,3,FALSE),"")</f>
        <v>Apparel</v>
      </c>
      <c r="M175" t="str">
        <f>IFERROR(VLOOKUP(C175,Customers!$A:$E,5,FALSE),"")</f>
        <v>Retail</v>
      </c>
      <c r="N175">
        <f>IFERROR(VLOOKUP(C175,Customers!$A:$E,3,FALSE),"")</f>
        <v>49</v>
      </c>
      <c r="O175" s="33" t="str">
        <f>IFERROR(VLOOKUP(E175,Sales_Reps!$A:$C,3,FALSE),"")</f>
        <v>East</v>
      </c>
      <c r="P175" s="33">
        <f>IFERROR(VLOOKUP(D175,Products!$A:$D,4,FALSE),"")</f>
        <v>1962</v>
      </c>
      <c r="Q175" s="33">
        <f t="shared" si="2"/>
        <v>0.2786764705882353</v>
      </c>
    </row>
    <row r="176" spans="1:17" x14ac:dyDescent="0.3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  <c r="L176" t="str">
        <f>IFERROR(VLOOKUP(D176,Products!$A:$C,3,FALSE),"")</f>
        <v>Sports</v>
      </c>
      <c r="M176" t="str">
        <f>IFERROR(VLOOKUP(C176,Customers!$A:$E,5,FALSE),"")</f>
        <v>Corporate</v>
      </c>
      <c r="N176">
        <f>IFERROR(VLOOKUP(C176,Customers!$A:$E,3,FALSE),"")</f>
        <v>29</v>
      </c>
      <c r="O176" s="33" t="str">
        <f>IFERROR(VLOOKUP(E176,Sales_Reps!$A:$C,3,FALSE),"")</f>
        <v>East</v>
      </c>
      <c r="P176" s="33">
        <f>IFERROR(VLOOKUP(D176,Products!$A:$D,4,FALSE),"")</f>
        <v>302</v>
      </c>
      <c r="Q176" s="33">
        <f t="shared" si="2"/>
        <v>0.35744680851063831</v>
      </c>
    </row>
    <row r="177" spans="1:17" x14ac:dyDescent="0.3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  <c r="L177" t="str">
        <f>IFERROR(VLOOKUP(D177,Products!$A:$C,3,FALSE),"")</f>
        <v>Home</v>
      </c>
      <c r="M177" t="str">
        <f>IFERROR(VLOOKUP(C177,Customers!$A:$E,5,FALSE),"")</f>
        <v>Retail</v>
      </c>
      <c r="N177">
        <f>IFERROR(VLOOKUP(C177,Customers!$A:$E,3,FALSE),"")</f>
        <v>46</v>
      </c>
      <c r="O177" s="33" t="str">
        <f>IFERROR(VLOOKUP(E177,Sales_Reps!$A:$C,3,FALSE),"")</f>
        <v>East</v>
      </c>
      <c r="P177" s="33">
        <f>IFERROR(VLOOKUP(D177,Products!$A:$D,4,FALSE),"")</f>
        <v>1556</v>
      </c>
      <c r="Q177" s="33">
        <f t="shared" si="2"/>
        <v>0.52123076923076928</v>
      </c>
    </row>
    <row r="178" spans="1:17" x14ac:dyDescent="0.3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  <c r="L178" t="str">
        <f>IFERROR(VLOOKUP(D178,Products!$A:$C,3,FALSE),"")</f>
        <v>Home</v>
      </c>
      <c r="M178" t="str">
        <f>IFERROR(VLOOKUP(C178,Customers!$A:$E,5,FALSE),"")</f>
        <v>Retail</v>
      </c>
      <c r="N178">
        <f>IFERROR(VLOOKUP(C178,Customers!$A:$E,3,FALSE),"")</f>
        <v>59</v>
      </c>
      <c r="O178" s="33" t="str">
        <f>IFERROR(VLOOKUP(E178,Sales_Reps!$A:$C,3,FALSE),"")</f>
        <v>West</v>
      </c>
      <c r="P178" s="33">
        <f>IFERROR(VLOOKUP(D178,Products!$A:$D,4,FALSE),"")</f>
        <v>2459</v>
      </c>
      <c r="Q178" s="33">
        <f t="shared" si="2"/>
        <v>0.51594488188976373</v>
      </c>
    </row>
    <row r="179" spans="1:17" x14ac:dyDescent="0.3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  <c r="L179" t="str">
        <f>IFERROR(VLOOKUP(D179,Products!$A:$C,3,FALSE),"")</f>
        <v>Electronics</v>
      </c>
      <c r="M179" t="str">
        <f>IFERROR(VLOOKUP(C179,Customers!$A:$E,5,FALSE),"")</f>
        <v>Retail</v>
      </c>
      <c r="N179">
        <f>IFERROR(VLOOKUP(C179,Customers!$A:$E,3,FALSE),"")</f>
        <v>65</v>
      </c>
      <c r="O179" s="33" t="str">
        <f>IFERROR(VLOOKUP(E179,Sales_Reps!$A:$C,3,FALSE),"")</f>
        <v>South</v>
      </c>
      <c r="P179" s="33">
        <f>IFERROR(VLOOKUP(D179,Products!$A:$D,4,FALSE),"")</f>
        <v>1665</v>
      </c>
      <c r="Q179" s="33">
        <f t="shared" si="2"/>
        <v>0.53361344537815125</v>
      </c>
    </row>
    <row r="180" spans="1:17" x14ac:dyDescent="0.3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  <c r="L180" t="str">
        <f>IFERROR(VLOOKUP(D180,Products!$A:$C,3,FALSE),"")</f>
        <v>Apparel</v>
      </c>
      <c r="M180" t="str">
        <f>IFERROR(VLOOKUP(C180,Customers!$A:$E,5,FALSE),"")</f>
        <v>Retail</v>
      </c>
      <c r="N180">
        <f>IFERROR(VLOOKUP(C180,Customers!$A:$E,3,FALSE),"")</f>
        <v>57</v>
      </c>
      <c r="O180" s="33" t="str">
        <f>IFERROR(VLOOKUP(E180,Sales_Reps!$A:$C,3,FALSE),"")</f>
        <v>South</v>
      </c>
      <c r="P180" s="33">
        <f>IFERROR(VLOOKUP(D180,Products!$A:$D,4,FALSE),"")</f>
        <v>2611</v>
      </c>
      <c r="Q180" s="33">
        <f t="shared" si="2"/>
        <v>0.28269230769230769</v>
      </c>
    </row>
    <row r="181" spans="1:17" x14ac:dyDescent="0.3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  <c r="L181" t="str">
        <f>IFERROR(VLOOKUP(D181,Products!$A:$C,3,FALSE),"")</f>
        <v>Grocery</v>
      </c>
      <c r="M181" t="str">
        <f>IFERROR(VLOOKUP(C181,Customers!$A:$E,5,FALSE),"")</f>
        <v>Retail</v>
      </c>
      <c r="N181">
        <f>IFERROR(VLOOKUP(C181,Customers!$A:$E,3,FALSE),"")</f>
        <v>63</v>
      </c>
      <c r="O181" s="33" t="str">
        <f>IFERROR(VLOOKUP(E181,Sales_Reps!$A:$C,3,FALSE),"")</f>
        <v>North</v>
      </c>
      <c r="P181" s="33">
        <f>IFERROR(VLOOKUP(D181,Products!$A:$D,4,FALSE),"")</f>
        <v>2027</v>
      </c>
      <c r="Q181" s="33">
        <f t="shared" si="2"/>
        <v>0.50196560196560192</v>
      </c>
    </row>
    <row r="182" spans="1:17" x14ac:dyDescent="0.3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  <c r="L182" t="str">
        <f>IFERROR(VLOOKUP(D182,Products!$A:$C,3,FALSE),"")</f>
        <v>Apparel</v>
      </c>
      <c r="M182" t="str">
        <f>IFERROR(VLOOKUP(C182,Customers!$A:$E,5,FALSE),"")</f>
        <v>Retail</v>
      </c>
      <c r="N182">
        <f>IFERROR(VLOOKUP(C182,Customers!$A:$E,3,FALSE),"")</f>
        <v>34</v>
      </c>
      <c r="O182" s="33" t="str">
        <f>IFERROR(VLOOKUP(E182,Sales_Reps!$A:$C,3,FALSE),"")</f>
        <v>South</v>
      </c>
      <c r="P182" s="33">
        <f>IFERROR(VLOOKUP(D182,Products!$A:$D,4,FALSE),"")</f>
        <v>1748</v>
      </c>
      <c r="Q182" s="33">
        <f t="shared" si="2"/>
        <v>0.49333333333333335</v>
      </c>
    </row>
    <row r="183" spans="1:17" x14ac:dyDescent="0.3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  <c r="L183" t="str">
        <f>IFERROR(VLOOKUP(D183,Products!$A:$C,3,FALSE),"")</f>
        <v>Home</v>
      </c>
      <c r="M183" t="str">
        <f>IFERROR(VLOOKUP(C183,Customers!$A:$E,5,FALSE),"")</f>
        <v>Retail</v>
      </c>
      <c r="N183">
        <f>IFERROR(VLOOKUP(C183,Customers!$A:$E,3,FALSE),"")</f>
        <v>60</v>
      </c>
      <c r="O183" s="33" t="str">
        <f>IFERROR(VLOOKUP(E183,Sales_Reps!$A:$C,3,FALSE),"")</f>
        <v>West</v>
      </c>
      <c r="P183" s="33">
        <f>IFERROR(VLOOKUP(D183,Products!$A:$D,4,FALSE),"")</f>
        <v>2459</v>
      </c>
      <c r="Q183" s="33">
        <f t="shared" si="2"/>
        <v>0.51594488188976373</v>
      </c>
    </row>
    <row r="184" spans="1:17" x14ac:dyDescent="0.3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  <c r="L184" t="str">
        <f>IFERROR(VLOOKUP(D184,Products!$A:$C,3,FALSE),"")</f>
        <v>Grocery</v>
      </c>
      <c r="M184" t="str">
        <f>IFERROR(VLOOKUP(C184,Customers!$A:$E,5,FALSE),"")</f>
        <v>Retail</v>
      </c>
      <c r="N184">
        <f>IFERROR(VLOOKUP(C184,Customers!$A:$E,3,FALSE),"")</f>
        <v>28</v>
      </c>
      <c r="O184" s="33" t="str">
        <f>IFERROR(VLOOKUP(E184,Sales_Reps!$A:$C,3,FALSE),"")</f>
        <v>West</v>
      </c>
      <c r="P184" s="33">
        <f>IFERROR(VLOOKUP(D184,Products!$A:$D,4,FALSE),"")</f>
        <v>1435</v>
      </c>
      <c r="Q184" s="33">
        <f t="shared" si="2"/>
        <v>0.48007246376811596</v>
      </c>
    </row>
    <row r="185" spans="1:17" x14ac:dyDescent="0.3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  <c r="L185" t="str">
        <f>IFERROR(VLOOKUP(D185,Products!$A:$C,3,FALSE),"")</f>
        <v>Beauty</v>
      </c>
      <c r="M185" t="str">
        <f>IFERROR(VLOOKUP(C185,Customers!$A:$E,5,FALSE),"")</f>
        <v>Retail</v>
      </c>
      <c r="N185">
        <f>IFERROR(VLOOKUP(C185,Customers!$A:$E,3,FALSE),"")</f>
        <v>61</v>
      </c>
      <c r="O185" s="33" t="str">
        <f>IFERROR(VLOOKUP(E185,Sales_Reps!$A:$C,3,FALSE),"")</f>
        <v>South</v>
      </c>
      <c r="P185" s="33">
        <f>IFERROR(VLOOKUP(D185,Products!$A:$D,4,FALSE),"")</f>
        <v>1222</v>
      </c>
      <c r="Q185" s="33">
        <f t="shared" si="2"/>
        <v>0.2593939393939394</v>
      </c>
    </row>
    <row r="186" spans="1:17" x14ac:dyDescent="0.3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  <c r="L186" t="str">
        <f>IFERROR(VLOOKUP(D186,Products!$A:$C,3,FALSE),"")</f>
        <v>Electronics</v>
      </c>
      <c r="M186" t="str">
        <f>IFERROR(VLOOKUP(C186,Customers!$A:$E,5,FALSE),"")</f>
        <v>SMB</v>
      </c>
      <c r="N186">
        <f>IFERROR(VLOOKUP(C186,Customers!$A:$E,3,FALSE),"")</f>
        <v>43</v>
      </c>
      <c r="O186" s="33" t="str">
        <f>IFERROR(VLOOKUP(E186,Sales_Reps!$A:$C,3,FALSE),"")</f>
        <v>North</v>
      </c>
      <c r="P186" s="33">
        <f>IFERROR(VLOOKUP(D186,Products!$A:$D,4,FALSE),"")</f>
        <v>1559</v>
      </c>
      <c r="Q186" s="33">
        <f t="shared" si="2"/>
        <v>0.59715762273901807</v>
      </c>
    </row>
    <row r="187" spans="1:17" x14ac:dyDescent="0.3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  <c r="L187" t="str">
        <f>IFERROR(VLOOKUP(D187,Products!$A:$C,3,FALSE),"")</f>
        <v>Home</v>
      </c>
      <c r="M187" t="str">
        <f>IFERROR(VLOOKUP(C187,Customers!$A:$E,5,FALSE),"")</f>
        <v>SMB</v>
      </c>
      <c r="N187">
        <f>IFERROR(VLOOKUP(C187,Customers!$A:$E,3,FALSE),"")</f>
        <v>65</v>
      </c>
      <c r="O187" s="33" t="str">
        <f>IFERROR(VLOOKUP(E187,Sales_Reps!$A:$C,3,FALSE),"")</f>
        <v>East</v>
      </c>
      <c r="P187" s="33">
        <f>IFERROR(VLOOKUP(D187,Products!$A:$D,4,FALSE),"")</f>
        <v>464</v>
      </c>
      <c r="Q187" s="33">
        <f t="shared" si="2"/>
        <v>0.57431192660550456</v>
      </c>
    </row>
    <row r="188" spans="1:17" x14ac:dyDescent="0.3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  <c r="L188" t="str">
        <f>IFERROR(VLOOKUP(D188,Products!$A:$C,3,FALSE),"")</f>
        <v>Beauty</v>
      </c>
      <c r="M188" t="str">
        <f>IFERROR(VLOOKUP(C188,Customers!$A:$E,5,FALSE),"")</f>
        <v>Corporate</v>
      </c>
      <c r="N188">
        <f>IFERROR(VLOOKUP(C188,Customers!$A:$E,3,FALSE),"")</f>
        <v>36</v>
      </c>
      <c r="O188" s="33" t="str">
        <f>IFERROR(VLOOKUP(E188,Sales_Reps!$A:$C,3,FALSE),"")</f>
        <v>West</v>
      </c>
      <c r="P188" s="33">
        <f>IFERROR(VLOOKUP(D188,Products!$A:$D,4,FALSE),"")</f>
        <v>675</v>
      </c>
      <c r="Q188" s="33">
        <f t="shared" si="2"/>
        <v>0.296875</v>
      </c>
    </row>
    <row r="189" spans="1:17" x14ac:dyDescent="0.3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  <c r="L189" t="str">
        <f>IFERROR(VLOOKUP(D189,Products!$A:$C,3,FALSE),"")</f>
        <v>Beauty</v>
      </c>
      <c r="M189" t="str">
        <f>IFERROR(VLOOKUP(C189,Customers!$A:$E,5,FALSE),"")</f>
        <v>Retail</v>
      </c>
      <c r="N189">
        <f>IFERROR(VLOOKUP(C189,Customers!$A:$E,3,FALSE),"")</f>
        <v>34</v>
      </c>
      <c r="O189" s="33" t="str">
        <f>IFERROR(VLOOKUP(E189,Sales_Reps!$A:$C,3,FALSE),"")</f>
        <v>East</v>
      </c>
      <c r="P189" s="33">
        <f>IFERROR(VLOOKUP(D189,Products!$A:$D,4,FALSE),"")</f>
        <v>1728</v>
      </c>
      <c r="Q189" s="33">
        <f t="shared" si="2"/>
        <v>0.48417910447761192</v>
      </c>
    </row>
    <row r="190" spans="1:17" x14ac:dyDescent="0.3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  <c r="L190" t="str">
        <f>IFERROR(VLOOKUP(D190,Products!$A:$C,3,FALSE),"")</f>
        <v>Grocery</v>
      </c>
      <c r="M190" t="str">
        <f>IFERROR(VLOOKUP(C190,Customers!$A:$E,5,FALSE),"")</f>
        <v>Retail</v>
      </c>
      <c r="N190">
        <f>IFERROR(VLOOKUP(C190,Customers!$A:$E,3,FALSE),"")</f>
        <v>59</v>
      </c>
      <c r="O190" s="33" t="str">
        <f>IFERROR(VLOOKUP(E190,Sales_Reps!$A:$C,3,FALSE),"")</f>
        <v>North</v>
      </c>
      <c r="P190" s="33">
        <f>IFERROR(VLOOKUP(D190,Products!$A:$D,4,FALSE),"")</f>
        <v>1412</v>
      </c>
      <c r="Q190" s="33">
        <f t="shared" si="2"/>
        <v>0.37797356828193834</v>
      </c>
    </row>
    <row r="191" spans="1:17" x14ac:dyDescent="0.3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  <c r="L191" t="str">
        <f>IFERROR(VLOOKUP(D191,Products!$A:$C,3,FALSE),"")</f>
        <v>Home</v>
      </c>
      <c r="M191" t="str">
        <f>IFERROR(VLOOKUP(C191,Customers!$A:$E,5,FALSE),"")</f>
        <v>Retail</v>
      </c>
      <c r="N191">
        <f>IFERROR(VLOOKUP(C191,Customers!$A:$E,3,FALSE),"")</f>
        <v>55</v>
      </c>
      <c r="O191" s="33" t="str">
        <f>IFERROR(VLOOKUP(E191,Sales_Reps!$A:$C,3,FALSE),"")</f>
        <v>East</v>
      </c>
      <c r="P191" s="33">
        <f>IFERROR(VLOOKUP(D191,Products!$A:$D,4,FALSE),"")</f>
        <v>1850</v>
      </c>
      <c r="Q191" s="33">
        <f t="shared" si="2"/>
        <v>0.59869848156182215</v>
      </c>
    </row>
    <row r="192" spans="1:17" x14ac:dyDescent="0.3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  <c r="L192" t="str">
        <f>IFERROR(VLOOKUP(D192,Products!$A:$C,3,FALSE),"")</f>
        <v>Apparel</v>
      </c>
      <c r="M192" t="str">
        <f>IFERROR(VLOOKUP(C192,Customers!$A:$E,5,FALSE),"")</f>
        <v>SMB</v>
      </c>
      <c r="N192">
        <f>IFERROR(VLOOKUP(C192,Customers!$A:$E,3,FALSE),"")</f>
        <v>26</v>
      </c>
      <c r="O192" s="33" t="str">
        <f>IFERROR(VLOOKUP(E192,Sales_Reps!$A:$C,3,FALSE),"")</f>
        <v>South</v>
      </c>
      <c r="P192" s="33">
        <f>IFERROR(VLOOKUP(D192,Products!$A:$D,4,FALSE),"")</f>
        <v>1886</v>
      </c>
      <c r="Q192" s="33">
        <f t="shared" si="2"/>
        <v>0.4031645569620253</v>
      </c>
    </row>
    <row r="193" spans="1:17" x14ac:dyDescent="0.3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  <c r="L193" t="str">
        <f>IFERROR(VLOOKUP(D193,Products!$A:$C,3,FALSE),"")</f>
        <v>Grocery</v>
      </c>
      <c r="M193" t="str">
        <f>IFERROR(VLOOKUP(C193,Customers!$A:$E,5,FALSE),"")</f>
        <v>Retail</v>
      </c>
      <c r="N193">
        <f>IFERROR(VLOOKUP(C193,Customers!$A:$E,3,FALSE),"")</f>
        <v>61</v>
      </c>
      <c r="O193" s="33" t="str">
        <f>IFERROR(VLOOKUP(E193,Sales_Reps!$A:$C,3,FALSE),"")</f>
        <v>North</v>
      </c>
      <c r="P193" s="33">
        <f>IFERROR(VLOOKUP(D193,Products!$A:$D,4,FALSE),"")</f>
        <v>1412</v>
      </c>
      <c r="Q193" s="33">
        <f t="shared" si="2"/>
        <v>0.37797356828193834</v>
      </c>
    </row>
    <row r="194" spans="1:17" x14ac:dyDescent="0.3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  <c r="L194" t="str">
        <f>IFERROR(VLOOKUP(D194,Products!$A:$C,3,FALSE),"")</f>
        <v>Beauty</v>
      </c>
      <c r="M194" t="str">
        <f>IFERROR(VLOOKUP(C194,Customers!$A:$E,5,FALSE),"")</f>
        <v>Retail</v>
      </c>
      <c r="N194">
        <f>IFERROR(VLOOKUP(C194,Customers!$A:$E,3,FALSE),"")</f>
        <v>56</v>
      </c>
      <c r="O194" s="33" t="str">
        <f>IFERROR(VLOOKUP(E194,Sales_Reps!$A:$C,3,FALSE),"")</f>
        <v>West</v>
      </c>
      <c r="P194" s="33">
        <f>IFERROR(VLOOKUP(D194,Products!$A:$D,4,FALSE),"")</f>
        <v>1626</v>
      </c>
      <c r="Q194" s="33">
        <f t="shared" si="2"/>
        <v>0.46158940397350995</v>
      </c>
    </row>
    <row r="195" spans="1:17" x14ac:dyDescent="0.3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  <c r="L195" t="str">
        <f>IFERROR(VLOOKUP(D195,Products!$A:$C,3,FALSE),"")</f>
        <v>Sports</v>
      </c>
      <c r="M195" t="str">
        <f>IFERROR(VLOOKUP(C195,Customers!$A:$E,5,FALSE),"")</f>
        <v>SMB</v>
      </c>
      <c r="N195">
        <f>IFERROR(VLOOKUP(C195,Customers!$A:$E,3,FALSE),"")</f>
        <v>46</v>
      </c>
      <c r="O195" s="33" t="str">
        <f>IFERROR(VLOOKUP(E195,Sales_Reps!$A:$C,3,FALSE),"")</f>
        <v>West</v>
      </c>
      <c r="P195" s="33">
        <f>IFERROR(VLOOKUP(D195,Products!$A:$D,4,FALSE),"")</f>
        <v>2827</v>
      </c>
      <c r="Q195" s="33">
        <f t="shared" ref="Q195:Q258" si="3">IFERROR((G195-P195)/G195,"")</f>
        <v>0.5926512968299712</v>
      </c>
    </row>
    <row r="196" spans="1:17" x14ac:dyDescent="0.3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  <c r="L196" t="str">
        <f>IFERROR(VLOOKUP(D196,Products!$A:$C,3,FALSE),"")</f>
        <v>Beauty</v>
      </c>
      <c r="M196" t="str">
        <f>IFERROR(VLOOKUP(C196,Customers!$A:$E,5,FALSE),"")</f>
        <v>Corporate</v>
      </c>
      <c r="N196">
        <f>IFERROR(VLOOKUP(C196,Customers!$A:$E,3,FALSE),"")</f>
        <v>29</v>
      </c>
      <c r="O196" s="33" t="str">
        <f>IFERROR(VLOOKUP(E196,Sales_Reps!$A:$C,3,FALSE),"")</f>
        <v>South</v>
      </c>
      <c r="P196" s="33">
        <f>IFERROR(VLOOKUP(D196,Products!$A:$D,4,FALSE),"")</f>
        <v>647</v>
      </c>
      <c r="Q196" s="33">
        <f t="shared" si="3"/>
        <v>0.57987012987012987</v>
      </c>
    </row>
    <row r="197" spans="1:17" x14ac:dyDescent="0.3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  <c r="L197" t="str">
        <f>IFERROR(VLOOKUP(D197,Products!$A:$C,3,FALSE),"")</f>
        <v>Apparel</v>
      </c>
      <c r="M197" t="str">
        <f>IFERROR(VLOOKUP(C197,Customers!$A:$E,5,FALSE),"")</f>
        <v>Retail</v>
      </c>
      <c r="N197">
        <f>IFERROR(VLOOKUP(C197,Customers!$A:$E,3,FALSE),"")</f>
        <v>49</v>
      </c>
      <c r="O197" s="33" t="str">
        <f>IFERROR(VLOOKUP(E197,Sales_Reps!$A:$C,3,FALSE),"")</f>
        <v>West</v>
      </c>
      <c r="P197" s="33">
        <f>IFERROR(VLOOKUP(D197,Products!$A:$D,4,FALSE),"")</f>
        <v>1173</v>
      </c>
      <c r="Q197" s="33">
        <f t="shared" si="3"/>
        <v>0.52701612903225803</v>
      </c>
    </row>
    <row r="198" spans="1:17" x14ac:dyDescent="0.3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  <c r="L198" t="str">
        <f>IFERROR(VLOOKUP(D198,Products!$A:$C,3,FALSE),"")</f>
        <v>Sports</v>
      </c>
      <c r="M198" t="str">
        <f>IFERROR(VLOOKUP(C198,Customers!$A:$E,5,FALSE),"")</f>
        <v>Corporate</v>
      </c>
      <c r="N198">
        <f>IFERROR(VLOOKUP(C198,Customers!$A:$E,3,FALSE),"")</f>
        <v>35</v>
      </c>
      <c r="O198" s="33" t="str">
        <f>IFERROR(VLOOKUP(E198,Sales_Reps!$A:$C,3,FALSE),"")</f>
        <v>East</v>
      </c>
      <c r="P198" s="33">
        <f>IFERROR(VLOOKUP(D198,Products!$A:$D,4,FALSE),"")</f>
        <v>147</v>
      </c>
      <c r="Q198" s="33">
        <f t="shared" si="3"/>
        <v>0.22631578947368422</v>
      </c>
    </row>
    <row r="199" spans="1:17" x14ac:dyDescent="0.3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  <c r="L199" t="str">
        <f>IFERROR(VLOOKUP(D199,Products!$A:$C,3,FALSE),"")</f>
        <v>Sports</v>
      </c>
      <c r="M199" t="str">
        <f>IFERROR(VLOOKUP(C199,Customers!$A:$E,5,FALSE),"")</f>
        <v>SMB</v>
      </c>
      <c r="N199">
        <f>IFERROR(VLOOKUP(C199,Customers!$A:$E,3,FALSE),"")</f>
        <v>55</v>
      </c>
      <c r="O199" s="33" t="str">
        <f>IFERROR(VLOOKUP(E199,Sales_Reps!$A:$C,3,FALSE),"")</f>
        <v>South</v>
      </c>
      <c r="P199" s="33">
        <f>IFERROR(VLOOKUP(D199,Products!$A:$D,4,FALSE),"")</f>
        <v>2028</v>
      </c>
      <c r="Q199" s="33">
        <f t="shared" si="3"/>
        <v>0.29090909090909089</v>
      </c>
    </row>
    <row r="200" spans="1:17" x14ac:dyDescent="0.3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  <c r="L200" t="str">
        <f>IFERROR(VLOOKUP(D200,Products!$A:$C,3,FALSE),"")</f>
        <v>Apparel</v>
      </c>
      <c r="M200" t="str">
        <f>IFERROR(VLOOKUP(C200,Customers!$A:$E,5,FALSE),"")</f>
        <v>Corporate</v>
      </c>
      <c r="N200">
        <f>IFERROR(VLOOKUP(C200,Customers!$A:$E,3,FALSE),"")</f>
        <v>55</v>
      </c>
      <c r="O200" s="33" t="str">
        <f>IFERROR(VLOOKUP(E200,Sales_Reps!$A:$C,3,FALSE),"")</f>
        <v>South</v>
      </c>
      <c r="P200" s="33">
        <f>IFERROR(VLOOKUP(D200,Products!$A:$D,4,FALSE),"")</f>
        <v>1075</v>
      </c>
      <c r="Q200" s="33">
        <f t="shared" si="3"/>
        <v>0.57171314741035861</v>
      </c>
    </row>
    <row r="201" spans="1:17" x14ac:dyDescent="0.3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  <c r="L201" t="str">
        <f>IFERROR(VLOOKUP(D201,Products!$A:$C,3,FALSE),"")</f>
        <v>Electronics</v>
      </c>
      <c r="M201" t="str">
        <f>IFERROR(VLOOKUP(C201,Customers!$A:$E,5,FALSE),"")</f>
        <v>Retail</v>
      </c>
      <c r="N201">
        <f>IFERROR(VLOOKUP(C201,Customers!$A:$E,3,FALSE),"")</f>
        <v>23</v>
      </c>
      <c r="O201" s="33" t="str">
        <f>IFERROR(VLOOKUP(E201,Sales_Reps!$A:$C,3,FALSE),"")</f>
        <v>North</v>
      </c>
      <c r="P201" s="33">
        <f>IFERROR(VLOOKUP(D201,Products!$A:$D,4,FALSE),"")</f>
        <v>1665</v>
      </c>
      <c r="Q201" s="33">
        <f t="shared" si="3"/>
        <v>0.53361344537815125</v>
      </c>
    </row>
    <row r="202" spans="1:17" x14ac:dyDescent="0.3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  <c r="L202" t="str">
        <f>IFERROR(VLOOKUP(D202,Products!$A:$C,3,FALSE),"")</f>
        <v>Home</v>
      </c>
      <c r="M202" t="str">
        <f>IFERROR(VLOOKUP(C202,Customers!$A:$E,5,FALSE),"")</f>
        <v>Retail</v>
      </c>
      <c r="N202">
        <f>IFERROR(VLOOKUP(C202,Customers!$A:$E,3,FALSE),"")</f>
        <v>59</v>
      </c>
      <c r="O202" s="33" t="str">
        <f>IFERROR(VLOOKUP(E202,Sales_Reps!$A:$C,3,FALSE),"")</f>
        <v>South</v>
      </c>
      <c r="P202" s="33">
        <f>IFERROR(VLOOKUP(D202,Products!$A:$D,4,FALSE),"")</f>
        <v>2135</v>
      </c>
      <c r="Q202" s="33">
        <f t="shared" si="3"/>
        <v>0.42761394101876676</v>
      </c>
    </row>
    <row r="203" spans="1:17" x14ac:dyDescent="0.3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  <c r="L203" t="str">
        <f>IFERROR(VLOOKUP(D203,Products!$A:$C,3,FALSE),"")</f>
        <v>Home</v>
      </c>
      <c r="M203" t="str">
        <f>IFERROR(VLOOKUP(C203,Customers!$A:$E,5,FALSE),"")</f>
        <v>Retail</v>
      </c>
      <c r="N203">
        <f>IFERROR(VLOOKUP(C203,Customers!$A:$E,3,FALSE),"")</f>
        <v>44</v>
      </c>
      <c r="O203" s="33" t="str">
        <f>IFERROR(VLOOKUP(E203,Sales_Reps!$A:$C,3,FALSE),"")</f>
        <v>West</v>
      </c>
      <c r="P203" s="33">
        <f>IFERROR(VLOOKUP(D203,Products!$A:$D,4,FALSE),"")</f>
        <v>288</v>
      </c>
      <c r="Q203" s="33">
        <f t="shared" si="3"/>
        <v>0.22162162162162163</v>
      </c>
    </row>
    <row r="204" spans="1:17" x14ac:dyDescent="0.3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  <c r="L204" t="str">
        <f>IFERROR(VLOOKUP(D204,Products!$A:$C,3,FALSE),"")</f>
        <v>Electronics</v>
      </c>
      <c r="M204" t="str">
        <f>IFERROR(VLOOKUP(C204,Customers!$A:$E,5,FALSE),"")</f>
        <v>Retail</v>
      </c>
      <c r="N204">
        <f>IFERROR(VLOOKUP(C204,Customers!$A:$E,3,FALSE),"")</f>
        <v>45</v>
      </c>
      <c r="O204" s="33" t="str">
        <f>IFERROR(VLOOKUP(E204,Sales_Reps!$A:$C,3,FALSE),"")</f>
        <v>South</v>
      </c>
      <c r="P204" s="33">
        <f>IFERROR(VLOOKUP(D204,Products!$A:$D,4,FALSE),"")</f>
        <v>1259</v>
      </c>
      <c r="Q204" s="33">
        <f t="shared" si="3"/>
        <v>0.52669172932330832</v>
      </c>
    </row>
    <row r="205" spans="1:17" x14ac:dyDescent="0.3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  <c r="L205" t="str">
        <f>IFERROR(VLOOKUP(D205,Products!$A:$C,3,FALSE),"")</f>
        <v>Grocery</v>
      </c>
      <c r="M205" t="str">
        <f>IFERROR(VLOOKUP(C205,Customers!$A:$E,5,FALSE),"")</f>
        <v>Retail</v>
      </c>
      <c r="N205">
        <f>IFERROR(VLOOKUP(C205,Customers!$A:$E,3,FALSE),"")</f>
        <v>23</v>
      </c>
      <c r="O205" s="33" t="str">
        <f>IFERROR(VLOOKUP(E205,Sales_Reps!$A:$C,3,FALSE),"")</f>
        <v>South</v>
      </c>
      <c r="P205" s="33">
        <f>IFERROR(VLOOKUP(D205,Products!$A:$D,4,FALSE),"")</f>
        <v>1435</v>
      </c>
      <c r="Q205" s="33">
        <f t="shared" si="3"/>
        <v>0.48007246376811596</v>
      </c>
    </row>
    <row r="206" spans="1:17" x14ac:dyDescent="0.3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  <c r="L206" t="str">
        <f>IFERROR(VLOOKUP(D206,Products!$A:$C,3,FALSE),"")</f>
        <v>Beauty</v>
      </c>
      <c r="M206" t="str">
        <f>IFERROR(VLOOKUP(C206,Customers!$A:$E,5,FALSE),"")</f>
        <v>SMB</v>
      </c>
      <c r="N206">
        <f>IFERROR(VLOOKUP(C206,Customers!$A:$E,3,FALSE),"")</f>
        <v>48</v>
      </c>
      <c r="O206" s="33" t="str">
        <f>IFERROR(VLOOKUP(E206,Sales_Reps!$A:$C,3,FALSE),"")</f>
        <v>South</v>
      </c>
      <c r="P206" s="33">
        <f>IFERROR(VLOOKUP(D206,Products!$A:$D,4,FALSE),"")</f>
        <v>1728</v>
      </c>
      <c r="Q206" s="33">
        <f t="shared" si="3"/>
        <v>0.48417910447761192</v>
      </c>
    </row>
    <row r="207" spans="1:17" x14ac:dyDescent="0.3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  <c r="L207" t="str">
        <f>IFERROR(VLOOKUP(D207,Products!$A:$C,3,FALSE),"")</f>
        <v>Electronics</v>
      </c>
      <c r="M207" t="str">
        <f>IFERROR(VLOOKUP(C207,Customers!$A:$E,5,FALSE),"")</f>
        <v>SMB</v>
      </c>
      <c r="N207">
        <f>IFERROR(VLOOKUP(C207,Customers!$A:$E,3,FALSE),"")</f>
        <v>30</v>
      </c>
      <c r="O207" s="33" t="str">
        <f>IFERROR(VLOOKUP(E207,Sales_Reps!$A:$C,3,FALSE),"")</f>
        <v>East</v>
      </c>
      <c r="P207" s="33">
        <f>IFERROR(VLOOKUP(D207,Products!$A:$D,4,FALSE),"")</f>
        <v>128</v>
      </c>
      <c r="Q207" s="33">
        <f t="shared" si="3"/>
        <v>0.57333333333333336</v>
      </c>
    </row>
    <row r="208" spans="1:17" x14ac:dyDescent="0.3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  <c r="L208" t="str">
        <f>IFERROR(VLOOKUP(D208,Products!$A:$C,3,FALSE),"")</f>
        <v>Apparel</v>
      </c>
      <c r="M208" t="str">
        <f>IFERROR(VLOOKUP(C208,Customers!$A:$E,5,FALSE),"")</f>
        <v>Retail</v>
      </c>
      <c r="N208">
        <f>IFERROR(VLOOKUP(C208,Customers!$A:$E,3,FALSE),"")</f>
        <v>44</v>
      </c>
      <c r="O208" s="33" t="str">
        <f>IFERROR(VLOOKUP(E208,Sales_Reps!$A:$C,3,FALSE),"")</f>
        <v>North</v>
      </c>
      <c r="P208" s="33">
        <f>IFERROR(VLOOKUP(D208,Products!$A:$D,4,FALSE),"")</f>
        <v>1962</v>
      </c>
      <c r="Q208" s="33">
        <f t="shared" si="3"/>
        <v>0.2786764705882353</v>
      </c>
    </row>
    <row r="209" spans="1:17" x14ac:dyDescent="0.3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  <c r="L209" t="str">
        <f>IFERROR(VLOOKUP(D209,Products!$A:$C,3,FALSE),"")</f>
        <v>Electronics</v>
      </c>
      <c r="M209" t="str">
        <f>IFERROR(VLOOKUP(C209,Customers!$A:$E,5,FALSE),"")</f>
        <v>SMB</v>
      </c>
      <c r="N209">
        <f>IFERROR(VLOOKUP(C209,Customers!$A:$E,3,FALSE),"")</f>
        <v>48</v>
      </c>
      <c r="O209" s="33" t="str">
        <f>IFERROR(VLOOKUP(E209,Sales_Reps!$A:$C,3,FALSE),"")</f>
        <v>South</v>
      </c>
      <c r="P209" s="33">
        <f>IFERROR(VLOOKUP(D209,Products!$A:$D,4,FALSE),"")</f>
        <v>1559</v>
      </c>
      <c r="Q209" s="33">
        <f t="shared" si="3"/>
        <v>0.59715762273901807</v>
      </c>
    </row>
    <row r="210" spans="1:17" x14ac:dyDescent="0.3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  <c r="L210" t="str">
        <f>IFERROR(VLOOKUP(D210,Products!$A:$C,3,FALSE),"")</f>
        <v>Home</v>
      </c>
      <c r="M210" t="str">
        <f>IFERROR(VLOOKUP(C210,Customers!$A:$E,5,FALSE),"")</f>
        <v>Retail</v>
      </c>
      <c r="N210">
        <f>IFERROR(VLOOKUP(C210,Customers!$A:$E,3,FALSE),"")</f>
        <v>38</v>
      </c>
      <c r="O210" s="33" t="str">
        <f>IFERROR(VLOOKUP(E210,Sales_Reps!$A:$C,3,FALSE),"")</f>
        <v>South</v>
      </c>
      <c r="P210" s="33">
        <f>IFERROR(VLOOKUP(D210,Products!$A:$D,4,FALSE),"")</f>
        <v>2135</v>
      </c>
      <c r="Q210" s="33">
        <f t="shared" si="3"/>
        <v>0.42761394101876676</v>
      </c>
    </row>
    <row r="211" spans="1:17" x14ac:dyDescent="0.3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  <c r="L211" t="str">
        <f>IFERROR(VLOOKUP(D211,Products!$A:$C,3,FALSE),"")</f>
        <v>Apparel</v>
      </c>
      <c r="M211" t="str">
        <f>IFERROR(VLOOKUP(C211,Customers!$A:$E,5,FALSE),"")</f>
        <v>Corporate</v>
      </c>
      <c r="N211">
        <f>IFERROR(VLOOKUP(C211,Customers!$A:$E,3,FALSE),"")</f>
        <v>34</v>
      </c>
      <c r="O211" s="33" t="str">
        <f>IFERROR(VLOOKUP(E211,Sales_Reps!$A:$C,3,FALSE),"")</f>
        <v>South</v>
      </c>
      <c r="P211" s="33">
        <f>IFERROR(VLOOKUP(D211,Products!$A:$D,4,FALSE),"")</f>
        <v>1173</v>
      </c>
      <c r="Q211" s="33">
        <f t="shared" si="3"/>
        <v>0.52701612903225803</v>
      </c>
    </row>
    <row r="212" spans="1:17" x14ac:dyDescent="0.3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  <c r="L212" t="str">
        <f>IFERROR(VLOOKUP(D212,Products!$A:$C,3,FALSE),"")</f>
        <v>Sports</v>
      </c>
      <c r="M212" t="str">
        <f>IFERROR(VLOOKUP(C212,Customers!$A:$E,5,FALSE),"")</f>
        <v>Retail</v>
      </c>
      <c r="N212">
        <f>IFERROR(VLOOKUP(C212,Customers!$A:$E,3,FALSE),"")</f>
        <v>44</v>
      </c>
      <c r="O212" s="33" t="str">
        <f>IFERROR(VLOOKUP(E212,Sales_Reps!$A:$C,3,FALSE),"")</f>
        <v>East</v>
      </c>
      <c r="P212" s="33">
        <f>IFERROR(VLOOKUP(D212,Products!$A:$D,4,FALSE),"")</f>
        <v>705</v>
      </c>
      <c r="Q212" s="33">
        <f t="shared" si="3"/>
        <v>0.265625</v>
      </c>
    </row>
    <row r="213" spans="1:17" x14ac:dyDescent="0.3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  <c r="L213" t="str">
        <f>IFERROR(VLOOKUP(D213,Products!$A:$C,3,FALSE),"")</f>
        <v>Beauty</v>
      </c>
      <c r="M213" t="str">
        <f>IFERROR(VLOOKUP(C213,Customers!$A:$E,5,FALSE),"")</f>
        <v>Retail</v>
      </c>
      <c r="N213">
        <f>IFERROR(VLOOKUP(C213,Customers!$A:$E,3,FALSE),"")</f>
        <v>25</v>
      </c>
      <c r="O213" s="33" t="str">
        <f>IFERROR(VLOOKUP(E213,Sales_Reps!$A:$C,3,FALSE),"")</f>
        <v>East</v>
      </c>
      <c r="P213" s="33">
        <f>IFERROR(VLOOKUP(D213,Products!$A:$D,4,FALSE),"")</f>
        <v>2768</v>
      </c>
      <c r="Q213" s="33">
        <f t="shared" si="3"/>
        <v>0.43278688524590164</v>
      </c>
    </row>
    <row r="214" spans="1:17" x14ac:dyDescent="0.3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  <c r="L214" t="str">
        <f>IFERROR(VLOOKUP(D214,Products!$A:$C,3,FALSE),"")</f>
        <v>Apparel</v>
      </c>
      <c r="M214" t="str">
        <f>IFERROR(VLOOKUP(C214,Customers!$A:$E,5,FALSE),"")</f>
        <v>SMB</v>
      </c>
      <c r="N214">
        <f>IFERROR(VLOOKUP(C214,Customers!$A:$E,3,FALSE),"")</f>
        <v>29</v>
      </c>
      <c r="O214" s="33" t="str">
        <f>IFERROR(VLOOKUP(E214,Sales_Reps!$A:$C,3,FALSE),"")</f>
        <v>West</v>
      </c>
      <c r="P214" s="33">
        <f>IFERROR(VLOOKUP(D214,Products!$A:$D,4,FALSE),"")</f>
        <v>2509</v>
      </c>
      <c r="Q214" s="33">
        <f t="shared" si="3"/>
        <v>0.3069060773480663</v>
      </c>
    </row>
    <row r="215" spans="1:17" x14ac:dyDescent="0.3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  <c r="L215" t="str">
        <f>IFERROR(VLOOKUP(D215,Products!$A:$C,3,FALSE),"")</f>
        <v>Electronics</v>
      </c>
      <c r="M215" t="str">
        <f>IFERROR(VLOOKUP(C215,Customers!$A:$E,5,FALSE),"")</f>
        <v>Retail</v>
      </c>
      <c r="N215">
        <f>IFERROR(VLOOKUP(C215,Customers!$A:$E,3,FALSE),"")</f>
        <v>35</v>
      </c>
      <c r="O215" s="33" t="str">
        <f>IFERROR(VLOOKUP(E215,Sales_Reps!$A:$C,3,FALSE),"")</f>
        <v>North</v>
      </c>
      <c r="P215" s="33">
        <f>IFERROR(VLOOKUP(D215,Products!$A:$D,4,FALSE),"")</f>
        <v>2865</v>
      </c>
      <c r="Q215" s="33">
        <f t="shared" si="3"/>
        <v>0.27833753148614609</v>
      </c>
    </row>
    <row r="216" spans="1:17" x14ac:dyDescent="0.3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  <c r="L216" t="str">
        <f>IFERROR(VLOOKUP(D216,Products!$A:$C,3,FALSE),"")</f>
        <v>Grocery</v>
      </c>
      <c r="M216" t="str">
        <f>IFERROR(VLOOKUP(C216,Customers!$A:$E,5,FALSE),"")</f>
        <v>Retail</v>
      </c>
      <c r="N216">
        <f>IFERROR(VLOOKUP(C216,Customers!$A:$E,3,FALSE),"")</f>
        <v>32</v>
      </c>
      <c r="O216" s="33" t="str">
        <f>IFERROR(VLOOKUP(E216,Sales_Reps!$A:$C,3,FALSE),"")</f>
        <v>West</v>
      </c>
      <c r="P216" s="33">
        <f>IFERROR(VLOOKUP(D216,Products!$A:$D,4,FALSE),"")</f>
        <v>1412</v>
      </c>
      <c r="Q216" s="33">
        <f t="shared" si="3"/>
        <v>0.37797356828193834</v>
      </c>
    </row>
    <row r="217" spans="1:17" x14ac:dyDescent="0.3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  <c r="L217" t="str">
        <f>IFERROR(VLOOKUP(D217,Products!$A:$C,3,FALSE),"")</f>
        <v>Grocery</v>
      </c>
      <c r="M217" t="str">
        <f>IFERROR(VLOOKUP(C217,Customers!$A:$E,5,FALSE),"")</f>
        <v>Corporate</v>
      </c>
      <c r="N217">
        <f>IFERROR(VLOOKUP(C217,Customers!$A:$E,3,FALSE),"")</f>
        <v>55</v>
      </c>
      <c r="O217" s="33" t="str">
        <f>IFERROR(VLOOKUP(E217,Sales_Reps!$A:$C,3,FALSE),"")</f>
        <v>South</v>
      </c>
      <c r="P217" s="33">
        <f>IFERROR(VLOOKUP(D217,Products!$A:$D,4,FALSE),"")</f>
        <v>2436</v>
      </c>
      <c r="Q217" s="33">
        <f t="shared" si="3"/>
        <v>0.35555555555555557</v>
      </c>
    </row>
    <row r="218" spans="1:17" x14ac:dyDescent="0.3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  <c r="L218" t="str">
        <f>IFERROR(VLOOKUP(D218,Products!$A:$C,3,FALSE),"")</f>
        <v>Grocery</v>
      </c>
      <c r="M218" t="str">
        <f>IFERROR(VLOOKUP(C218,Customers!$A:$E,5,FALSE),"")</f>
        <v>Corporate</v>
      </c>
      <c r="N218">
        <f>IFERROR(VLOOKUP(C218,Customers!$A:$E,3,FALSE),"")</f>
        <v>60</v>
      </c>
      <c r="O218" s="33" t="str">
        <f>IFERROR(VLOOKUP(E218,Sales_Reps!$A:$C,3,FALSE),"")</f>
        <v>East</v>
      </c>
      <c r="P218" s="33">
        <f>IFERROR(VLOOKUP(D218,Products!$A:$D,4,FALSE),"")</f>
        <v>2027</v>
      </c>
      <c r="Q218" s="33">
        <f t="shared" si="3"/>
        <v>0.50196560196560192</v>
      </c>
    </row>
    <row r="219" spans="1:17" x14ac:dyDescent="0.3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  <c r="L219" t="str">
        <f>IFERROR(VLOOKUP(D219,Products!$A:$C,3,FALSE),"")</f>
        <v>Electronics</v>
      </c>
      <c r="M219" t="str">
        <f>IFERROR(VLOOKUP(C219,Customers!$A:$E,5,FALSE),"")</f>
        <v>Retail</v>
      </c>
      <c r="N219">
        <f>IFERROR(VLOOKUP(C219,Customers!$A:$E,3,FALSE),"")</f>
        <v>65</v>
      </c>
      <c r="O219" s="33" t="str">
        <f>IFERROR(VLOOKUP(E219,Sales_Reps!$A:$C,3,FALSE),"")</f>
        <v>North</v>
      </c>
      <c r="P219" s="33">
        <f>IFERROR(VLOOKUP(D219,Products!$A:$D,4,FALSE),"")</f>
        <v>1259</v>
      </c>
      <c r="Q219" s="33">
        <f t="shared" si="3"/>
        <v>0.52669172932330832</v>
      </c>
    </row>
    <row r="220" spans="1:17" x14ac:dyDescent="0.3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  <c r="L220" t="str">
        <f>IFERROR(VLOOKUP(D220,Products!$A:$C,3,FALSE),"")</f>
        <v>Electronics</v>
      </c>
      <c r="M220" t="str">
        <f>IFERROR(VLOOKUP(C220,Customers!$A:$E,5,FALSE),"")</f>
        <v>Retail</v>
      </c>
      <c r="N220">
        <f>IFERROR(VLOOKUP(C220,Customers!$A:$E,3,FALSE),"")</f>
        <v>37</v>
      </c>
      <c r="O220" s="33" t="str">
        <f>IFERROR(VLOOKUP(E220,Sales_Reps!$A:$C,3,FALSE),"")</f>
        <v>North</v>
      </c>
      <c r="P220" s="33">
        <f>IFERROR(VLOOKUP(D220,Products!$A:$D,4,FALSE),"")</f>
        <v>1665</v>
      </c>
      <c r="Q220" s="33">
        <f t="shared" si="3"/>
        <v>0.53361344537815125</v>
      </c>
    </row>
    <row r="221" spans="1:17" x14ac:dyDescent="0.3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  <c r="L221" t="str">
        <f>IFERROR(VLOOKUP(D221,Products!$A:$C,3,FALSE),"")</f>
        <v>Beauty</v>
      </c>
      <c r="M221" t="str">
        <f>IFERROR(VLOOKUP(C221,Customers!$A:$E,5,FALSE),"")</f>
        <v>Retail</v>
      </c>
      <c r="N221">
        <f>IFERROR(VLOOKUP(C221,Customers!$A:$E,3,FALSE),"")</f>
        <v>65</v>
      </c>
      <c r="O221" s="33" t="str">
        <f>IFERROR(VLOOKUP(E221,Sales_Reps!$A:$C,3,FALSE),"")</f>
        <v>North</v>
      </c>
      <c r="P221" s="33">
        <f>IFERROR(VLOOKUP(D221,Products!$A:$D,4,FALSE),"")</f>
        <v>675</v>
      </c>
      <c r="Q221" s="33">
        <f t="shared" si="3"/>
        <v>0.296875</v>
      </c>
    </row>
    <row r="222" spans="1:17" x14ac:dyDescent="0.3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  <c r="L222" t="str">
        <f>IFERROR(VLOOKUP(D222,Products!$A:$C,3,FALSE),"")</f>
        <v>Beauty</v>
      </c>
      <c r="M222" t="str">
        <f>IFERROR(VLOOKUP(C222,Customers!$A:$E,5,FALSE),"")</f>
        <v>Retail</v>
      </c>
      <c r="N222">
        <f>IFERROR(VLOOKUP(C222,Customers!$A:$E,3,FALSE),"")</f>
        <v>62</v>
      </c>
      <c r="O222" s="33" t="str">
        <f>IFERROR(VLOOKUP(E222,Sales_Reps!$A:$C,3,FALSE),"")</f>
        <v>East</v>
      </c>
      <c r="P222" s="33">
        <f>IFERROR(VLOOKUP(D222,Products!$A:$D,4,FALSE),"")</f>
        <v>2420</v>
      </c>
      <c r="Q222" s="33">
        <f t="shared" si="3"/>
        <v>0.29855072463768118</v>
      </c>
    </row>
    <row r="223" spans="1:17" x14ac:dyDescent="0.3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  <c r="L223" t="str">
        <f>IFERROR(VLOOKUP(D223,Products!$A:$C,3,FALSE),"")</f>
        <v>Beauty</v>
      </c>
      <c r="M223" t="str">
        <f>IFERROR(VLOOKUP(C223,Customers!$A:$E,5,FALSE),"")</f>
        <v>SMB</v>
      </c>
      <c r="N223">
        <f>IFERROR(VLOOKUP(C223,Customers!$A:$E,3,FALSE),"")</f>
        <v>43</v>
      </c>
      <c r="O223" s="33" t="str">
        <f>IFERROR(VLOOKUP(E223,Sales_Reps!$A:$C,3,FALSE),"")</f>
        <v>North</v>
      </c>
      <c r="P223" s="33">
        <f>IFERROR(VLOOKUP(D223,Products!$A:$D,4,FALSE),"")</f>
        <v>2237</v>
      </c>
      <c r="Q223" s="33">
        <f t="shared" si="3"/>
        <v>0.56137254901960787</v>
      </c>
    </row>
    <row r="224" spans="1:17" x14ac:dyDescent="0.3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  <c r="L224" t="str">
        <f>IFERROR(VLOOKUP(D224,Products!$A:$C,3,FALSE),"")</f>
        <v>Electronics</v>
      </c>
      <c r="M224" t="str">
        <f>IFERROR(VLOOKUP(C224,Customers!$A:$E,5,FALSE),"")</f>
        <v>SMB</v>
      </c>
      <c r="N224">
        <f>IFERROR(VLOOKUP(C224,Customers!$A:$E,3,FALSE),"")</f>
        <v>24</v>
      </c>
      <c r="O224" s="33" t="str">
        <f>IFERROR(VLOOKUP(E224,Sales_Reps!$A:$C,3,FALSE),"")</f>
        <v>North</v>
      </c>
      <c r="P224" s="33">
        <f>IFERROR(VLOOKUP(D224,Products!$A:$D,4,FALSE),"")</f>
        <v>128</v>
      </c>
      <c r="Q224" s="33">
        <f t="shared" si="3"/>
        <v>0.57333333333333336</v>
      </c>
    </row>
    <row r="225" spans="1:17" x14ac:dyDescent="0.3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  <c r="L225" t="str">
        <f>IFERROR(VLOOKUP(D225,Products!$A:$C,3,FALSE),"")</f>
        <v>Beauty</v>
      </c>
      <c r="M225" t="str">
        <f>IFERROR(VLOOKUP(C225,Customers!$A:$E,5,FALSE),"")</f>
        <v>SMB</v>
      </c>
      <c r="N225">
        <f>IFERROR(VLOOKUP(C225,Customers!$A:$E,3,FALSE),"")</f>
        <v>61</v>
      </c>
      <c r="O225" s="33" t="str">
        <f>IFERROR(VLOOKUP(E225,Sales_Reps!$A:$C,3,FALSE),"")</f>
        <v>East</v>
      </c>
      <c r="P225" s="33">
        <f>IFERROR(VLOOKUP(D225,Products!$A:$D,4,FALSE),"")</f>
        <v>2768</v>
      </c>
      <c r="Q225" s="33">
        <f t="shared" si="3"/>
        <v>0.43278688524590164</v>
      </c>
    </row>
    <row r="226" spans="1:17" x14ac:dyDescent="0.3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  <c r="L226" t="str">
        <f>IFERROR(VLOOKUP(D226,Products!$A:$C,3,FALSE),"")</f>
        <v>Home</v>
      </c>
      <c r="M226" t="str">
        <f>IFERROR(VLOOKUP(C226,Customers!$A:$E,5,FALSE),"")</f>
        <v>Corporate</v>
      </c>
      <c r="N226">
        <f>IFERROR(VLOOKUP(C226,Customers!$A:$E,3,FALSE),"")</f>
        <v>41</v>
      </c>
      <c r="O226" s="33" t="str">
        <f>IFERROR(VLOOKUP(E226,Sales_Reps!$A:$C,3,FALSE),"")</f>
        <v>East</v>
      </c>
      <c r="P226" s="33">
        <f>IFERROR(VLOOKUP(D226,Products!$A:$D,4,FALSE),"")</f>
        <v>1556</v>
      </c>
      <c r="Q226" s="33">
        <f t="shared" si="3"/>
        <v>0.52123076923076928</v>
      </c>
    </row>
    <row r="227" spans="1:17" x14ac:dyDescent="0.3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  <c r="L227" t="str">
        <f>IFERROR(VLOOKUP(D227,Products!$A:$C,3,FALSE),"")</f>
        <v>Beauty</v>
      </c>
      <c r="M227" t="str">
        <f>IFERROR(VLOOKUP(C227,Customers!$A:$E,5,FALSE),"")</f>
        <v>Retail</v>
      </c>
      <c r="N227">
        <f>IFERROR(VLOOKUP(C227,Customers!$A:$E,3,FALSE),"")</f>
        <v>65</v>
      </c>
      <c r="O227" s="33" t="str">
        <f>IFERROR(VLOOKUP(E227,Sales_Reps!$A:$C,3,FALSE),"")</f>
        <v>North</v>
      </c>
      <c r="P227" s="33">
        <f>IFERROR(VLOOKUP(D227,Products!$A:$D,4,FALSE),"")</f>
        <v>2420</v>
      </c>
      <c r="Q227" s="33">
        <f t="shared" si="3"/>
        <v>0.29855072463768118</v>
      </c>
    </row>
    <row r="228" spans="1:17" x14ac:dyDescent="0.3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  <c r="L228" t="str">
        <f>IFERROR(VLOOKUP(D228,Products!$A:$C,3,FALSE),"")</f>
        <v>Beauty</v>
      </c>
      <c r="M228" t="str">
        <f>IFERROR(VLOOKUP(C228,Customers!$A:$E,5,FALSE),"")</f>
        <v>Corporate</v>
      </c>
      <c r="N228">
        <f>IFERROR(VLOOKUP(C228,Customers!$A:$E,3,FALSE),"")</f>
        <v>47</v>
      </c>
      <c r="O228" s="33" t="str">
        <f>IFERROR(VLOOKUP(E228,Sales_Reps!$A:$C,3,FALSE),"")</f>
        <v>East</v>
      </c>
      <c r="P228" s="33">
        <f>IFERROR(VLOOKUP(D228,Products!$A:$D,4,FALSE),"")</f>
        <v>2617</v>
      </c>
      <c r="Q228" s="33">
        <f t="shared" si="3"/>
        <v>0.56957236842105263</v>
      </c>
    </row>
    <row r="229" spans="1:17" x14ac:dyDescent="0.3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  <c r="L229" t="str">
        <f>IFERROR(VLOOKUP(D229,Products!$A:$C,3,FALSE),"")</f>
        <v>Beauty</v>
      </c>
      <c r="M229" t="str">
        <f>IFERROR(VLOOKUP(C229,Customers!$A:$E,5,FALSE),"")</f>
        <v>SMB</v>
      </c>
      <c r="N229">
        <f>IFERROR(VLOOKUP(C229,Customers!$A:$E,3,FALSE),"")</f>
        <v>30</v>
      </c>
      <c r="O229" s="33" t="str">
        <f>IFERROR(VLOOKUP(E229,Sales_Reps!$A:$C,3,FALSE),"")</f>
        <v>East</v>
      </c>
      <c r="P229" s="33">
        <f>IFERROR(VLOOKUP(D229,Products!$A:$D,4,FALSE),"")</f>
        <v>2617</v>
      </c>
      <c r="Q229" s="33">
        <f t="shared" si="3"/>
        <v>0.56957236842105263</v>
      </c>
    </row>
    <row r="230" spans="1:17" x14ac:dyDescent="0.3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  <c r="L230" t="str">
        <f>IFERROR(VLOOKUP(D230,Products!$A:$C,3,FALSE),"")</f>
        <v>Grocery</v>
      </c>
      <c r="M230" t="str">
        <f>IFERROR(VLOOKUP(C230,Customers!$A:$E,5,FALSE),"")</f>
        <v>Retail</v>
      </c>
      <c r="N230">
        <f>IFERROR(VLOOKUP(C230,Customers!$A:$E,3,FALSE),"")</f>
        <v>38</v>
      </c>
      <c r="O230" s="33" t="str">
        <f>IFERROR(VLOOKUP(E230,Sales_Reps!$A:$C,3,FALSE),"")</f>
        <v>South</v>
      </c>
      <c r="P230" s="33">
        <f>IFERROR(VLOOKUP(D230,Products!$A:$D,4,FALSE),"")</f>
        <v>1203</v>
      </c>
      <c r="Q230" s="33">
        <f t="shared" si="3"/>
        <v>0.47004405286343615</v>
      </c>
    </row>
    <row r="231" spans="1:17" x14ac:dyDescent="0.3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  <c r="L231" t="str">
        <f>IFERROR(VLOOKUP(D231,Products!$A:$C,3,FALSE),"")</f>
        <v>Beauty</v>
      </c>
      <c r="M231" t="str">
        <f>IFERROR(VLOOKUP(C231,Customers!$A:$E,5,FALSE),"")</f>
        <v>Retail</v>
      </c>
      <c r="N231">
        <f>IFERROR(VLOOKUP(C231,Customers!$A:$E,3,FALSE),"")</f>
        <v>42</v>
      </c>
      <c r="O231" s="33" t="str">
        <f>IFERROR(VLOOKUP(E231,Sales_Reps!$A:$C,3,FALSE),"")</f>
        <v>South</v>
      </c>
      <c r="P231" s="33">
        <f>IFERROR(VLOOKUP(D231,Products!$A:$D,4,FALSE),"")</f>
        <v>2768</v>
      </c>
      <c r="Q231" s="33">
        <f t="shared" si="3"/>
        <v>0.43278688524590164</v>
      </c>
    </row>
    <row r="232" spans="1:17" x14ac:dyDescent="0.3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  <c r="L232" t="str">
        <f>IFERROR(VLOOKUP(D232,Products!$A:$C,3,FALSE),"")</f>
        <v>Grocery</v>
      </c>
      <c r="M232" t="str">
        <f>IFERROR(VLOOKUP(C232,Customers!$A:$E,5,FALSE),"")</f>
        <v>Corporate</v>
      </c>
      <c r="N232">
        <f>IFERROR(VLOOKUP(C232,Customers!$A:$E,3,FALSE),"")</f>
        <v>55</v>
      </c>
      <c r="O232" s="33" t="str">
        <f>IFERROR(VLOOKUP(E232,Sales_Reps!$A:$C,3,FALSE),"")</f>
        <v>North</v>
      </c>
      <c r="P232" s="33">
        <f>IFERROR(VLOOKUP(D232,Products!$A:$D,4,FALSE),"")</f>
        <v>1182</v>
      </c>
      <c r="Q232" s="33">
        <f t="shared" si="3"/>
        <v>0.50336134453781511</v>
      </c>
    </row>
    <row r="233" spans="1:17" x14ac:dyDescent="0.3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  <c r="L233" t="str">
        <f>IFERROR(VLOOKUP(D233,Products!$A:$C,3,FALSE),"")</f>
        <v>Sports</v>
      </c>
      <c r="M233" t="str">
        <f>IFERROR(VLOOKUP(C233,Customers!$A:$E,5,FALSE),"")</f>
        <v>Retail</v>
      </c>
      <c r="N233">
        <f>IFERROR(VLOOKUP(C233,Customers!$A:$E,3,FALSE),"")</f>
        <v>38</v>
      </c>
      <c r="O233" s="33" t="str">
        <f>IFERROR(VLOOKUP(E233,Sales_Reps!$A:$C,3,FALSE),"")</f>
        <v>West</v>
      </c>
      <c r="P233" s="33">
        <f>IFERROR(VLOOKUP(D233,Products!$A:$D,4,FALSE),"")</f>
        <v>516</v>
      </c>
      <c r="Q233" s="33">
        <f t="shared" si="3"/>
        <v>0.4891089108910891</v>
      </c>
    </row>
    <row r="234" spans="1:17" x14ac:dyDescent="0.3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  <c r="L234" t="str">
        <f>IFERROR(VLOOKUP(D234,Products!$A:$C,3,FALSE),"")</f>
        <v>Sports</v>
      </c>
      <c r="M234" t="str">
        <f>IFERROR(VLOOKUP(C234,Customers!$A:$E,5,FALSE),"")</f>
        <v>Retail</v>
      </c>
      <c r="N234">
        <f>IFERROR(VLOOKUP(C234,Customers!$A:$E,3,FALSE),"")</f>
        <v>46</v>
      </c>
      <c r="O234" s="33" t="str">
        <f>IFERROR(VLOOKUP(E234,Sales_Reps!$A:$C,3,FALSE),"")</f>
        <v>West</v>
      </c>
      <c r="P234" s="33">
        <f>IFERROR(VLOOKUP(D234,Products!$A:$D,4,FALSE),"")</f>
        <v>2827</v>
      </c>
      <c r="Q234" s="33">
        <f t="shared" si="3"/>
        <v>0.5926512968299712</v>
      </c>
    </row>
    <row r="235" spans="1:17" x14ac:dyDescent="0.3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  <c r="L235" t="str">
        <f>IFERROR(VLOOKUP(D235,Products!$A:$C,3,FALSE),"")</f>
        <v>Beauty</v>
      </c>
      <c r="M235" t="str">
        <f>IFERROR(VLOOKUP(C235,Customers!$A:$E,5,FALSE),"")</f>
        <v>Retail</v>
      </c>
      <c r="N235">
        <f>IFERROR(VLOOKUP(C235,Customers!$A:$E,3,FALSE),"")</f>
        <v>65</v>
      </c>
      <c r="O235" s="33" t="str">
        <f>IFERROR(VLOOKUP(E235,Sales_Reps!$A:$C,3,FALSE),"")</f>
        <v>West</v>
      </c>
      <c r="P235" s="33">
        <f>IFERROR(VLOOKUP(D235,Products!$A:$D,4,FALSE),"")</f>
        <v>1219</v>
      </c>
      <c r="Q235" s="33">
        <f t="shared" si="3"/>
        <v>0.46768558951965067</v>
      </c>
    </row>
    <row r="236" spans="1:17" x14ac:dyDescent="0.3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  <c r="L236" t="str">
        <f>IFERROR(VLOOKUP(D236,Products!$A:$C,3,FALSE),"")</f>
        <v>Home</v>
      </c>
      <c r="M236" t="str">
        <f>IFERROR(VLOOKUP(C236,Customers!$A:$E,5,FALSE),"")</f>
        <v>SMB</v>
      </c>
      <c r="N236">
        <f>IFERROR(VLOOKUP(C236,Customers!$A:$E,3,FALSE),"")</f>
        <v>27</v>
      </c>
      <c r="O236" s="33" t="str">
        <f>IFERROR(VLOOKUP(E236,Sales_Reps!$A:$C,3,FALSE),"")</f>
        <v>South</v>
      </c>
      <c r="P236" s="33">
        <f>IFERROR(VLOOKUP(D236,Products!$A:$D,4,FALSE),"")</f>
        <v>288</v>
      </c>
      <c r="Q236" s="33">
        <f t="shared" si="3"/>
        <v>0.22162162162162163</v>
      </c>
    </row>
    <row r="237" spans="1:17" x14ac:dyDescent="0.3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  <c r="L237" t="str">
        <f>IFERROR(VLOOKUP(D237,Products!$A:$C,3,FALSE),"")</f>
        <v>Grocery</v>
      </c>
      <c r="M237" t="str">
        <f>IFERROR(VLOOKUP(C237,Customers!$A:$E,5,FALSE),"")</f>
        <v>Corporate</v>
      </c>
      <c r="N237">
        <f>IFERROR(VLOOKUP(C237,Customers!$A:$E,3,FALSE),"")</f>
        <v>40</v>
      </c>
      <c r="O237" s="33" t="str">
        <f>IFERROR(VLOOKUP(E237,Sales_Reps!$A:$C,3,FALSE),"")</f>
        <v>East</v>
      </c>
      <c r="P237" s="33">
        <f>IFERROR(VLOOKUP(D237,Products!$A:$D,4,FALSE),"")</f>
        <v>1412</v>
      </c>
      <c r="Q237" s="33">
        <f t="shared" si="3"/>
        <v>0.37797356828193834</v>
      </c>
    </row>
    <row r="238" spans="1:17" x14ac:dyDescent="0.3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  <c r="L238" t="str">
        <f>IFERROR(VLOOKUP(D238,Products!$A:$C,3,FALSE),"")</f>
        <v>Beauty</v>
      </c>
      <c r="M238" t="str">
        <f>IFERROR(VLOOKUP(C238,Customers!$A:$E,5,FALSE),"")</f>
        <v>SMB</v>
      </c>
      <c r="N238">
        <f>IFERROR(VLOOKUP(C238,Customers!$A:$E,3,FALSE),"")</f>
        <v>59</v>
      </c>
      <c r="O238" s="33" t="str">
        <f>IFERROR(VLOOKUP(E238,Sales_Reps!$A:$C,3,FALSE),"")</f>
        <v>North</v>
      </c>
      <c r="P238" s="33">
        <f>IFERROR(VLOOKUP(D238,Products!$A:$D,4,FALSE),"")</f>
        <v>2617</v>
      </c>
      <c r="Q238" s="33">
        <f t="shared" si="3"/>
        <v>0.56957236842105263</v>
      </c>
    </row>
    <row r="239" spans="1:17" x14ac:dyDescent="0.3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  <c r="L239" t="str">
        <f>IFERROR(VLOOKUP(D239,Products!$A:$C,3,FALSE),"")</f>
        <v>Electronics</v>
      </c>
      <c r="M239" t="str">
        <f>IFERROR(VLOOKUP(C239,Customers!$A:$E,5,FALSE),"")</f>
        <v>Retail</v>
      </c>
      <c r="N239">
        <f>IFERROR(VLOOKUP(C239,Customers!$A:$E,3,FALSE),"")</f>
        <v>34</v>
      </c>
      <c r="O239" s="33" t="str">
        <f>IFERROR(VLOOKUP(E239,Sales_Reps!$A:$C,3,FALSE),"")</f>
        <v>East</v>
      </c>
      <c r="P239" s="33">
        <f>IFERROR(VLOOKUP(D239,Products!$A:$D,4,FALSE),"")</f>
        <v>2405</v>
      </c>
      <c r="Q239" s="33">
        <f t="shared" si="3"/>
        <v>0.54878048780487809</v>
      </c>
    </row>
    <row r="240" spans="1:17" x14ac:dyDescent="0.3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  <c r="L240" t="str">
        <f>IFERROR(VLOOKUP(D240,Products!$A:$C,3,FALSE),"")</f>
        <v>Grocery</v>
      </c>
      <c r="M240" t="str">
        <f>IFERROR(VLOOKUP(C240,Customers!$A:$E,5,FALSE),"")</f>
        <v>Retail</v>
      </c>
      <c r="N240">
        <f>IFERROR(VLOOKUP(C240,Customers!$A:$E,3,FALSE),"")</f>
        <v>26</v>
      </c>
      <c r="O240" s="33" t="str">
        <f>IFERROR(VLOOKUP(E240,Sales_Reps!$A:$C,3,FALSE),"")</f>
        <v>West</v>
      </c>
      <c r="P240" s="33">
        <f>IFERROR(VLOOKUP(D240,Products!$A:$D,4,FALSE),"")</f>
        <v>2027</v>
      </c>
      <c r="Q240" s="33">
        <f t="shared" si="3"/>
        <v>0.50196560196560192</v>
      </c>
    </row>
    <row r="241" spans="1:17" x14ac:dyDescent="0.3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  <c r="L241" t="str">
        <f>IFERROR(VLOOKUP(D241,Products!$A:$C,3,FALSE),"")</f>
        <v>Electronics</v>
      </c>
      <c r="M241" t="str">
        <f>IFERROR(VLOOKUP(C241,Customers!$A:$E,5,FALSE),"")</f>
        <v>Corporate</v>
      </c>
      <c r="N241">
        <f>IFERROR(VLOOKUP(C241,Customers!$A:$E,3,FALSE),"")</f>
        <v>37</v>
      </c>
      <c r="O241" s="33" t="str">
        <f>IFERROR(VLOOKUP(E241,Sales_Reps!$A:$C,3,FALSE),"")</f>
        <v>North</v>
      </c>
      <c r="P241" s="33">
        <f>IFERROR(VLOOKUP(D241,Products!$A:$D,4,FALSE),"")</f>
        <v>128</v>
      </c>
      <c r="Q241" s="33">
        <f t="shared" si="3"/>
        <v>0.57333333333333336</v>
      </c>
    </row>
    <row r="242" spans="1:17" x14ac:dyDescent="0.3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  <c r="L242" t="str">
        <f>IFERROR(VLOOKUP(D242,Products!$A:$C,3,FALSE),"")</f>
        <v>Beauty</v>
      </c>
      <c r="M242" t="str">
        <f>IFERROR(VLOOKUP(C242,Customers!$A:$E,5,FALSE),"")</f>
        <v>Retail</v>
      </c>
      <c r="N242">
        <f>IFERROR(VLOOKUP(C242,Customers!$A:$E,3,FALSE),"")</f>
        <v>56</v>
      </c>
      <c r="O242" s="33" t="str">
        <f>IFERROR(VLOOKUP(E242,Sales_Reps!$A:$C,3,FALSE),"")</f>
        <v>South</v>
      </c>
      <c r="P242" s="33">
        <f>IFERROR(VLOOKUP(D242,Products!$A:$D,4,FALSE),"")</f>
        <v>2768</v>
      </c>
      <c r="Q242" s="33">
        <f t="shared" si="3"/>
        <v>0.43278688524590164</v>
      </c>
    </row>
    <row r="243" spans="1:17" x14ac:dyDescent="0.3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  <c r="L243" t="str">
        <f>IFERROR(VLOOKUP(D243,Products!$A:$C,3,FALSE),"")</f>
        <v>Sports</v>
      </c>
      <c r="M243" t="str">
        <f>IFERROR(VLOOKUP(C243,Customers!$A:$E,5,FALSE),"")</f>
        <v>Corporate</v>
      </c>
      <c r="N243">
        <f>IFERROR(VLOOKUP(C243,Customers!$A:$E,3,FALSE),"")</f>
        <v>30</v>
      </c>
      <c r="O243" s="33" t="str">
        <f>IFERROR(VLOOKUP(E243,Sales_Reps!$A:$C,3,FALSE),"")</f>
        <v>West</v>
      </c>
      <c r="P243" s="33">
        <f>IFERROR(VLOOKUP(D243,Products!$A:$D,4,FALSE),"")</f>
        <v>2028</v>
      </c>
      <c r="Q243" s="33">
        <f t="shared" si="3"/>
        <v>0.29090909090909089</v>
      </c>
    </row>
    <row r="244" spans="1:17" x14ac:dyDescent="0.3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  <c r="L244" t="str">
        <f>IFERROR(VLOOKUP(D244,Products!$A:$C,3,FALSE),"")</f>
        <v>Beauty</v>
      </c>
      <c r="M244" t="str">
        <f>IFERROR(VLOOKUP(C244,Customers!$A:$E,5,FALSE),"")</f>
        <v>SMB</v>
      </c>
      <c r="N244">
        <f>IFERROR(VLOOKUP(C244,Customers!$A:$E,3,FALSE),"")</f>
        <v>54</v>
      </c>
      <c r="O244" s="33" t="str">
        <f>IFERROR(VLOOKUP(E244,Sales_Reps!$A:$C,3,FALSE),"")</f>
        <v>North</v>
      </c>
      <c r="P244" s="33">
        <f>IFERROR(VLOOKUP(D244,Products!$A:$D,4,FALSE),"")</f>
        <v>647</v>
      </c>
      <c r="Q244" s="33">
        <f t="shared" si="3"/>
        <v>0.57987012987012987</v>
      </c>
    </row>
    <row r="245" spans="1:17" x14ac:dyDescent="0.3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  <c r="L245" t="str">
        <f>IFERROR(VLOOKUP(D245,Products!$A:$C,3,FALSE),"")</f>
        <v>Electronics</v>
      </c>
      <c r="M245" t="str">
        <f>IFERROR(VLOOKUP(C245,Customers!$A:$E,5,FALSE),"")</f>
        <v>Retail</v>
      </c>
      <c r="N245">
        <f>IFERROR(VLOOKUP(C245,Customers!$A:$E,3,FALSE),"")</f>
        <v>22</v>
      </c>
      <c r="O245" s="33" t="str">
        <f>IFERROR(VLOOKUP(E245,Sales_Reps!$A:$C,3,FALSE),"")</f>
        <v>South</v>
      </c>
      <c r="P245" s="33">
        <f>IFERROR(VLOOKUP(D245,Products!$A:$D,4,FALSE),"")</f>
        <v>1149</v>
      </c>
      <c r="Q245" s="33">
        <f t="shared" si="3"/>
        <v>0.56477272727272732</v>
      </c>
    </row>
    <row r="246" spans="1:17" x14ac:dyDescent="0.3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  <c r="L246" t="str">
        <f>IFERROR(VLOOKUP(D246,Products!$A:$C,3,FALSE),"")</f>
        <v>Apparel</v>
      </c>
      <c r="M246" t="str">
        <f>IFERROR(VLOOKUP(C246,Customers!$A:$E,5,FALSE),"")</f>
        <v>Corporate</v>
      </c>
      <c r="N246">
        <f>IFERROR(VLOOKUP(C246,Customers!$A:$E,3,FALSE),"")</f>
        <v>42</v>
      </c>
      <c r="O246" s="33" t="str">
        <f>IFERROR(VLOOKUP(E246,Sales_Reps!$A:$C,3,FALSE),"")</f>
        <v>South</v>
      </c>
      <c r="P246" s="33">
        <f>IFERROR(VLOOKUP(D246,Products!$A:$D,4,FALSE),"")</f>
        <v>1886</v>
      </c>
      <c r="Q246" s="33">
        <f t="shared" si="3"/>
        <v>0.4031645569620253</v>
      </c>
    </row>
    <row r="247" spans="1:17" x14ac:dyDescent="0.3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  <c r="L247" t="str">
        <f>IFERROR(VLOOKUP(D247,Products!$A:$C,3,FALSE),"")</f>
        <v>Home</v>
      </c>
      <c r="M247" t="str">
        <f>IFERROR(VLOOKUP(C247,Customers!$A:$E,5,FALSE),"")</f>
        <v>SMB</v>
      </c>
      <c r="N247">
        <f>IFERROR(VLOOKUP(C247,Customers!$A:$E,3,FALSE),"")</f>
        <v>48</v>
      </c>
      <c r="O247" s="33" t="str">
        <f>IFERROR(VLOOKUP(E247,Sales_Reps!$A:$C,3,FALSE),"")</f>
        <v>North</v>
      </c>
      <c r="P247" s="33">
        <f>IFERROR(VLOOKUP(D247,Products!$A:$D,4,FALSE),"")</f>
        <v>519</v>
      </c>
      <c r="Q247" s="33">
        <f t="shared" si="3"/>
        <v>0.51944444444444449</v>
      </c>
    </row>
    <row r="248" spans="1:17" x14ac:dyDescent="0.3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  <c r="L248" t="str">
        <f>IFERROR(VLOOKUP(D248,Products!$A:$C,3,FALSE),"")</f>
        <v>Sports</v>
      </c>
      <c r="M248" t="str">
        <f>IFERROR(VLOOKUP(C248,Customers!$A:$E,5,FALSE),"")</f>
        <v>Retail</v>
      </c>
      <c r="N248">
        <f>IFERROR(VLOOKUP(C248,Customers!$A:$E,3,FALSE),"")</f>
        <v>39</v>
      </c>
      <c r="O248" s="33" t="str">
        <f>IFERROR(VLOOKUP(E248,Sales_Reps!$A:$C,3,FALSE),"")</f>
        <v>South</v>
      </c>
      <c r="P248" s="33">
        <f>IFERROR(VLOOKUP(D248,Products!$A:$D,4,FALSE),"")</f>
        <v>516</v>
      </c>
      <c r="Q248" s="33">
        <f t="shared" si="3"/>
        <v>0.4891089108910891</v>
      </c>
    </row>
    <row r="249" spans="1:17" x14ac:dyDescent="0.3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  <c r="L249" t="str">
        <f>IFERROR(VLOOKUP(D249,Products!$A:$C,3,FALSE),"")</f>
        <v>Electronics</v>
      </c>
      <c r="M249" t="str">
        <f>IFERROR(VLOOKUP(C249,Customers!$A:$E,5,FALSE),"")</f>
        <v>Corporate</v>
      </c>
      <c r="N249">
        <f>IFERROR(VLOOKUP(C249,Customers!$A:$E,3,FALSE),"")</f>
        <v>26</v>
      </c>
      <c r="O249" s="33" t="str">
        <f>IFERROR(VLOOKUP(E249,Sales_Reps!$A:$C,3,FALSE),"")</f>
        <v>West</v>
      </c>
      <c r="P249" s="33">
        <f>IFERROR(VLOOKUP(D249,Products!$A:$D,4,FALSE),"")</f>
        <v>1052</v>
      </c>
      <c r="Q249" s="33">
        <f t="shared" si="3"/>
        <v>0.5953846153846154</v>
      </c>
    </row>
    <row r="250" spans="1:17" x14ac:dyDescent="0.3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  <c r="L250" t="str">
        <f>IFERROR(VLOOKUP(D250,Products!$A:$C,3,FALSE),"")</f>
        <v>Apparel</v>
      </c>
      <c r="M250" t="str">
        <f>IFERROR(VLOOKUP(C250,Customers!$A:$E,5,FALSE),"")</f>
        <v>SMB</v>
      </c>
      <c r="N250">
        <f>IFERROR(VLOOKUP(C250,Customers!$A:$E,3,FALSE),"")</f>
        <v>55</v>
      </c>
      <c r="O250" s="33" t="str">
        <f>IFERROR(VLOOKUP(E250,Sales_Reps!$A:$C,3,FALSE),"")</f>
        <v>South</v>
      </c>
      <c r="P250" s="33">
        <f>IFERROR(VLOOKUP(D250,Products!$A:$D,4,FALSE),"")</f>
        <v>1075</v>
      </c>
      <c r="Q250" s="33">
        <f t="shared" si="3"/>
        <v>0.57171314741035861</v>
      </c>
    </row>
    <row r="251" spans="1:17" x14ac:dyDescent="0.3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  <c r="L251" t="str">
        <f>IFERROR(VLOOKUP(D251,Products!$A:$C,3,FALSE),"")</f>
        <v>Grocery</v>
      </c>
      <c r="M251" t="str">
        <f>IFERROR(VLOOKUP(C251,Customers!$A:$E,5,FALSE),"")</f>
        <v>Retail</v>
      </c>
      <c r="N251">
        <f>IFERROR(VLOOKUP(C251,Customers!$A:$E,3,FALSE),"")</f>
        <v>61</v>
      </c>
      <c r="O251" s="33" t="str">
        <f>IFERROR(VLOOKUP(E251,Sales_Reps!$A:$C,3,FALSE),"")</f>
        <v>East</v>
      </c>
      <c r="P251" s="33">
        <f>IFERROR(VLOOKUP(D251,Products!$A:$D,4,FALSE),"")</f>
        <v>2027</v>
      </c>
      <c r="Q251" s="33">
        <f t="shared" si="3"/>
        <v>0.50196560196560192</v>
      </c>
    </row>
    <row r="252" spans="1:17" x14ac:dyDescent="0.3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  <c r="L252" t="str">
        <f>IFERROR(VLOOKUP(D252,Products!$A:$C,3,FALSE),"")</f>
        <v>Apparel</v>
      </c>
      <c r="M252" t="str">
        <f>IFERROR(VLOOKUP(C252,Customers!$A:$E,5,FALSE),"")</f>
        <v>Retail</v>
      </c>
      <c r="N252">
        <f>IFERROR(VLOOKUP(C252,Customers!$A:$E,3,FALSE),"")</f>
        <v>34</v>
      </c>
      <c r="O252" s="33" t="str">
        <f>IFERROR(VLOOKUP(E252,Sales_Reps!$A:$C,3,FALSE),"")</f>
        <v>South</v>
      </c>
      <c r="P252" s="33">
        <f>IFERROR(VLOOKUP(D252,Products!$A:$D,4,FALSE),"")</f>
        <v>391</v>
      </c>
      <c r="Q252" s="33">
        <f t="shared" si="3"/>
        <v>0.52317073170731709</v>
      </c>
    </row>
    <row r="253" spans="1:17" x14ac:dyDescent="0.3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  <c r="L253" t="str">
        <f>IFERROR(VLOOKUP(D253,Products!$A:$C,3,FALSE),"")</f>
        <v>Grocery</v>
      </c>
      <c r="M253" t="str">
        <f>IFERROR(VLOOKUP(C253,Customers!$A:$E,5,FALSE),"")</f>
        <v>Retail</v>
      </c>
      <c r="N253">
        <f>IFERROR(VLOOKUP(C253,Customers!$A:$E,3,FALSE),"")</f>
        <v>52</v>
      </c>
      <c r="O253" s="33" t="str">
        <f>IFERROR(VLOOKUP(E253,Sales_Reps!$A:$C,3,FALSE),"")</f>
        <v>North</v>
      </c>
      <c r="P253" s="33">
        <f>IFERROR(VLOOKUP(D253,Products!$A:$D,4,FALSE),"")</f>
        <v>434</v>
      </c>
      <c r="Q253" s="33">
        <f t="shared" si="3"/>
        <v>0.5525773195876289</v>
      </c>
    </row>
    <row r="254" spans="1:17" x14ac:dyDescent="0.3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  <c r="L254" t="str">
        <f>IFERROR(VLOOKUP(D254,Products!$A:$C,3,FALSE),"")</f>
        <v>Grocery</v>
      </c>
      <c r="M254" t="str">
        <f>IFERROR(VLOOKUP(C254,Customers!$A:$E,5,FALSE),"")</f>
        <v>Corporate</v>
      </c>
      <c r="N254">
        <f>IFERROR(VLOOKUP(C254,Customers!$A:$E,3,FALSE),"")</f>
        <v>40</v>
      </c>
      <c r="O254" s="33" t="str">
        <f>IFERROR(VLOOKUP(E254,Sales_Reps!$A:$C,3,FALSE),"")</f>
        <v>South</v>
      </c>
      <c r="P254" s="33">
        <f>IFERROR(VLOOKUP(D254,Products!$A:$D,4,FALSE),"")</f>
        <v>2027</v>
      </c>
      <c r="Q254" s="33">
        <f t="shared" si="3"/>
        <v>0.50196560196560192</v>
      </c>
    </row>
    <row r="255" spans="1:17" x14ac:dyDescent="0.3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  <c r="L255" t="str">
        <f>IFERROR(VLOOKUP(D255,Products!$A:$C,3,FALSE),"")</f>
        <v>Beauty</v>
      </c>
      <c r="M255" t="str">
        <f>IFERROR(VLOOKUP(C255,Customers!$A:$E,5,FALSE),"")</f>
        <v>SMB</v>
      </c>
      <c r="N255">
        <f>IFERROR(VLOOKUP(C255,Customers!$A:$E,3,FALSE),"")</f>
        <v>42</v>
      </c>
      <c r="O255" s="33" t="str">
        <f>IFERROR(VLOOKUP(E255,Sales_Reps!$A:$C,3,FALSE),"")</f>
        <v>East</v>
      </c>
      <c r="P255" s="33">
        <f>IFERROR(VLOOKUP(D255,Products!$A:$D,4,FALSE),"")</f>
        <v>2420</v>
      </c>
      <c r="Q255" s="33">
        <f t="shared" si="3"/>
        <v>0.29855072463768118</v>
      </c>
    </row>
    <row r="256" spans="1:17" x14ac:dyDescent="0.3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  <c r="L256" t="str">
        <f>IFERROR(VLOOKUP(D256,Products!$A:$C,3,FALSE),"")</f>
        <v>Grocery</v>
      </c>
      <c r="M256" t="str">
        <f>IFERROR(VLOOKUP(C256,Customers!$A:$E,5,FALSE),"")</f>
        <v>Retail</v>
      </c>
      <c r="N256">
        <f>IFERROR(VLOOKUP(C256,Customers!$A:$E,3,FALSE),"")</f>
        <v>49</v>
      </c>
      <c r="O256" s="33" t="str">
        <f>IFERROR(VLOOKUP(E256,Sales_Reps!$A:$C,3,FALSE),"")</f>
        <v>South</v>
      </c>
      <c r="P256" s="33">
        <f>IFERROR(VLOOKUP(D256,Products!$A:$D,4,FALSE),"")</f>
        <v>2436</v>
      </c>
      <c r="Q256" s="33">
        <f t="shared" si="3"/>
        <v>0.35555555555555557</v>
      </c>
    </row>
    <row r="257" spans="1:17" x14ac:dyDescent="0.3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  <c r="L257" t="str">
        <f>IFERROR(VLOOKUP(D257,Products!$A:$C,3,FALSE),"")</f>
        <v>Sports</v>
      </c>
      <c r="M257" t="str">
        <f>IFERROR(VLOOKUP(C257,Customers!$A:$E,5,FALSE),"")</f>
        <v>Retail</v>
      </c>
      <c r="N257">
        <f>IFERROR(VLOOKUP(C257,Customers!$A:$E,3,FALSE),"")</f>
        <v>44</v>
      </c>
      <c r="O257" s="33" t="str">
        <f>IFERROR(VLOOKUP(E257,Sales_Reps!$A:$C,3,FALSE),"")</f>
        <v>North</v>
      </c>
      <c r="P257" s="33">
        <f>IFERROR(VLOOKUP(D257,Products!$A:$D,4,FALSE),"")</f>
        <v>705</v>
      </c>
      <c r="Q257" s="33">
        <f t="shared" si="3"/>
        <v>0.265625</v>
      </c>
    </row>
    <row r="258" spans="1:17" x14ac:dyDescent="0.3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  <c r="L258" t="str">
        <f>IFERROR(VLOOKUP(D258,Products!$A:$C,3,FALSE),"")</f>
        <v>Electronics</v>
      </c>
      <c r="M258" t="str">
        <f>IFERROR(VLOOKUP(C258,Customers!$A:$E,5,FALSE),"")</f>
        <v>Retail</v>
      </c>
      <c r="N258">
        <f>IFERROR(VLOOKUP(C258,Customers!$A:$E,3,FALSE),"")</f>
        <v>53</v>
      </c>
      <c r="O258" s="33" t="str">
        <f>IFERROR(VLOOKUP(E258,Sales_Reps!$A:$C,3,FALSE),"")</f>
        <v>East</v>
      </c>
      <c r="P258" s="33">
        <f>IFERROR(VLOOKUP(D258,Products!$A:$D,4,FALSE),"")</f>
        <v>1665</v>
      </c>
      <c r="Q258" s="33">
        <f t="shared" si="3"/>
        <v>0.53361344537815125</v>
      </c>
    </row>
    <row r="259" spans="1:17" x14ac:dyDescent="0.3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  <c r="L259" t="str">
        <f>IFERROR(VLOOKUP(D259,Products!$A:$C,3,FALSE),"")</f>
        <v>Electronics</v>
      </c>
      <c r="M259" t="str">
        <f>IFERROR(VLOOKUP(C259,Customers!$A:$E,5,FALSE),"")</f>
        <v>SMB</v>
      </c>
      <c r="N259">
        <f>IFERROR(VLOOKUP(C259,Customers!$A:$E,3,FALSE),"")</f>
        <v>65</v>
      </c>
      <c r="O259" s="33" t="str">
        <f>IFERROR(VLOOKUP(E259,Sales_Reps!$A:$C,3,FALSE),"")</f>
        <v>West</v>
      </c>
      <c r="P259" s="33">
        <f>IFERROR(VLOOKUP(D259,Products!$A:$D,4,FALSE),"")</f>
        <v>1665</v>
      </c>
      <c r="Q259" s="33">
        <f t="shared" ref="Q259:Q322" si="4">IFERROR((G259-P259)/G259,"")</f>
        <v>0.53361344537815125</v>
      </c>
    </row>
    <row r="260" spans="1:17" x14ac:dyDescent="0.3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  <c r="L260" t="str">
        <f>IFERROR(VLOOKUP(D260,Products!$A:$C,3,FALSE),"")</f>
        <v>Home</v>
      </c>
      <c r="M260" t="str">
        <f>IFERROR(VLOOKUP(C260,Customers!$A:$E,5,FALSE),"")</f>
        <v>SMB</v>
      </c>
      <c r="N260">
        <f>IFERROR(VLOOKUP(C260,Customers!$A:$E,3,FALSE),"")</f>
        <v>26</v>
      </c>
      <c r="O260" s="33" t="str">
        <f>IFERROR(VLOOKUP(E260,Sales_Reps!$A:$C,3,FALSE),"")</f>
        <v>South</v>
      </c>
      <c r="P260" s="33">
        <f>IFERROR(VLOOKUP(D260,Products!$A:$D,4,FALSE),"")</f>
        <v>519</v>
      </c>
      <c r="Q260" s="33">
        <f t="shared" si="4"/>
        <v>0.51944444444444449</v>
      </c>
    </row>
    <row r="261" spans="1:17" x14ac:dyDescent="0.3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  <c r="L261" t="str">
        <f>IFERROR(VLOOKUP(D261,Products!$A:$C,3,FALSE),"")</f>
        <v>Apparel</v>
      </c>
      <c r="M261" t="str">
        <f>IFERROR(VLOOKUP(C261,Customers!$A:$E,5,FALSE),"")</f>
        <v>SMB</v>
      </c>
      <c r="N261">
        <f>IFERROR(VLOOKUP(C261,Customers!$A:$E,3,FALSE),"")</f>
        <v>40</v>
      </c>
      <c r="O261" s="33" t="str">
        <f>IFERROR(VLOOKUP(E261,Sales_Reps!$A:$C,3,FALSE),"")</f>
        <v>South</v>
      </c>
      <c r="P261" s="33">
        <f>IFERROR(VLOOKUP(D261,Products!$A:$D,4,FALSE),"")</f>
        <v>1748</v>
      </c>
      <c r="Q261" s="33">
        <f t="shared" si="4"/>
        <v>0.49333333333333335</v>
      </c>
    </row>
    <row r="262" spans="1:17" x14ac:dyDescent="0.3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  <c r="L262" t="str">
        <f>IFERROR(VLOOKUP(D262,Products!$A:$C,3,FALSE),"")</f>
        <v>Electronics</v>
      </c>
      <c r="M262" t="str">
        <f>IFERROR(VLOOKUP(C262,Customers!$A:$E,5,FALSE),"")</f>
        <v>Corporate</v>
      </c>
      <c r="N262">
        <f>IFERROR(VLOOKUP(C262,Customers!$A:$E,3,FALSE),"")</f>
        <v>22</v>
      </c>
      <c r="O262" s="33" t="str">
        <f>IFERROR(VLOOKUP(E262,Sales_Reps!$A:$C,3,FALSE),"")</f>
        <v>East</v>
      </c>
      <c r="P262" s="33">
        <f>IFERROR(VLOOKUP(D262,Products!$A:$D,4,FALSE),"")</f>
        <v>1259</v>
      </c>
      <c r="Q262" s="33">
        <f t="shared" si="4"/>
        <v>0.52669172932330832</v>
      </c>
    </row>
    <row r="263" spans="1:17" x14ac:dyDescent="0.3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  <c r="L263" t="str">
        <f>IFERROR(VLOOKUP(D263,Products!$A:$C,3,FALSE),"")</f>
        <v>Sports</v>
      </c>
      <c r="M263" t="str">
        <f>IFERROR(VLOOKUP(C263,Customers!$A:$E,5,FALSE),"")</f>
        <v>Corporate</v>
      </c>
      <c r="N263">
        <f>IFERROR(VLOOKUP(C263,Customers!$A:$E,3,FALSE),"")</f>
        <v>46</v>
      </c>
      <c r="O263" s="33" t="str">
        <f>IFERROR(VLOOKUP(E263,Sales_Reps!$A:$C,3,FALSE),"")</f>
        <v>South</v>
      </c>
      <c r="P263" s="33">
        <f>IFERROR(VLOOKUP(D263,Products!$A:$D,4,FALSE),"")</f>
        <v>974</v>
      </c>
      <c r="Q263" s="33">
        <f t="shared" si="4"/>
        <v>0.59416666666666662</v>
      </c>
    </row>
    <row r="264" spans="1:17" x14ac:dyDescent="0.3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  <c r="L264" t="str">
        <f>IFERROR(VLOOKUP(D264,Products!$A:$C,3,FALSE),"")</f>
        <v>Electronics</v>
      </c>
      <c r="M264" t="str">
        <f>IFERROR(VLOOKUP(C264,Customers!$A:$E,5,FALSE),"")</f>
        <v>Corporate</v>
      </c>
      <c r="N264">
        <f>IFERROR(VLOOKUP(C264,Customers!$A:$E,3,FALSE),"")</f>
        <v>31</v>
      </c>
      <c r="O264" s="33" t="str">
        <f>IFERROR(VLOOKUP(E264,Sales_Reps!$A:$C,3,FALSE),"")</f>
        <v>North</v>
      </c>
      <c r="P264" s="33">
        <f>IFERROR(VLOOKUP(D264,Products!$A:$D,4,FALSE),"")</f>
        <v>1052</v>
      </c>
      <c r="Q264" s="33">
        <f t="shared" si="4"/>
        <v>0.5953846153846154</v>
      </c>
    </row>
    <row r="265" spans="1:17" x14ac:dyDescent="0.3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  <c r="L265" t="str">
        <f>IFERROR(VLOOKUP(D265,Products!$A:$C,3,FALSE),"")</f>
        <v>Grocery</v>
      </c>
      <c r="M265" t="str">
        <f>IFERROR(VLOOKUP(C265,Customers!$A:$E,5,FALSE),"")</f>
        <v>Retail</v>
      </c>
      <c r="N265">
        <f>IFERROR(VLOOKUP(C265,Customers!$A:$E,3,FALSE),"")</f>
        <v>40</v>
      </c>
      <c r="O265" s="33" t="str">
        <f>IFERROR(VLOOKUP(E265,Sales_Reps!$A:$C,3,FALSE),"")</f>
        <v>North</v>
      </c>
      <c r="P265" s="33">
        <f>IFERROR(VLOOKUP(D265,Products!$A:$D,4,FALSE),"")</f>
        <v>2911</v>
      </c>
      <c r="Q265" s="33">
        <f t="shared" si="4"/>
        <v>0.28300492610837441</v>
      </c>
    </row>
    <row r="266" spans="1:17" x14ac:dyDescent="0.3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  <c r="L266" t="str">
        <f>IFERROR(VLOOKUP(D266,Products!$A:$C,3,FALSE),"")</f>
        <v>Home</v>
      </c>
      <c r="M266" t="str">
        <f>IFERROR(VLOOKUP(C266,Customers!$A:$E,5,FALSE),"")</f>
        <v>Corporate</v>
      </c>
      <c r="N266">
        <f>IFERROR(VLOOKUP(C266,Customers!$A:$E,3,FALSE),"")</f>
        <v>22</v>
      </c>
      <c r="O266" s="33" t="str">
        <f>IFERROR(VLOOKUP(E266,Sales_Reps!$A:$C,3,FALSE),"")</f>
        <v>East</v>
      </c>
      <c r="P266" s="33">
        <f>IFERROR(VLOOKUP(D266,Products!$A:$D,4,FALSE),"")</f>
        <v>2549</v>
      </c>
      <c r="Q266" s="33">
        <f t="shared" si="4"/>
        <v>0.53570127504553733</v>
      </c>
    </row>
    <row r="267" spans="1:17" x14ac:dyDescent="0.3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  <c r="L267" t="str">
        <f>IFERROR(VLOOKUP(D267,Products!$A:$C,3,FALSE),"")</f>
        <v>Home</v>
      </c>
      <c r="M267" t="str">
        <f>IFERROR(VLOOKUP(C267,Customers!$A:$E,5,FALSE),"")</f>
        <v>Retail</v>
      </c>
      <c r="N267">
        <f>IFERROR(VLOOKUP(C267,Customers!$A:$E,3,FALSE),"")</f>
        <v>49</v>
      </c>
      <c r="O267" s="33" t="str">
        <f>IFERROR(VLOOKUP(E267,Sales_Reps!$A:$C,3,FALSE),"")</f>
        <v>East</v>
      </c>
      <c r="P267" s="33">
        <f>IFERROR(VLOOKUP(D267,Products!$A:$D,4,FALSE),"")</f>
        <v>288</v>
      </c>
      <c r="Q267" s="33">
        <f t="shared" si="4"/>
        <v>0.22162162162162163</v>
      </c>
    </row>
    <row r="268" spans="1:17" x14ac:dyDescent="0.3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  <c r="L268" t="str">
        <f>IFERROR(VLOOKUP(D268,Products!$A:$C,3,FALSE),"")</f>
        <v>Apparel</v>
      </c>
      <c r="M268" t="str">
        <f>IFERROR(VLOOKUP(C268,Customers!$A:$E,5,FALSE),"")</f>
        <v>SMB</v>
      </c>
      <c r="N268">
        <f>IFERROR(VLOOKUP(C268,Customers!$A:$E,3,FALSE),"")</f>
        <v>38</v>
      </c>
      <c r="O268" s="33" t="str">
        <f>IFERROR(VLOOKUP(E268,Sales_Reps!$A:$C,3,FALSE),"")</f>
        <v>East</v>
      </c>
      <c r="P268" s="33">
        <f>IFERROR(VLOOKUP(D268,Products!$A:$D,4,FALSE),"")</f>
        <v>396</v>
      </c>
      <c r="Q268" s="33">
        <f t="shared" si="4"/>
        <v>0.36129032258064514</v>
      </c>
    </row>
    <row r="269" spans="1:17" x14ac:dyDescent="0.3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  <c r="L269" t="str">
        <f>IFERROR(VLOOKUP(D269,Products!$A:$C,3,FALSE),"")</f>
        <v>Home</v>
      </c>
      <c r="M269" t="str">
        <f>IFERROR(VLOOKUP(C269,Customers!$A:$E,5,FALSE),"")</f>
        <v>Retail</v>
      </c>
      <c r="N269">
        <f>IFERROR(VLOOKUP(C269,Customers!$A:$E,3,FALSE),"")</f>
        <v>26</v>
      </c>
      <c r="O269" s="33" t="str">
        <f>IFERROR(VLOOKUP(E269,Sales_Reps!$A:$C,3,FALSE),"")</f>
        <v>West</v>
      </c>
      <c r="P269" s="33">
        <f>IFERROR(VLOOKUP(D269,Products!$A:$D,4,FALSE),"")</f>
        <v>1556</v>
      </c>
      <c r="Q269" s="33">
        <f t="shared" si="4"/>
        <v>0.52123076923076928</v>
      </c>
    </row>
    <row r="270" spans="1:17" x14ac:dyDescent="0.3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  <c r="L270" t="str">
        <f>IFERROR(VLOOKUP(D270,Products!$A:$C,3,FALSE),"")</f>
        <v>Beauty</v>
      </c>
      <c r="M270" t="str">
        <f>IFERROR(VLOOKUP(C270,Customers!$A:$E,5,FALSE),"")</f>
        <v>SMB</v>
      </c>
      <c r="N270">
        <f>IFERROR(VLOOKUP(C270,Customers!$A:$E,3,FALSE),"")</f>
        <v>54</v>
      </c>
      <c r="O270" s="33" t="str">
        <f>IFERROR(VLOOKUP(E270,Sales_Reps!$A:$C,3,FALSE),"")</f>
        <v>South</v>
      </c>
      <c r="P270" s="33">
        <f>IFERROR(VLOOKUP(D270,Products!$A:$D,4,FALSE),"")</f>
        <v>2617</v>
      </c>
      <c r="Q270" s="33">
        <f t="shared" si="4"/>
        <v>0.56957236842105263</v>
      </c>
    </row>
    <row r="271" spans="1:17" x14ac:dyDescent="0.3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  <c r="L271" t="str">
        <f>IFERROR(VLOOKUP(D271,Products!$A:$C,3,FALSE),"")</f>
        <v>Apparel</v>
      </c>
      <c r="M271" t="str">
        <f>IFERROR(VLOOKUP(C271,Customers!$A:$E,5,FALSE),"")</f>
        <v>Corporate</v>
      </c>
      <c r="N271">
        <f>IFERROR(VLOOKUP(C271,Customers!$A:$E,3,FALSE),"")</f>
        <v>30</v>
      </c>
      <c r="O271" s="33" t="str">
        <f>IFERROR(VLOOKUP(E271,Sales_Reps!$A:$C,3,FALSE),"")</f>
        <v>South</v>
      </c>
      <c r="P271" s="33">
        <f>IFERROR(VLOOKUP(D271,Products!$A:$D,4,FALSE),"")</f>
        <v>2611</v>
      </c>
      <c r="Q271" s="33">
        <f t="shared" si="4"/>
        <v>0.28269230769230769</v>
      </c>
    </row>
    <row r="272" spans="1:17" x14ac:dyDescent="0.3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  <c r="L272" t="str">
        <f>IFERROR(VLOOKUP(D272,Products!$A:$C,3,FALSE),"")</f>
        <v>Apparel</v>
      </c>
      <c r="M272" t="str">
        <f>IFERROR(VLOOKUP(C272,Customers!$A:$E,5,FALSE),"")</f>
        <v>Retail</v>
      </c>
      <c r="N272">
        <f>IFERROR(VLOOKUP(C272,Customers!$A:$E,3,FALSE),"")</f>
        <v>49</v>
      </c>
      <c r="O272" s="33" t="str">
        <f>IFERROR(VLOOKUP(E272,Sales_Reps!$A:$C,3,FALSE),"")</f>
        <v>North</v>
      </c>
      <c r="P272" s="33">
        <f>IFERROR(VLOOKUP(D272,Products!$A:$D,4,FALSE),"")</f>
        <v>1886</v>
      </c>
      <c r="Q272" s="33">
        <f t="shared" si="4"/>
        <v>0.4031645569620253</v>
      </c>
    </row>
    <row r="273" spans="1:17" x14ac:dyDescent="0.3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  <c r="L273" t="str">
        <f>IFERROR(VLOOKUP(D273,Products!$A:$C,3,FALSE),"")</f>
        <v>Electronics</v>
      </c>
      <c r="M273" t="str">
        <f>IFERROR(VLOOKUP(C273,Customers!$A:$E,5,FALSE),"")</f>
        <v>SMB</v>
      </c>
      <c r="N273">
        <f>IFERROR(VLOOKUP(C273,Customers!$A:$E,3,FALSE),"")</f>
        <v>43</v>
      </c>
      <c r="O273" s="33" t="str">
        <f>IFERROR(VLOOKUP(E273,Sales_Reps!$A:$C,3,FALSE),"")</f>
        <v>North</v>
      </c>
      <c r="P273" s="33">
        <f>IFERROR(VLOOKUP(D273,Products!$A:$D,4,FALSE),"")</f>
        <v>1559</v>
      </c>
      <c r="Q273" s="33">
        <f t="shared" si="4"/>
        <v>0.59715762273901807</v>
      </c>
    </row>
    <row r="274" spans="1:17" x14ac:dyDescent="0.3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  <c r="L274" t="str">
        <f>IFERROR(VLOOKUP(D274,Products!$A:$C,3,FALSE),"")</f>
        <v>Home</v>
      </c>
      <c r="M274" t="str">
        <f>IFERROR(VLOOKUP(C274,Customers!$A:$E,5,FALSE),"")</f>
        <v>Retail</v>
      </c>
      <c r="N274">
        <f>IFERROR(VLOOKUP(C274,Customers!$A:$E,3,FALSE),"")</f>
        <v>43</v>
      </c>
      <c r="O274" s="33" t="str">
        <f>IFERROR(VLOOKUP(E274,Sales_Reps!$A:$C,3,FALSE),"")</f>
        <v>West</v>
      </c>
      <c r="P274" s="33">
        <f>IFERROR(VLOOKUP(D274,Products!$A:$D,4,FALSE),"")</f>
        <v>329</v>
      </c>
      <c r="Q274" s="33">
        <f t="shared" si="4"/>
        <v>0.50151515151515147</v>
      </c>
    </row>
    <row r="275" spans="1:17" x14ac:dyDescent="0.3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  <c r="L275" t="str">
        <f>IFERROR(VLOOKUP(D275,Products!$A:$C,3,FALSE),"")</f>
        <v>Grocery</v>
      </c>
      <c r="M275" t="str">
        <f>IFERROR(VLOOKUP(C275,Customers!$A:$E,5,FALSE),"")</f>
        <v>Corporate</v>
      </c>
      <c r="N275">
        <f>IFERROR(VLOOKUP(C275,Customers!$A:$E,3,FALSE),"")</f>
        <v>24</v>
      </c>
      <c r="O275" s="33" t="str">
        <f>IFERROR(VLOOKUP(E275,Sales_Reps!$A:$C,3,FALSE),"")</f>
        <v>South</v>
      </c>
      <c r="P275" s="33">
        <f>IFERROR(VLOOKUP(D275,Products!$A:$D,4,FALSE),"")</f>
        <v>2911</v>
      </c>
      <c r="Q275" s="33">
        <f t="shared" si="4"/>
        <v>0.28300492610837441</v>
      </c>
    </row>
    <row r="276" spans="1:17" x14ac:dyDescent="0.3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  <c r="L276" t="str">
        <f>IFERROR(VLOOKUP(D276,Products!$A:$C,3,FALSE),"")</f>
        <v>Home</v>
      </c>
      <c r="M276" t="str">
        <f>IFERROR(VLOOKUP(C276,Customers!$A:$E,5,FALSE),"")</f>
        <v>SMB</v>
      </c>
      <c r="N276">
        <f>IFERROR(VLOOKUP(C276,Customers!$A:$E,3,FALSE),"")</f>
        <v>38</v>
      </c>
      <c r="O276" s="33" t="str">
        <f>IFERROR(VLOOKUP(E276,Sales_Reps!$A:$C,3,FALSE),"")</f>
        <v>South</v>
      </c>
      <c r="P276" s="33">
        <f>IFERROR(VLOOKUP(D276,Products!$A:$D,4,FALSE),"")</f>
        <v>2459</v>
      </c>
      <c r="Q276" s="33">
        <f t="shared" si="4"/>
        <v>0.51594488188976373</v>
      </c>
    </row>
    <row r="277" spans="1:17" x14ac:dyDescent="0.3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  <c r="L277" t="str">
        <f>IFERROR(VLOOKUP(D277,Products!$A:$C,3,FALSE),"")</f>
        <v>Electronics</v>
      </c>
      <c r="M277" t="str">
        <f>IFERROR(VLOOKUP(C277,Customers!$A:$E,5,FALSE),"")</f>
        <v>Retail</v>
      </c>
      <c r="N277">
        <f>IFERROR(VLOOKUP(C277,Customers!$A:$E,3,FALSE),"")</f>
        <v>46</v>
      </c>
      <c r="O277" s="33" t="str">
        <f>IFERROR(VLOOKUP(E277,Sales_Reps!$A:$C,3,FALSE),"")</f>
        <v>North</v>
      </c>
      <c r="P277" s="33">
        <f>IFERROR(VLOOKUP(D277,Products!$A:$D,4,FALSE),"")</f>
        <v>1665</v>
      </c>
      <c r="Q277" s="33">
        <f t="shared" si="4"/>
        <v>0.53361344537815125</v>
      </c>
    </row>
    <row r="278" spans="1:17" x14ac:dyDescent="0.3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  <c r="L278" t="str">
        <f>IFERROR(VLOOKUP(D278,Products!$A:$C,3,FALSE),"")</f>
        <v>Apparel</v>
      </c>
      <c r="M278" t="str">
        <f>IFERROR(VLOOKUP(C278,Customers!$A:$E,5,FALSE),"")</f>
        <v>SMB</v>
      </c>
      <c r="N278">
        <f>IFERROR(VLOOKUP(C278,Customers!$A:$E,3,FALSE),"")</f>
        <v>27</v>
      </c>
      <c r="O278" s="33" t="str">
        <f>IFERROR(VLOOKUP(E278,Sales_Reps!$A:$C,3,FALSE),"")</f>
        <v>East</v>
      </c>
      <c r="P278" s="33">
        <f>IFERROR(VLOOKUP(D278,Products!$A:$D,4,FALSE),"")</f>
        <v>396</v>
      </c>
      <c r="Q278" s="33">
        <f t="shared" si="4"/>
        <v>0.36129032258064514</v>
      </c>
    </row>
    <row r="279" spans="1:17" x14ac:dyDescent="0.3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  <c r="L279" t="str">
        <f>IFERROR(VLOOKUP(D279,Products!$A:$C,3,FALSE),"")</f>
        <v>Apparel</v>
      </c>
      <c r="M279" t="str">
        <f>IFERROR(VLOOKUP(C279,Customers!$A:$E,5,FALSE),"")</f>
        <v>Retail</v>
      </c>
      <c r="N279">
        <f>IFERROR(VLOOKUP(C279,Customers!$A:$E,3,FALSE),"")</f>
        <v>59</v>
      </c>
      <c r="O279" s="33" t="str">
        <f>IFERROR(VLOOKUP(E279,Sales_Reps!$A:$C,3,FALSE),"")</f>
        <v>South</v>
      </c>
      <c r="P279" s="33">
        <f>IFERROR(VLOOKUP(D279,Products!$A:$D,4,FALSE),"")</f>
        <v>1748</v>
      </c>
      <c r="Q279" s="33">
        <f t="shared" si="4"/>
        <v>0.49333333333333335</v>
      </c>
    </row>
    <row r="280" spans="1:17" x14ac:dyDescent="0.3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  <c r="L280" t="str">
        <f>IFERROR(VLOOKUP(D280,Products!$A:$C,3,FALSE),"")</f>
        <v>Beauty</v>
      </c>
      <c r="M280" t="str">
        <f>IFERROR(VLOOKUP(C280,Customers!$A:$E,5,FALSE),"")</f>
        <v>SMB</v>
      </c>
      <c r="N280">
        <f>IFERROR(VLOOKUP(C280,Customers!$A:$E,3,FALSE),"")</f>
        <v>55</v>
      </c>
      <c r="O280" s="33" t="str">
        <f>IFERROR(VLOOKUP(E280,Sales_Reps!$A:$C,3,FALSE),"")</f>
        <v>North</v>
      </c>
      <c r="P280" s="33">
        <f>IFERROR(VLOOKUP(D280,Products!$A:$D,4,FALSE),"")</f>
        <v>2237</v>
      </c>
      <c r="Q280" s="33">
        <f t="shared" si="4"/>
        <v>0.56137254901960787</v>
      </c>
    </row>
    <row r="281" spans="1:17" x14ac:dyDescent="0.3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  <c r="L281" t="str">
        <f>IFERROR(VLOOKUP(D281,Products!$A:$C,3,FALSE),"")</f>
        <v>Electronics</v>
      </c>
      <c r="M281" t="str">
        <f>IFERROR(VLOOKUP(C281,Customers!$A:$E,5,FALSE),"")</f>
        <v>Retail</v>
      </c>
      <c r="N281">
        <f>IFERROR(VLOOKUP(C281,Customers!$A:$E,3,FALSE),"")</f>
        <v>55</v>
      </c>
      <c r="O281" s="33" t="str">
        <f>IFERROR(VLOOKUP(E281,Sales_Reps!$A:$C,3,FALSE),"")</f>
        <v>North</v>
      </c>
      <c r="P281" s="33">
        <f>IFERROR(VLOOKUP(D281,Products!$A:$D,4,FALSE),"")</f>
        <v>1559</v>
      </c>
      <c r="Q281" s="33">
        <f t="shared" si="4"/>
        <v>0.59715762273901807</v>
      </c>
    </row>
    <row r="282" spans="1:17" x14ac:dyDescent="0.3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  <c r="L282" t="str">
        <f>IFERROR(VLOOKUP(D282,Products!$A:$C,3,FALSE),"")</f>
        <v>Electronics</v>
      </c>
      <c r="M282" t="str">
        <f>IFERROR(VLOOKUP(C282,Customers!$A:$E,5,FALSE),"")</f>
        <v>Corporate</v>
      </c>
      <c r="N282">
        <f>IFERROR(VLOOKUP(C282,Customers!$A:$E,3,FALSE),"")</f>
        <v>40</v>
      </c>
      <c r="O282" s="33" t="str">
        <f>IFERROR(VLOOKUP(E282,Sales_Reps!$A:$C,3,FALSE),"")</f>
        <v>West</v>
      </c>
      <c r="P282" s="33">
        <f>IFERROR(VLOOKUP(D282,Products!$A:$D,4,FALSE),"")</f>
        <v>517</v>
      </c>
      <c r="Q282" s="33">
        <f t="shared" si="4"/>
        <v>0.57622950819672136</v>
      </c>
    </row>
    <row r="283" spans="1:17" x14ac:dyDescent="0.3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  <c r="L283" t="str">
        <f>IFERROR(VLOOKUP(D283,Products!$A:$C,3,FALSE),"")</f>
        <v>Home</v>
      </c>
      <c r="M283" t="str">
        <f>IFERROR(VLOOKUP(C283,Customers!$A:$E,5,FALSE),"")</f>
        <v>Retail</v>
      </c>
      <c r="N283">
        <f>IFERROR(VLOOKUP(C283,Customers!$A:$E,3,FALSE),"")</f>
        <v>32</v>
      </c>
      <c r="O283" s="33" t="str">
        <f>IFERROR(VLOOKUP(E283,Sales_Reps!$A:$C,3,FALSE),"")</f>
        <v>East</v>
      </c>
      <c r="P283" s="33">
        <f>IFERROR(VLOOKUP(D283,Products!$A:$D,4,FALSE),"")</f>
        <v>2549</v>
      </c>
      <c r="Q283" s="33">
        <f t="shared" si="4"/>
        <v>0.53570127504553733</v>
      </c>
    </row>
    <row r="284" spans="1:17" x14ac:dyDescent="0.3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  <c r="L284" t="str">
        <f>IFERROR(VLOOKUP(D284,Products!$A:$C,3,FALSE),"")</f>
        <v>Beauty</v>
      </c>
      <c r="M284" t="str">
        <f>IFERROR(VLOOKUP(C284,Customers!$A:$E,5,FALSE),"")</f>
        <v>Retail</v>
      </c>
      <c r="N284">
        <f>IFERROR(VLOOKUP(C284,Customers!$A:$E,3,FALSE),"")</f>
        <v>23</v>
      </c>
      <c r="O284" s="33" t="str">
        <f>IFERROR(VLOOKUP(E284,Sales_Reps!$A:$C,3,FALSE),"")</f>
        <v>North</v>
      </c>
      <c r="P284" s="33">
        <f>IFERROR(VLOOKUP(D284,Products!$A:$D,4,FALSE),"")</f>
        <v>1222</v>
      </c>
      <c r="Q284" s="33">
        <f t="shared" si="4"/>
        <v>0.2593939393939394</v>
      </c>
    </row>
    <row r="285" spans="1:17" x14ac:dyDescent="0.3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  <c r="L285" t="str">
        <f>IFERROR(VLOOKUP(D285,Products!$A:$C,3,FALSE),"")</f>
        <v>Electronics</v>
      </c>
      <c r="M285" t="str">
        <f>IFERROR(VLOOKUP(C285,Customers!$A:$E,5,FALSE),"")</f>
        <v>Retail</v>
      </c>
      <c r="N285">
        <f>IFERROR(VLOOKUP(C285,Customers!$A:$E,3,FALSE),"")</f>
        <v>50</v>
      </c>
      <c r="O285" s="33" t="str">
        <f>IFERROR(VLOOKUP(E285,Sales_Reps!$A:$C,3,FALSE),"")</f>
        <v>North</v>
      </c>
      <c r="P285" s="33">
        <f>IFERROR(VLOOKUP(D285,Products!$A:$D,4,FALSE),"")</f>
        <v>1259</v>
      </c>
      <c r="Q285" s="33">
        <f t="shared" si="4"/>
        <v>0.52669172932330832</v>
      </c>
    </row>
    <row r="286" spans="1:17" x14ac:dyDescent="0.3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  <c r="L286" t="str">
        <f>IFERROR(VLOOKUP(D286,Products!$A:$C,3,FALSE),"")</f>
        <v>Grocery</v>
      </c>
      <c r="M286" t="str">
        <f>IFERROR(VLOOKUP(C286,Customers!$A:$E,5,FALSE),"")</f>
        <v>Corporate</v>
      </c>
      <c r="N286">
        <f>IFERROR(VLOOKUP(C286,Customers!$A:$E,3,FALSE),"")</f>
        <v>59</v>
      </c>
      <c r="O286" s="33" t="str">
        <f>IFERROR(VLOOKUP(E286,Sales_Reps!$A:$C,3,FALSE),"")</f>
        <v>North</v>
      </c>
      <c r="P286" s="33">
        <f>IFERROR(VLOOKUP(D286,Products!$A:$D,4,FALSE),"")</f>
        <v>1010</v>
      </c>
      <c r="Q286" s="33">
        <f t="shared" si="4"/>
        <v>0.54298642533936647</v>
      </c>
    </row>
    <row r="287" spans="1:17" x14ac:dyDescent="0.3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  <c r="L287" t="str">
        <f>IFERROR(VLOOKUP(D287,Products!$A:$C,3,FALSE),"")</f>
        <v>Electronics</v>
      </c>
      <c r="M287" t="str">
        <f>IFERROR(VLOOKUP(C287,Customers!$A:$E,5,FALSE),"")</f>
        <v>SMB</v>
      </c>
      <c r="N287">
        <f>IFERROR(VLOOKUP(C287,Customers!$A:$E,3,FALSE),"")</f>
        <v>55</v>
      </c>
      <c r="O287" s="33" t="str">
        <f>IFERROR(VLOOKUP(E287,Sales_Reps!$A:$C,3,FALSE),"")</f>
        <v>North</v>
      </c>
      <c r="P287" s="33">
        <f>IFERROR(VLOOKUP(D287,Products!$A:$D,4,FALSE),"")</f>
        <v>1052</v>
      </c>
      <c r="Q287" s="33">
        <f t="shared" si="4"/>
        <v>0.5953846153846154</v>
      </c>
    </row>
    <row r="288" spans="1:17" x14ac:dyDescent="0.3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  <c r="L288" t="str">
        <f>IFERROR(VLOOKUP(D288,Products!$A:$C,3,FALSE),"")</f>
        <v>Beauty</v>
      </c>
      <c r="M288" t="str">
        <f>IFERROR(VLOOKUP(C288,Customers!$A:$E,5,FALSE),"")</f>
        <v>Retail</v>
      </c>
      <c r="N288">
        <f>IFERROR(VLOOKUP(C288,Customers!$A:$E,3,FALSE),"")</f>
        <v>27</v>
      </c>
      <c r="O288" s="33" t="str">
        <f>IFERROR(VLOOKUP(E288,Sales_Reps!$A:$C,3,FALSE),"")</f>
        <v>West</v>
      </c>
      <c r="P288" s="33">
        <f>IFERROR(VLOOKUP(D288,Products!$A:$D,4,FALSE),"")</f>
        <v>1626</v>
      </c>
      <c r="Q288" s="33">
        <f t="shared" si="4"/>
        <v>0.46158940397350995</v>
      </c>
    </row>
    <row r="289" spans="1:17" x14ac:dyDescent="0.3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  <c r="L289" t="str">
        <f>IFERROR(VLOOKUP(D289,Products!$A:$C,3,FALSE),"")</f>
        <v>Home</v>
      </c>
      <c r="M289" t="str">
        <f>IFERROR(VLOOKUP(C289,Customers!$A:$E,5,FALSE),"")</f>
        <v>Corporate</v>
      </c>
      <c r="N289">
        <f>IFERROR(VLOOKUP(C289,Customers!$A:$E,3,FALSE),"")</f>
        <v>33</v>
      </c>
      <c r="O289" s="33" t="str">
        <f>IFERROR(VLOOKUP(E289,Sales_Reps!$A:$C,3,FALSE),"")</f>
        <v>North</v>
      </c>
      <c r="P289" s="33">
        <f>IFERROR(VLOOKUP(D289,Products!$A:$D,4,FALSE),"")</f>
        <v>288</v>
      </c>
      <c r="Q289" s="33">
        <f t="shared" si="4"/>
        <v>0.22162162162162163</v>
      </c>
    </row>
    <row r="290" spans="1:17" x14ac:dyDescent="0.3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  <c r="L290" t="str">
        <f>IFERROR(VLOOKUP(D290,Products!$A:$C,3,FALSE),"")</f>
        <v>Electronics</v>
      </c>
      <c r="M290" t="str">
        <f>IFERROR(VLOOKUP(C290,Customers!$A:$E,5,FALSE),"")</f>
        <v>Retail</v>
      </c>
      <c r="N290">
        <f>IFERROR(VLOOKUP(C290,Customers!$A:$E,3,FALSE),"")</f>
        <v>53</v>
      </c>
      <c r="O290" s="33" t="str">
        <f>IFERROR(VLOOKUP(E290,Sales_Reps!$A:$C,3,FALSE),"")</f>
        <v>North</v>
      </c>
      <c r="P290" s="33">
        <f>IFERROR(VLOOKUP(D290,Products!$A:$D,4,FALSE),"")</f>
        <v>2405</v>
      </c>
      <c r="Q290" s="33">
        <f t="shared" si="4"/>
        <v>0.54878048780487809</v>
      </c>
    </row>
    <row r="291" spans="1:17" x14ac:dyDescent="0.3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  <c r="L291" t="str">
        <f>IFERROR(VLOOKUP(D291,Products!$A:$C,3,FALSE),"")</f>
        <v>Apparel</v>
      </c>
      <c r="M291" t="str">
        <f>IFERROR(VLOOKUP(C291,Customers!$A:$E,5,FALSE),"")</f>
        <v>Retail</v>
      </c>
      <c r="N291">
        <f>IFERROR(VLOOKUP(C291,Customers!$A:$E,3,FALSE),"")</f>
        <v>37</v>
      </c>
      <c r="O291" s="33" t="str">
        <f>IFERROR(VLOOKUP(E291,Sales_Reps!$A:$C,3,FALSE),"")</f>
        <v>West</v>
      </c>
      <c r="P291" s="33">
        <f>IFERROR(VLOOKUP(D291,Products!$A:$D,4,FALSE),"")</f>
        <v>2629</v>
      </c>
      <c r="Q291" s="33">
        <f t="shared" si="4"/>
        <v>0.26151685393258428</v>
      </c>
    </row>
    <row r="292" spans="1:17" x14ac:dyDescent="0.3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  <c r="L292" t="str">
        <f>IFERROR(VLOOKUP(D292,Products!$A:$C,3,FALSE),"")</f>
        <v>Sports</v>
      </c>
      <c r="M292" t="str">
        <f>IFERROR(VLOOKUP(C292,Customers!$A:$E,5,FALSE),"")</f>
        <v>Retail</v>
      </c>
      <c r="N292">
        <f>IFERROR(VLOOKUP(C292,Customers!$A:$E,3,FALSE),"")</f>
        <v>34</v>
      </c>
      <c r="O292" s="33" t="str">
        <f>IFERROR(VLOOKUP(E292,Sales_Reps!$A:$C,3,FALSE),"")</f>
        <v>West</v>
      </c>
      <c r="P292" s="33">
        <f>IFERROR(VLOOKUP(D292,Products!$A:$D,4,FALSE),"")</f>
        <v>516</v>
      </c>
      <c r="Q292" s="33">
        <f t="shared" si="4"/>
        <v>0.4891089108910891</v>
      </c>
    </row>
    <row r="293" spans="1:17" x14ac:dyDescent="0.3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  <c r="L293" t="str">
        <f>IFERROR(VLOOKUP(D293,Products!$A:$C,3,FALSE),"")</f>
        <v>Sports</v>
      </c>
      <c r="M293" t="str">
        <f>IFERROR(VLOOKUP(C293,Customers!$A:$E,5,FALSE),"")</f>
        <v>Corporate</v>
      </c>
      <c r="N293">
        <f>IFERROR(VLOOKUP(C293,Customers!$A:$E,3,FALSE),"")</f>
        <v>41</v>
      </c>
      <c r="O293" s="33" t="str">
        <f>IFERROR(VLOOKUP(E293,Sales_Reps!$A:$C,3,FALSE),"")</f>
        <v>North</v>
      </c>
      <c r="P293" s="33">
        <f>IFERROR(VLOOKUP(D293,Products!$A:$D,4,FALSE),"")</f>
        <v>2827</v>
      </c>
      <c r="Q293" s="33">
        <f t="shared" si="4"/>
        <v>0.5926512968299712</v>
      </c>
    </row>
    <row r="294" spans="1:17" x14ac:dyDescent="0.3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  <c r="L294" t="str">
        <f>IFERROR(VLOOKUP(D294,Products!$A:$C,3,FALSE),"")</f>
        <v>Apparel</v>
      </c>
      <c r="M294" t="str">
        <f>IFERROR(VLOOKUP(C294,Customers!$A:$E,5,FALSE),"")</f>
        <v>Retail</v>
      </c>
      <c r="N294">
        <f>IFERROR(VLOOKUP(C294,Customers!$A:$E,3,FALSE),"")</f>
        <v>46</v>
      </c>
      <c r="O294" s="33" t="str">
        <f>IFERROR(VLOOKUP(E294,Sales_Reps!$A:$C,3,FALSE),"")</f>
        <v>South</v>
      </c>
      <c r="P294" s="33">
        <f>IFERROR(VLOOKUP(D294,Products!$A:$D,4,FALSE),"")</f>
        <v>1886</v>
      </c>
      <c r="Q294" s="33">
        <f t="shared" si="4"/>
        <v>0.4031645569620253</v>
      </c>
    </row>
    <row r="295" spans="1:17" x14ac:dyDescent="0.3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  <c r="L295" t="str">
        <f>IFERROR(VLOOKUP(D295,Products!$A:$C,3,FALSE),"")</f>
        <v>Grocery</v>
      </c>
      <c r="M295" t="str">
        <f>IFERROR(VLOOKUP(C295,Customers!$A:$E,5,FALSE),"")</f>
        <v>Retail</v>
      </c>
      <c r="N295">
        <f>IFERROR(VLOOKUP(C295,Customers!$A:$E,3,FALSE),"")</f>
        <v>49</v>
      </c>
      <c r="O295" s="33" t="str">
        <f>IFERROR(VLOOKUP(E295,Sales_Reps!$A:$C,3,FALSE),"")</f>
        <v>North</v>
      </c>
      <c r="P295" s="33">
        <f>IFERROR(VLOOKUP(D295,Products!$A:$D,4,FALSE),"")</f>
        <v>2214</v>
      </c>
      <c r="Q295" s="33">
        <f t="shared" si="4"/>
        <v>0.39508196721311473</v>
      </c>
    </row>
    <row r="296" spans="1:17" x14ac:dyDescent="0.3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  <c r="L296" t="str">
        <f>IFERROR(VLOOKUP(D296,Products!$A:$C,3,FALSE),"")</f>
        <v>Grocery</v>
      </c>
      <c r="M296" t="str">
        <f>IFERROR(VLOOKUP(C296,Customers!$A:$E,5,FALSE),"")</f>
        <v>Retail</v>
      </c>
      <c r="N296">
        <f>IFERROR(VLOOKUP(C296,Customers!$A:$E,3,FALSE),"")</f>
        <v>25</v>
      </c>
      <c r="O296" s="33" t="str">
        <f>IFERROR(VLOOKUP(E296,Sales_Reps!$A:$C,3,FALSE),"")</f>
        <v>North</v>
      </c>
      <c r="P296" s="33">
        <f>IFERROR(VLOOKUP(D296,Products!$A:$D,4,FALSE),"")</f>
        <v>1203</v>
      </c>
      <c r="Q296" s="33">
        <f t="shared" si="4"/>
        <v>0.47004405286343615</v>
      </c>
    </row>
    <row r="297" spans="1:17" x14ac:dyDescent="0.3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  <c r="L297" t="str">
        <f>IFERROR(VLOOKUP(D297,Products!$A:$C,3,FALSE),"")</f>
        <v>Sports</v>
      </c>
      <c r="M297" t="str">
        <f>IFERROR(VLOOKUP(C297,Customers!$A:$E,5,FALSE),"")</f>
        <v>Retail</v>
      </c>
      <c r="N297">
        <f>IFERROR(VLOOKUP(C297,Customers!$A:$E,3,FALSE),"")</f>
        <v>53</v>
      </c>
      <c r="O297" s="33" t="str">
        <f>IFERROR(VLOOKUP(E297,Sales_Reps!$A:$C,3,FALSE),"")</f>
        <v>West</v>
      </c>
      <c r="P297" s="33">
        <f>IFERROR(VLOOKUP(D297,Products!$A:$D,4,FALSE),"")</f>
        <v>1860</v>
      </c>
      <c r="Q297" s="33">
        <f t="shared" si="4"/>
        <v>0.50793650793650791</v>
      </c>
    </row>
    <row r="298" spans="1:17" x14ac:dyDescent="0.3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  <c r="L298" t="str">
        <f>IFERROR(VLOOKUP(D298,Products!$A:$C,3,FALSE),"")</f>
        <v>Apparel</v>
      </c>
      <c r="M298" t="str">
        <f>IFERROR(VLOOKUP(C298,Customers!$A:$E,5,FALSE),"")</f>
        <v>SMB</v>
      </c>
      <c r="N298">
        <f>IFERROR(VLOOKUP(C298,Customers!$A:$E,3,FALSE),"")</f>
        <v>65</v>
      </c>
      <c r="O298" s="33" t="str">
        <f>IFERROR(VLOOKUP(E298,Sales_Reps!$A:$C,3,FALSE),"")</f>
        <v>South</v>
      </c>
      <c r="P298" s="33">
        <f>IFERROR(VLOOKUP(D298,Products!$A:$D,4,FALSE),"")</f>
        <v>2611</v>
      </c>
      <c r="Q298" s="33">
        <f t="shared" si="4"/>
        <v>0.28269230769230769</v>
      </c>
    </row>
    <row r="299" spans="1:17" x14ac:dyDescent="0.3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  <c r="L299" t="str">
        <f>IFERROR(VLOOKUP(D299,Products!$A:$C,3,FALSE),"")</f>
        <v>Electronics</v>
      </c>
      <c r="M299" t="str">
        <f>IFERROR(VLOOKUP(C299,Customers!$A:$E,5,FALSE),"")</f>
        <v>Retail</v>
      </c>
      <c r="N299">
        <f>IFERROR(VLOOKUP(C299,Customers!$A:$E,3,FALSE),"")</f>
        <v>31</v>
      </c>
      <c r="O299" s="33" t="str">
        <f>IFERROR(VLOOKUP(E299,Sales_Reps!$A:$C,3,FALSE),"")</f>
        <v>South</v>
      </c>
      <c r="P299" s="33">
        <f>IFERROR(VLOOKUP(D299,Products!$A:$D,4,FALSE),"")</f>
        <v>517</v>
      </c>
      <c r="Q299" s="33">
        <f t="shared" si="4"/>
        <v>0.57622950819672136</v>
      </c>
    </row>
    <row r="300" spans="1:17" x14ac:dyDescent="0.3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  <c r="L300" t="str">
        <f>IFERROR(VLOOKUP(D300,Products!$A:$C,3,FALSE),"")</f>
        <v>Apparel</v>
      </c>
      <c r="M300" t="str">
        <f>IFERROR(VLOOKUP(C300,Customers!$A:$E,5,FALSE),"")</f>
        <v>Retail</v>
      </c>
      <c r="N300">
        <f>IFERROR(VLOOKUP(C300,Customers!$A:$E,3,FALSE),"")</f>
        <v>40</v>
      </c>
      <c r="O300" s="33" t="str">
        <f>IFERROR(VLOOKUP(E300,Sales_Reps!$A:$C,3,FALSE),"")</f>
        <v>West</v>
      </c>
      <c r="P300" s="33">
        <f>IFERROR(VLOOKUP(D300,Products!$A:$D,4,FALSE),"")</f>
        <v>1075</v>
      </c>
      <c r="Q300" s="33">
        <f t="shared" si="4"/>
        <v>0.57171314741035861</v>
      </c>
    </row>
    <row r="301" spans="1:17" x14ac:dyDescent="0.3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  <c r="L301" t="str">
        <f>IFERROR(VLOOKUP(D301,Products!$A:$C,3,FALSE),"")</f>
        <v>Home</v>
      </c>
      <c r="M301" t="str">
        <f>IFERROR(VLOOKUP(C301,Customers!$A:$E,5,FALSE),"")</f>
        <v>SMB</v>
      </c>
      <c r="N301">
        <f>IFERROR(VLOOKUP(C301,Customers!$A:$E,3,FALSE),"")</f>
        <v>61</v>
      </c>
      <c r="O301" s="33" t="str">
        <f>IFERROR(VLOOKUP(E301,Sales_Reps!$A:$C,3,FALSE),"")</f>
        <v>North</v>
      </c>
      <c r="P301" s="33">
        <f>IFERROR(VLOOKUP(D301,Products!$A:$D,4,FALSE),"")</f>
        <v>519</v>
      </c>
      <c r="Q301" s="33">
        <f t="shared" si="4"/>
        <v>0.51944444444444449</v>
      </c>
    </row>
    <row r="302" spans="1:17" x14ac:dyDescent="0.3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  <c r="L302" t="str">
        <f>IFERROR(VLOOKUP(D302,Products!$A:$C,3,FALSE),"")</f>
        <v>Home</v>
      </c>
      <c r="M302" t="str">
        <f>IFERROR(VLOOKUP(C302,Customers!$A:$E,5,FALSE),"")</f>
        <v>Retail</v>
      </c>
      <c r="N302">
        <f>IFERROR(VLOOKUP(C302,Customers!$A:$E,3,FALSE),"")</f>
        <v>35</v>
      </c>
      <c r="O302" s="33" t="str">
        <f>IFERROR(VLOOKUP(E302,Sales_Reps!$A:$C,3,FALSE),"")</f>
        <v>South</v>
      </c>
      <c r="P302" s="33">
        <f>IFERROR(VLOOKUP(D302,Products!$A:$D,4,FALSE),"")</f>
        <v>1143</v>
      </c>
      <c r="Q302" s="33">
        <f t="shared" si="4"/>
        <v>0.43694581280788175</v>
      </c>
    </row>
    <row r="303" spans="1:17" x14ac:dyDescent="0.3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  <c r="L303" t="str">
        <f>IFERROR(VLOOKUP(D303,Products!$A:$C,3,FALSE),"")</f>
        <v>Sports</v>
      </c>
      <c r="M303" t="str">
        <f>IFERROR(VLOOKUP(C303,Customers!$A:$E,5,FALSE),"")</f>
        <v>Retail</v>
      </c>
      <c r="N303">
        <f>IFERROR(VLOOKUP(C303,Customers!$A:$E,3,FALSE),"")</f>
        <v>34</v>
      </c>
      <c r="O303" s="33" t="str">
        <f>IFERROR(VLOOKUP(E303,Sales_Reps!$A:$C,3,FALSE),"")</f>
        <v>East</v>
      </c>
      <c r="P303" s="33">
        <f>IFERROR(VLOOKUP(D303,Products!$A:$D,4,FALSE),"")</f>
        <v>1860</v>
      </c>
      <c r="Q303" s="33">
        <f t="shared" si="4"/>
        <v>0.50793650793650791</v>
      </c>
    </row>
    <row r="304" spans="1:17" x14ac:dyDescent="0.3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  <c r="L304" t="str">
        <f>IFERROR(VLOOKUP(D304,Products!$A:$C,3,FALSE),"")</f>
        <v>Apparel</v>
      </c>
      <c r="M304" t="str">
        <f>IFERROR(VLOOKUP(C304,Customers!$A:$E,5,FALSE),"")</f>
        <v>SMB</v>
      </c>
      <c r="N304">
        <f>IFERROR(VLOOKUP(C304,Customers!$A:$E,3,FALSE),"")</f>
        <v>35</v>
      </c>
      <c r="O304" s="33" t="str">
        <f>IFERROR(VLOOKUP(E304,Sales_Reps!$A:$C,3,FALSE),"")</f>
        <v>South</v>
      </c>
      <c r="P304" s="33">
        <f>IFERROR(VLOOKUP(D304,Products!$A:$D,4,FALSE),"")</f>
        <v>1886</v>
      </c>
      <c r="Q304" s="33">
        <f t="shared" si="4"/>
        <v>0.4031645569620253</v>
      </c>
    </row>
    <row r="305" spans="1:17" x14ac:dyDescent="0.3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  <c r="L305" t="str">
        <f>IFERROR(VLOOKUP(D305,Products!$A:$C,3,FALSE),"")</f>
        <v>Beauty</v>
      </c>
      <c r="M305" t="str">
        <f>IFERROR(VLOOKUP(C305,Customers!$A:$E,5,FALSE),"")</f>
        <v>SMB</v>
      </c>
      <c r="N305">
        <f>IFERROR(VLOOKUP(C305,Customers!$A:$E,3,FALSE),"")</f>
        <v>43</v>
      </c>
      <c r="O305" s="33" t="str">
        <f>IFERROR(VLOOKUP(E305,Sales_Reps!$A:$C,3,FALSE),"")</f>
        <v>South</v>
      </c>
      <c r="P305" s="33">
        <f>IFERROR(VLOOKUP(D305,Products!$A:$D,4,FALSE),"")</f>
        <v>2768</v>
      </c>
      <c r="Q305" s="33">
        <f t="shared" si="4"/>
        <v>0.43278688524590164</v>
      </c>
    </row>
    <row r="306" spans="1:17" x14ac:dyDescent="0.3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  <c r="L306" t="str">
        <f>IFERROR(VLOOKUP(D306,Products!$A:$C,3,FALSE),"")</f>
        <v>Home</v>
      </c>
      <c r="M306" t="str">
        <f>IFERROR(VLOOKUP(C306,Customers!$A:$E,5,FALSE),"")</f>
        <v>Retail</v>
      </c>
      <c r="N306">
        <f>IFERROR(VLOOKUP(C306,Customers!$A:$E,3,FALSE),"")</f>
        <v>43</v>
      </c>
      <c r="O306" s="33" t="str">
        <f>IFERROR(VLOOKUP(E306,Sales_Reps!$A:$C,3,FALSE),"")</f>
        <v>South</v>
      </c>
      <c r="P306" s="33">
        <f>IFERROR(VLOOKUP(D306,Products!$A:$D,4,FALSE),"")</f>
        <v>2135</v>
      </c>
      <c r="Q306" s="33">
        <f t="shared" si="4"/>
        <v>0.42761394101876676</v>
      </c>
    </row>
    <row r="307" spans="1:17" x14ac:dyDescent="0.3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  <c r="L307" t="str">
        <f>IFERROR(VLOOKUP(D307,Products!$A:$C,3,FALSE),"")</f>
        <v>Home</v>
      </c>
      <c r="M307" t="str">
        <f>IFERROR(VLOOKUP(C307,Customers!$A:$E,5,FALSE),"")</f>
        <v>Retail</v>
      </c>
      <c r="N307">
        <f>IFERROR(VLOOKUP(C307,Customers!$A:$E,3,FALSE),"")</f>
        <v>26</v>
      </c>
      <c r="O307" s="33" t="str">
        <f>IFERROR(VLOOKUP(E307,Sales_Reps!$A:$C,3,FALSE),"")</f>
        <v>North</v>
      </c>
      <c r="P307" s="33">
        <f>IFERROR(VLOOKUP(D307,Products!$A:$D,4,FALSE),"")</f>
        <v>2459</v>
      </c>
      <c r="Q307" s="33">
        <f t="shared" si="4"/>
        <v>0.51594488188976373</v>
      </c>
    </row>
    <row r="308" spans="1:17" x14ac:dyDescent="0.3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  <c r="L308" t="str">
        <f>IFERROR(VLOOKUP(D308,Products!$A:$C,3,FALSE),"")</f>
        <v>Beauty</v>
      </c>
      <c r="M308" t="str">
        <f>IFERROR(VLOOKUP(C308,Customers!$A:$E,5,FALSE),"")</f>
        <v>Retail</v>
      </c>
      <c r="N308">
        <f>IFERROR(VLOOKUP(C308,Customers!$A:$E,3,FALSE),"")</f>
        <v>54</v>
      </c>
      <c r="O308" s="33" t="str">
        <f>IFERROR(VLOOKUP(E308,Sales_Reps!$A:$C,3,FALSE),"")</f>
        <v>South</v>
      </c>
      <c r="P308" s="33">
        <f>IFERROR(VLOOKUP(D308,Products!$A:$D,4,FALSE),"")</f>
        <v>1219</v>
      </c>
      <c r="Q308" s="33">
        <f t="shared" si="4"/>
        <v>0.46768558951965067</v>
      </c>
    </row>
    <row r="309" spans="1:17" x14ac:dyDescent="0.3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  <c r="L309" t="str">
        <f>IFERROR(VLOOKUP(D309,Products!$A:$C,3,FALSE),"")</f>
        <v>Electronics</v>
      </c>
      <c r="M309" t="str">
        <f>IFERROR(VLOOKUP(C309,Customers!$A:$E,5,FALSE),"")</f>
        <v>SMB</v>
      </c>
      <c r="N309">
        <f>IFERROR(VLOOKUP(C309,Customers!$A:$E,3,FALSE),"")</f>
        <v>29</v>
      </c>
      <c r="O309" s="33" t="str">
        <f>IFERROR(VLOOKUP(E309,Sales_Reps!$A:$C,3,FALSE),"")</f>
        <v>South</v>
      </c>
      <c r="P309" s="33">
        <f>IFERROR(VLOOKUP(D309,Products!$A:$D,4,FALSE),"")</f>
        <v>1259</v>
      </c>
      <c r="Q309" s="33">
        <f t="shared" si="4"/>
        <v>0.52669172932330832</v>
      </c>
    </row>
    <row r="310" spans="1:17" x14ac:dyDescent="0.3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  <c r="L310" t="str">
        <f>IFERROR(VLOOKUP(D310,Products!$A:$C,3,FALSE),"")</f>
        <v>Grocery</v>
      </c>
      <c r="M310" t="str">
        <f>IFERROR(VLOOKUP(C310,Customers!$A:$E,5,FALSE),"")</f>
        <v>Retail</v>
      </c>
      <c r="N310">
        <f>IFERROR(VLOOKUP(C310,Customers!$A:$E,3,FALSE),"")</f>
        <v>41</v>
      </c>
      <c r="O310" s="33" t="str">
        <f>IFERROR(VLOOKUP(E310,Sales_Reps!$A:$C,3,FALSE),"")</f>
        <v>West</v>
      </c>
      <c r="P310" s="33">
        <f>IFERROR(VLOOKUP(D310,Products!$A:$D,4,FALSE),"")</f>
        <v>2436</v>
      </c>
      <c r="Q310" s="33">
        <f t="shared" si="4"/>
        <v>0.35555555555555557</v>
      </c>
    </row>
    <row r="311" spans="1:17" x14ac:dyDescent="0.3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  <c r="L311" t="str">
        <f>IFERROR(VLOOKUP(D311,Products!$A:$C,3,FALSE),"")</f>
        <v>Grocery</v>
      </c>
      <c r="M311" t="str">
        <f>IFERROR(VLOOKUP(C311,Customers!$A:$E,5,FALSE),"")</f>
        <v>Retail</v>
      </c>
      <c r="N311">
        <f>IFERROR(VLOOKUP(C311,Customers!$A:$E,3,FALSE),"")</f>
        <v>35</v>
      </c>
      <c r="O311" s="33" t="str">
        <f>IFERROR(VLOOKUP(E311,Sales_Reps!$A:$C,3,FALSE),"")</f>
        <v>West</v>
      </c>
      <c r="P311" s="33">
        <f>IFERROR(VLOOKUP(D311,Products!$A:$D,4,FALSE),"")</f>
        <v>1435</v>
      </c>
      <c r="Q311" s="33">
        <f t="shared" si="4"/>
        <v>0.48007246376811596</v>
      </c>
    </row>
    <row r="312" spans="1:17" x14ac:dyDescent="0.3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  <c r="L312" t="str">
        <f>IFERROR(VLOOKUP(D312,Products!$A:$C,3,FALSE),"")</f>
        <v>Beauty</v>
      </c>
      <c r="M312" t="str">
        <f>IFERROR(VLOOKUP(C312,Customers!$A:$E,5,FALSE),"")</f>
        <v>SMB</v>
      </c>
      <c r="N312">
        <f>IFERROR(VLOOKUP(C312,Customers!$A:$E,3,FALSE),"")</f>
        <v>65</v>
      </c>
      <c r="O312" s="33" t="str">
        <f>IFERROR(VLOOKUP(E312,Sales_Reps!$A:$C,3,FALSE),"")</f>
        <v>North</v>
      </c>
      <c r="P312" s="33">
        <f>IFERROR(VLOOKUP(D312,Products!$A:$D,4,FALSE),"")</f>
        <v>647</v>
      </c>
      <c r="Q312" s="33">
        <f t="shared" si="4"/>
        <v>0.57987012987012987</v>
      </c>
    </row>
    <row r="313" spans="1:17" x14ac:dyDescent="0.3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  <c r="L313" t="str">
        <f>IFERROR(VLOOKUP(D313,Products!$A:$C,3,FALSE),"")</f>
        <v>Beauty</v>
      </c>
      <c r="M313" t="str">
        <f>IFERROR(VLOOKUP(C313,Customers!$A:$E,5,FALSE),"")</f>
        <v>Retail</v>
      </c>
      <c r="N313">
        <f>IFERROR(VLOOKUP(C313,Customers!$A:$E,3,FALSE),"")</f>
        <v>28</v>
      </c>
      <c r="O313" s="33" t="str">
        <f>IFERROR(VLOOKUP(E313,Sales_Reps!$A:$C,3,FALSE),"")</f>
        <v>East</v>
      </c>
      <c r="P313" s="33">
        <f>IFERROR(VLOOKUP(D313,Products!$A:$D,4,FALSE),"")</f>
        <v>2768</v>
      </c>
      <c r="Q313" s="33">
        <f t="shared" si="4"/>
        <v>0.43278688524590164</v>
      </c>
    </row>
    <row r="314" spans="1:17" x14ac:dyDescent="0.3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  <c r="L314" t="str">
        <f>IFERROR(VLOOKUP(D314,Products!$A:$C,3,FALSE),"")</f>
        <v>Grocery</v>
      </c>
      <c r="M314" t="str">
        <f>IFERROR(VLOOKUP(C314,Customers!$A:$E,5,FALSE),"")</f>
        <v>Corporate</v>
      </c>
      <c r="N314">
        <f>IFERROR(VLOOKUP(C314,Customers!$A:$E,3,FALSE),"")</f>
        <v>52</v>
      </c>
      <c r="O314" s="33" t="str">
        <f>IFERROR(VLOOKUP(E314,Sales_Reps!$A:$C,3,FALSE),"")</f>
        <v>South</v>
      </c>
      <c r="P314" s="33">
        <f>IFERROR(VLOOKUP(D314,Products!$A:$D,4,FALSE),"")</f>
        <v>1203</v>
      </c>
      <c r="Q314" s="33">
        <f t="shared" si="4"/>
        <v>0.47004405286343615</v>
      </c>
    </row>
    <row r="315" spans="1:17" x14ac:dyDescent="0.3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  <c r="L315" t="str">
        <f>IFERROR(VLOOKUP(D315,Products!$A:$C,3,FALSE),"")</f>
        <v>Apparel</v>
      </c>
      <c r="M315" t="str">
        <f>IFERROR(VLOOKUP(C315,Customers!$A:$E,5,FALSE),"")</f>
        <v>Retail</v>
      </c>
      <c r="N315">
        <f>IFERROR(VLOOKUP(C315,Customers!$A:$E,3,FALSE),"")</f>
        <v>53</v>
      </c>
      <c r="O315" s="33" t="str">
        <f>IFERROR(VLOOKUP(E315,Sales_Reps!$A:$C,3,FALSE),"")</f>
        <v>South</v>
      </c>
      <c r="P315" s="33">
        <f>IFERROR(VLOOKUP(D315,Products!$A:$D,4,FALSE),"")</f>
        <v>1173</v>
      </c>
      <c r="Q315" s="33">
        <f t="shared" si="4"/>
        <v>0.52701612903225803</v>
      </c>
    </row>
    <row r="316" spans="1:17" x14ac:dyDescent="0.3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  <c r="L316" t="str">
        <f>IFERROR(VLOOKUP(D316,Products!$A:$C,3,FALSE),"")</f>
        <v>Beauty</v>
      </c>
      <c r="M316" t="str">
        <f>IFERROR(VLOOKUP(C316,Customers!$A:$E,5,FALSE),"")</f>
        <v>Retail</v>
      </c>
      <c r="N316">
        <f>IFERROR(VLOOKUP(C316,Customers!$A:$E,3,FALSE),"")</f>
        <v>60</v>
      </c>
      <c r="O316" s="33" t="str">
        <f>IFERROR(VLOOKUP(E316,Sales_Reps!$A:$C,3,FALSE),"")</f>
        <v>South</v>
      </c>
      <c r="P316" s="33">
        <f>IFERROR(VLOOKUP(D316,Products!$A:$D,4,FALSE),"")</f>
        <v>1626</v>
      </c>
      <c r="Q316" s="33">
        <f t="shared" si="4"/>
        <v>0.46158940397350995</v>
      </c>
    </row>
    <row r="317" spans="1:17" x14ac:dyDescent="0.3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  <c r="L317" t="str">
        <f>IFERROR(VLOOKUP(D317,Products!$A:$C,3,FALSE),"")</f>
        <v>Beauty</v>
      </c>
      <c r="M317" t="str">
        <f>IFERROR(VLOOKUP(C317,Customers!$A:$E,5,FALSE),"")</f>
        <v>Retail</v>
      </c>
      <c r="N317">
        <f>IFERROR(VLOOKUP(C317,Customers!$A:$E,3,FALSE),"")</f>
        <v>28</v>
      </c>
      <c r="O317" s="33" t="str">
        <f>IFERROR(VLOOKUP(E317,Sales_Reps!$A:$C,3,FALSE),"")</f>
        <v>East</v>
      </c>
      <c r="P317" s="33">
        <f>IFERROR(VLOOKUP(D317,Products!$A:$D,4,FALSE),"")</f>
        <v>647</v>
      </c>
      <c r="Q317" s="33">
        <f t="shared" si="4"/>
        <v>0.57987012987012987</v>
      </c>
    </row>
    <row r="318" spans="1:17" x14ac:dyDescent="0.3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  <c r="L318" t="str">
        <f>IFERROR(VLOOKUP(D318,Products!$A:$C,3,FALSE),"")</f>
        <v>Apparel</v>
      </c>
      <c r="M318" t="str">
        <f>IFERROR(VLOOKUP(C318,Customers!$A:$E,5,FALSE),"")</f>
        <v>Retail</v>
      </c>
      <c r="N318">
        <f>IFERROR(VLOOKUP(C318,Customers!$A:$E,3,FALSE),"")</f>
        <v>59</v>
      </c>
      <c r="O318" s="33" t="str">
        <f>IFERROR(VLOOKUP(E318,Sales_Reps!$A:$C,3,FALSE),"")</f>
        <v>North</v>
      </c>
      <c r="P318" s="33">
        <f>IFERROR(VLOOKUP(D318,Products!$A:$D,4,FALSE),"")</f>
        <v>1886</v>
      </c>
      <c r="Q318" s="33">
        <f t="shared" si="4"/>
        <v>0.4031645569620253</v>
      </c>
    </row>
    <row r="319" spans="1:17" x14ac:dyDescent="0.3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  <c r="L319" t="str">
        <f>IFERROR(VLOOKUP(D319,Products!$A:$C,3,FALSE),"")</f>
        <v>Sports</v>
      </c>
      <c r="M319" t="str">
        <f>IFERROR(VLOOKUP(C319,Customers!$A:$E,5,FALSE),"")</f>
        <v>Retail</v>
      </c>
      <c r="N319">
        <f>IFERROR(VLOOKUP(C319,Customers!$A:$E,3,FALSE),"")</f>
        <v>41</v>
      </c>
      <c r="O319" s="33" t="str">
        <f>IFERROR(VLOOKUP(E319,Sales_Reps!$A:$C,3,FALSE),"")</f>
        <v>South</v>
      </c>
      <c r="P319" s="33">
        <f>IFERROR(VLOOKUP(D319,Products!$A:$D,4,FALSE),"")</f>
        <v>516</v>
      </c>
      <c r="Q319" s="33">
        <f t="shared" si="4"/>
        <v>0.4891089108910891</v>
      </c>
    </row>
    <row r="320" spans="1:17" x14ac:dyDescent="0.3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  <c r="L320" t="str">
        <f>IFERROR(VLOOKUP(D320,Products!$A:$C,3,FALSE),"")</f>
        <v>Home</v>
      </c>
      <c r="M320" t="str">
        <f>IFERROR(VLOOKUP(C320,Customers!$A:$E,5,FALSE),"")</f>
        <v>Retail</v>
      </c>
      <c r="N320">
        <f>IFERROR(VLOOKUP(C320,Customers!$A:$E,3,FALSE),"")</f>
        <v>65</v>
      </c>
      <c r="O320" s="33" t="str">
        <f>IFERROR(VLOOKUP(E320,Sales_Reps!$A:$C,3,FALSE),"")</f>
        <v>East</v>
      </c>
      <c r="P320" s="33">
        <f>IFERROR(VLOOKUP(D320,Products!$A:$D,4,FALSE),"")</f>
        <v>1850</v>
      </c>
      <c r="Q320" s="33">
        <f t="shared" si="4"/>
        <v>0.59869848156182215</v>
      </c>
    </row>
    <row r="321" spans="1:17" x14ac:dyDescent="0.3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  <c r="L321" t="str">
        <f>IFERROR(VLOOKUP(D321,Products!$A:$C,3,FALSE),"")</f>
        <v>Grocery</v>
      </c>
      <c r="M321" t="str">
        <f>IFERROR(VLOOKUP(C321,Customers!$A:$E,5,FALSE),"")</f>
        <v>Retail</v>
      </c>
      <c r="N321">
        <f>IFERROR(VLOOKUP(C321,Customers!$A:$E,3,FALSE),"")</f>
        <v>53</v>
      </c>
      <c r="O321" s="33" t="str">
        <f>IFERROR(VLOOKUP(E321,Sales_Reps!$A:$C,3,FALSE),"")</f>
        <v>West</v>
      </c>
      <c r="P321" s="33">
        <f>IFERROR(VLOOKUP(D321,Products!$A:$D,4,FALSE),"")</f>
        <v>2911</v>
      </c>
      <c r="Q321" s="33">
        <f t="shared" si="4"/>
        <v>0.28300492610837441</v>
      </c>
    </row>
    <row r="322" spans="1:17" x14ac:dyDescent="0.3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  <c r="L322" t="str">
        <f>IFERROR(VLOOKUP(D322,Products!$A:$C,3,FALSE),"")</f>
        <v>Apparel</v>
      </c>
      <c r="M322" t="str">
        <f>IFERROR(VLOOKUP(C322,Customers!$A:$E,5,FALSE),"")</f>
        <v>SMB</v>
      </c>
      <c r="N322">
        <f>IFERROR(VLOOKUP(C322,Customers!$A:$E,3,FALSE),"")</f>
        <v>46</v>
      </c>
      <c r="O322" s="33" t="str">
        <f>IFERROR(VLOOKUP(E322,Sales_Reps!$A:$C,3,FALSE),"")</f>
        <v>North</v>
      </c>
      <c r="P322" s="33">
        <f>IFERROR(VLOOKUP(D322,Products!$A:$D,4,FALSE),"")</f>
        <v>396</v>
      </c>
      <c r="Q322" s="33">
        <f t="shared" si="4"/>
        <v>0.36129032258064514</v>
      </c>
    </row>
    <row r="323" spans="1:17" x14ac:dyDescent="0.3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  <c r="L323" t="str">
        <f>IFERROR(VLOOKUP(D323,Products!$A:$C,3,FALSE),"")</f>
        <v>Apparel</v>
      </c>
      <c r="M323" t="str">
        <f>IFERROR(VLOOKUP(C323,Customers!$A:$E,5,FALSE),"")</f>
        <v>Corporate</v>
      </c>
      <c r="N323">
        <f>IFERROR(VLOOKUP(C323,Customers!$A:$E,3,FALSE),"")</f>
        <v>43</v>
      </c>
      <c r="O323" s="33" t="str">
        <f>IFERROR(VLOOKUP(E323,Sales_Reps!$A:$C,3,FALSE),"")</f>
        <v>North</v>
      </c>
      <c r="P323" s="33">
        <f>IFERROR(VLOOKUP(D323,Products!$A:$D,4,FALSE),"")</f>
        <v>2629</v>
      </c>
      <c r="Q323" s="33">
        <f t="shared" ref="Q323:Q386" si="5">IFERROR((G323-P323)/G323,"")</f>
        <v>0.26151685393258428</v>
      </c>
    </row>
    <row r="324" spans="1:17" x14ac:dyDescent="0.3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  <c r="L324" t="str">
        <f>IFERROR(VLOOKUP(D324,Products!$A:$C,3,FALSE),"")</f>
        <v>Sports</v>
      </c>
      <c r="M324" t="str">
        <f>IFERROR(VLOOKUP(C324,Customers!$A:$E,5,FALSE),"")</f>
        <v>Corporate</v>
      </c>
      <c r="N324">
        <f>IFERROR(VLOOKUP(C324,Customers!$A:$E,3,FALSE),"")</f>
        <v>52</v>
      </c>
      <c r="O324" s="33" t="str">
        <f>IFERROR(VLOOKUP(E324,Sales_Reps!$A:$C,3,FALSE),"")</f>
        <v>South</v>
      </c>
      <c r="P324" s="33">
        <f>IFERROR(VLOOKUP(D324,Products!$A:$D,4,FALSE),"")</f>
        <v>974</v>
      </c>
      <c r="Q324" s="33">
        <f t="shared" si="5"/>
        <v>0.59416666666666662</v>
      </c>
    </row>
    <row r="325" spans="1:17" x14ac:dyDescent="0.3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  <c r="L325" t="str">
        <f>IFERROR(VLOOKUP(D325,Products!$A:$C,3,FALSE),"")</f>
        <v>Sports</v>
      </c>
      <c r="M325" t="str">
        <f>IFERROR(VLOOKUP(C325,Customers!$A:$E,5,FALSE),"")</f>
        <v>Retail</v>
      </c>
      <c r="N325">
        <f>IFERROR(VLOOKUP(C325,Customers!$A:$E,3,FALSE),"")</f>
        <v>53</v>
      </c>
      <c r="O325" s="33" t="str">
        <f>IFERROR(VLOOKUP(E325,Sales_Reps!$A:$C,3,FALSE),"")</f>
        <v>North</v>
      </c>
      <c r="P325" s="33">
        <f>IFERROR(VLOOKUP(D325,Products!$A:$D,4,FALSE),"")</f>
        <v>2827</v>
      </c>
      <c r="Q325" s="33">
        <f t="shared" si="5"/>
        <v>0.5926512968299712</v>
      </c>
    </row>
    <row r="326" spans="1:17" x14ac:dyDescent="0.3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  <c r="L326" t="str">
        <f>IFERROR(VLOOKUP(D326,Products!$A:$C,3,FALSE),"")</f>
        <v>Grocery</v>
      </c>
      <c r="M326" t="str">
        <f>IFERROR(VLOOKUP(C326,Customers!$A:$E,5,FALSE),"")</f>
        <v>Retail</v>
      </c>
      <c r="N326">
        <f>IFERROR(VLOOKUP(C326,Customers!$A:$E,3,FALSE),"")</f>
        <v>33</v>
      </c>
      <c r="O326" s="33" t="str">
        <f>IFERROR(VLOOKUP(E326,Sales_Reps!$A:$C,3,FALSE),"")</f>
        <v>West</v>
      </c>
      <c r="P326" s="33">
        <f>IFERROR(VLOOKUP(D326,Products!$A:$D,4,FALSE),"")</f>
        <v>1182</v>
      </c>
      <c r="Q326" s="33">
        <f t="shared" si="5"/>
        <v>0.50336134453781511</v>
      </c>
    </row>
    <row r="327" spans="1:17" x14ac:dyDescent="0.3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  <c r="L327" t="str">
        <f>IFERROR(VLOOKUP(D327,Products!$A:$C,3,FALSE),"")</f>
        <v>Apparel</v>
      </c>
      <c r="M327" t="str">
        <f>IFERROR(VLOOKUP(C327,Customers!$A:$E,5,FALSE),"")</f>
        <v>Corporate</v>
      </c>
      <c r="N327">
        <f>IFERROR(VLOOKUP(C327,Customers!$A:$E,3,FALSE),"")</f>
        <v>55</v>
      </c>
      <c r="O327" s="33" t="str">
        <f>IFERROR(VLOOKUP(E327,Sales_Reps!$A:$C,3,FALSE),"")</f>
        <v>West</v>
      </c>
      <c r="P327" s="33">
        <f>IFERROR(VLOOKUP(D327,Products!$A:$D,4,FALSE),"")</f>
        <v>2509</v>
      </c>
      <c r="Q327" s="33">
        <f t="shared" si="5"/>
        <v>0.3069060773480663</v>
      </c>
    </row>
    <row r="328" spans="1:17" x14ac:dyDescent="0.3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  <c r="L328" t="str">
        <f>IFERROR(VLOOKUP(D328,Products!$A:$C,3,FALSE),"")</f>
        <v>Beauty</v>
      </c>
      <c r="M328" t="str">
        <f>IFERROR(VLOOKUP(C328,Customers!$A:$E,5,FALSE),"")</f>
        <v>Corporate</v>
      </c>
      <c r="N328">
        <f>IFERROR(VLOOKUP(C328,Customers!$A:$E,3,FALSE),"")</f>
        <v>43</v>
      </c>
      <c r="O328" s="33" t="str">
        <f>IFERROR(VLOOKUP(E328,Sales_Reps!$A:$C,3,FALSE),"")</f>
        <v>North</v>
      </c>
      <c r="P328" s="33">
        <f>IFERROR(VLOOKUP(D328,Products!$A:$D,4,FALSE),"")</f>
        <v>2617</v>
      </c>
      <c r="Q328" s="33">
        <f t="shared" si="5"/>
        <v>0.56957236842105263</v>
      </c>
    </row>
    <row r="329" spans="1:17" x14ac:dyDescent="0.3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  <c r="L329" t="str">
        <f>IFERROR(VLOOKUP(D329,Products!$A:$C,3,FALSE),"")</f>
        <v>Apparel</v>
      </c>
      <c r="M329" t="str">
        <f>IFERROR(VLOOKUP(C329,Customers!$A:$E,5,FALSE),"")</f>
        <v>Retail</v>
      </c>
      <c r="N329">
        <f>IFERROR(VLOOKUP(C329,Customers!$A:$E,3,FALSE),"")</f>
        <v>26</v>
      </c>
      <c r="O329" s="33" t="str">
        <f>IFERROR(VLOOKUP(E329,Sales_Reps!$A:$C,3,FALSE),"")</f>
        <v>East</v>
      </c>
      <c r="P329" s="33">
        <f>IFERROR(VLOOKUP(D329,Products!$A:$D,4,FALSE),"")</f>
        <v>391</v>
      </c>
      <c r="Q329" s="33">
        <f t="shared" si="5"/>
        <v>0.52317073170731709</v>
      </c>
    </row>
    <row r="330" spans="1:17" x14ac:dyDescent="0.3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  <c r="L330" t="str">
        <f>IFERROR(VLOOKUP(D330,Products!$A:$C,3,FALSE),"")</f>
        <v>Beauty</v>
      </c>
      <c r="M330" t="str">
        <f>IFERROR(VLOOKUP(C330,Customers!$A:$E,5,FALSE),"")</f>
        <v>Corporate</v>
      </c>
      <c r="N330">
        <f>IFERROR(VLOOKUP(C330,Customers!$A:$E,3,FALSE),"")</f>
        <v>51</v>
      </c>
      <c r="O330" s="33" t="str">
        <f>IFERROR(VLOOKUP(E330,Sales_Reps!$A:$C,3,FALSE),"")</f>
        <v>West</v>
      </c>
      <c r="P330" s="33">
        <f>IFERROR(VLOOKUP(D330,Products!$A:$D,4,FALSE),"")</f>
        <v>1626</v>
      </c>
      <c r="Q330" s="33">
        <f t="shared" si="5"/>
        <v>0.46158940397350995</v>
      </c>
    </row>
    <row r="331" spans="1:17" x14ac:dyDescent="0.3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  <c r="L331" t="str">
        <f>IFERROR(VLOOKUP(D331,Products!$A:$C,3,FALSE),"")</f>
        <v>Electronics</v>
      </c>
      <c r="M331" t="str">
        <f>IFERROR(VLOOKUP(C331,Customers!$A:$E,5,FALSE),"")</f>
        <v>Retail</v>
      </c>
      <c r="N331">
        <f>IFERROR(VLOOKUP(C331,Customers!$A:$E,3,FALSE),"")</f>
        <v>24</v>
      </c>
      <c r="O331" s="33" t="str">
        <f>IFERROR(VLOOKUP(E331,Sales_Reps!$A:$C,3,FALSE),"")</f>
        <v>West</v>
      </c>
      <c r="P331" s="33">
        <f>IFERROR(VLOOKUP(D331,Products!$A:$D,4,FALSE),"")</f>
        <v>1559</v>
      </c>
      <c r="Q331" s="33">
        <f t="shared" si="5"/>
        <v>0.59715762273901807</v>
      </c>
    </row>
    <row r="332" spans="1:17" x14ac:dyDescent="0.3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  <c r="L332" t="str">
        <f>IFERROR(VLOOKUP(D332,Products!$A:$C,3,FALSE),"")</f>
        <v>Beauty</v>
      </c>
      <c r="M332" t="str">
        <f>IFERROR(VLOOKUP(C332,Customers!$A:$E,5,FALSE),"")</f>
        <v>SMB</v>
      </c>
      <c r="N332">
        <f>IFERROR(VLOOKUP(C332,Customers!$A:$E,3,FALSE),"")</f>
        <v>30</v>
      </c>
      <c r="O332" s="33" t="str">
        <f>IFERROR(VLOOKUP(E332,Sales_Reps!$A:$C,3,FALSE),"")</f>
        <v>West</v>
      </c>
      <c r="P332" s="33">
        <f>IFERROR(VLOOKUP(D332,Products!$A:$D,4,FALSE),"")</f>
        <v>2420</v>
      </c>
      <c r="Q332" s="33">
        <f t="shared" si="5"/>
        <v>0.29855072463768118</v>
      </c>
    </row>
    <row r="333" spans="1:17" x14ac:dyDescent="0.3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  <c r="L333" t="str">
        <f>IFERROR(VLOOKUP(D333,Products!$A:$C,3,FALSE),"")</f>
        <v>Beauty</v>
      </c>
      <c r="M333" t="str">
        <f>IFERROR(VLOOKUP(C333,Customers!$A:$E,5,FALSE),"")</f>
        <v>Retail</v>
      </c>
      <c r="N333">
        <f>IFERROR(VLOOKUP(C333,Customers!$A:$E,3,FALSE),"")</f>
        <v>24</v>
      </c>
      <c r="O333" s="33" t="str">
        <f>IFERROR(VLOOKUP(E333,Sales_Reps!$A:$C,3,FALSE),"")</f>
        <v>North</v>
      </c>
      <c r="P333" s="33">
        <f>IFERROR(VLOOKUP(D333,Products!$A:$D,4,FALSE),"")</f>
        <v>2237</v>
      </c>
      <c r="Q333" s="33">
        <f t="shared" si="5"/>
        <v>0.56137254901960787</v>
      </c>
    </row>
    <row r="334" spans="1:17" x14ac:dyDescent="0.3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  <c r="L334" t="str">
        <f>IFERROR(VLOOKUP(D334,Products!$A:$C,3,FALSE),"")</f>
        <v>Grocery</v>
      </c>
      <c r="M334" t="str">
        <f>IFERROR(VLOOKUP(C334,Customers!$A:$E,5,FALSE),"")</f>
        <v>SMB</v>
      </c>
      <c r="N334">
        <f>IFERROR(VLOOKUP(C334,Customers!$A:$E,3,FALSE),"")</f>
        <v>53</v>
      </c>
      <c r="O334" s="33" t="str">
        <f>IFERROR(VLOOKUP(E334,Sales_Reps!$A:$C,3,FALSE),"")</f>
        <v>North</v>
      </c>
      <c r="P334" s="33">
        <f>IFERROR(VLOOKUP(D334,Products!$A:$D,4,FALSE),"")</f>
        <v>2027</v>
      </c>
      <c r="Q334" s="33">
        <f t="shared" si="5"/>
        <v>0.50196560196560192</v>
      </c>
    </row>
    <row r="335" spans="1:17" x14ac:dyDescent="0.3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  <c r="L335" t="str">
        <f>IFERROR(VLOOKUP(D335,Products!$A:$C,3,FALSE),"")</f>
        <v>Electronics</v>
      </c>
      <c r="M335" t="str">
        <f>IFERROR(VLOOKUP(C335,Customers!$A:$E,5,FALSE),"")</f>
        <v>SMB</v>
      </c>
      <c r="N335">
        <f>IFERROR(VLOOKUP(C335,Customers!$A:$E,3,FALSE),"")</f>
        <v>35</v>
      </c>
      <c r="O335" s="33" t="str">
        <f>IFERROR(VLOOKUP(E335,Sales_Reps!$A:$C,3,FALSE),"")</f>
        <v>North</v>
      </c>
      <c r="P335" s="33">
        <f>IFERROR(VLOOKUP(D335,Products!$A:$D,4,FALSE),"")</f>
        <v>2405</v>
      </c>
      <c r="Q335" s="33">
        <f t="shared" si="5"/>
        <v>0.54878048780487809</v>
      </c>
    </row>
    <row r="336" spans="1:17" x14ac:dyDescent="0.3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  <c r="L336" t="str">
        <f>IFERROR(VLOOKUP(D336,Products!$A:$C,3,FALSE),"")</f>
        <v>Grocery</v>
      </c>
      <c r="M336" t="str">
        <f>IFERROR(VLOOKUP(C336,Customers!$A:$E,5,FALSE),"")</f>
        <v>Retail</v>
      </c>
      <c r="N336">
        <f>IFERROR(VLOOKUP(C336,Customers!$A:$E,3,FALSE),"")</f>
        <v>48</v>
      </c>
      <c r="O336" s="33" t="str">
        <f>IFERROR(VLOOKUP(E336,Sales_Reps!$A:$C,3,FALSE),"")</f>
        <v>East</v>
      </c>
      <c r="P336" s="33">
        <f>IFERROR(VLOOKUP(D336,Products!$A:$D,4,FALSE),"")</f>
        <v>1203</v>
      </c>
      <c r="Q336" s="33">
        <f t="shared" si="5"/>
        <v>0.47004405286343615</v>
      </c>
    </row>
    <row r="337" spans="1:17" x14ac:dyDescent="0.3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  <c r="L337" t="str">
        <f>IFERROR(VLOOKUP(D337,Products!$A:$C,3,FALSE),"")</f>
        <v>Apparel</v>
      </c>
      <c r="M337" t="str">
        <f>IFERROR(VLOOKUP(C337,Customers!$A:$E,5,FALSE),"")</f>
        <v>SMB</v>
      </c>
      <c r="N337">
        <f>IFERROR(VLOOKUP(C337,Customers!$A:$E,3,FALSE),"")</f>
        <v>39</v>
      </c>
      <c r="O337" s="33" t="str">
        <f>IFERROR(VLOOKUP(E337,Sales_Reps!$A:$C,3,FALSE),"")</f>
        <v>West</v>
      </c>
      <c r="P337" s="33">
        <f>IFERROR(VLOOKUP(D337,Products!$A:$D,4,FALSE),"")</f>
        <v>1075</v>
      </c>
      <c r="Q337" s="33">
        <f t="shared" si="5"/>
        <v>0.57171314741035861</v>
      </c>
    </row>
    <row r="338" spans="1:17" x14ac:dyDescent="0.3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  <c r="L338" t="str">
        <f>IFERROR(VLOOKUP(D338,Products!$A:$C,3,FALSE),"")</f>
        <v>Grocery</v>
      </c>
      <c r="M338" t="str">
        <f>IFERROR(VLOOKUP(C338,Customers!$A:$E,5,FALSE),"")</f>
        <v>Retail</v>
      </c>
      <c r="N338">
        <f>IFERROR(VLOOKUP(C338,Customers!$A:$E,3,FALSE),"")</f>
        <v>40</v>
      </c>
      <c r="O338" s="33" t="str">
        <f>IFERROR(VLOOKUP(E338,Sales_Reps!$A:$C,3,FALSE),"")</f>
        <v>East</v>
      </c>
      <c r="P338" s="33">
        <f>IFERROR(VLOOKUP(D338,Products!$A:$D,4,FALSE),"")</f>
        <v>1182</v>
      </c>
      <c r="Q338" s="33">
        <f t="shared" si="5"/>
        <v>0.50336134453781511</v>
      </c>
    </row>
    <row r="339" spans="1:17" x14ac:dyDescent="0.3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  <c r="L339" t="str">
        <f>IFERROR(VLOOKUP(D339,Products!$A:$C,3,FALSE),"")</f>
        <v>Apparel</v>
      </c>
      <c r="M339" t="str">
        <f>IFERROR(VLOOKUP(C339,Customers!$A:$E,5,FALSE),"")</f>
        <v>SMB</v>
      </c>
      <c r="N339">
        <f>IFERROR(VLOOKUP(C339,Customers!$A:$E,3,FALSE),"")</f>
        <v>26</v>
      </c>
      <c r="O339" s="33" t="str">
        <f>IFERROR(VLOOKUP(E339,Sales_Reps!$A:$C,3,FALSE),"")</f>
        <v>North</v>
      </c>
      <c r="P339" s="33">
        <f>IFERROR(VLOOKUP(D339,Products!$A:$D,4,FALSE),"")</f>
        <v>1748</v>
      </c>
      <c r="Q339" s="33">
        <f t="shared" si="5"/>
        <v>0.49333333333333335</v>
      </c>
    </row>
    <row r="340" spans="1:17" x14ac:dyDescent="0.3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  <c r="L340" t="str">
        <f>IFERROR(VLOOKUP(D340,Products!$A:$C,3,FALSE),"")</f>
        <v>Electronics</v>
      </c>
      <c r="M340" t="str">
        <f>IFERROR(VLOOKUP(C340,Customers!$A:$E,5,FALSE),"")</f>
        <v>Corporate</v>
      </c>
      <c r="N340">
        <f>IFERROR(VLOOKUP(C340,Customers!$A:$E,3,FALSE),"")</f>
        <v>57</v>
      </c>
      <c r="O340" s="33" t="str">
        <f>IFERROR(VLOOKUP(E340,Sales_Reps!$A:$C,3,FALSE),"")</f>
        <v>North</v>
      </c>
      <c r="P340" s="33">
        <f>IFERROR(VLOOKUP(D340,Products!$A:$D,4,FALSE),"")</f>
        <v>1665</v>
      </c>
      <c r="Q340" s="33">
        <f t="shared" si="5"/>
        <v>0.53361344537815125</v>
      </c>
    </row>
    <row r="341" spans="1:17" x14ac:dyDescent="0.3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  <c r="L341" t="str">
        <f>IFERROR(VLOOKUP(D341,Products!$A:$C,3,FALSE),"")</f>
        <v>Electronics</v>
      </c>
      <c r="M341" t="str">
        <f>IFERROR(VLOOKUP(C341,Customers!$A:$E,5,FALSE),"")</f>
        <v>Retail</v>
      </c>
      <c r="N341">
        <f>IFERROR(VLOOKUP(C341,Customers!$A:$E,3,FALSE),"")</f>
        <v>27</v>
      </c>
      <c r="O341" s="33" t="str">
        <f>IFERROR(VLOOKUP(E341,Sales_Reps!$A:$C,3,FALSE),"")</f>
        <v>West</v>
      </c>
      <c r="P341" s="33">
        <f>IFERROR(VLOOKUP(D341,Products!$A:$D,4,FALSE),"")</f>
        <v>2405</v>
      </c>
      <c r="Q341" s="33">
        <f t="shared" si="5"/>
        <v>0.54878048780487809</v>
      </c>
    </row>
    <row r="342" spans="1:17" x14ac:dyDescent="0.3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  <c r="L342" t="str">
        <f>IFERROR(VLOOKUP(D342,Products!$A:$C,3,FALSE),"")</f>
        <v>Grocery</v>
      </c>
      <c r="M342" t="str">
        <f>IFERROR(VLOOKUP(C342,Customers!$A:$E,5,FALSE),"")</f>
        <v>Retail</v>
      </c>
      <c r="N342">
        <f>IFERROR(VLOOKUP(C342,Customers!$A:$E,3,FALSE),"")</f>
        <v>56</v>
      </c>
      <c r="O342" s="33" t="str">
        <f>IFERROR(VLOOKUP(E342,Sales_Reps!$A:$C,3,FALSE),"")</f>
        <v>West</v>
      </c>
      <c r="P342" s="33">
        <f>IFERROR(VLOOKUP(D342,Products!$A:$D,4,FALSE),"")</f>
        <v>2214</v>
      </c>
      <c r="Q342" s="33">
        <f t="shared" si="5"/>
        <v>0.39508196721311473</v>
      </c>
    </row>
    <row r="343" spans="1:17" x14ac:dyDescent="0.3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  <c r="L343" t="str">
        <f>IFERROR(VLOOKUP(D343,Products!$A:$C,3,FALSE),"")</f>
        <v>Sports</v>
      </c>
      <c r="M343" t="str">
        <f>IFERROR(VLOOKUP(C343,Customers!$A:$E,5,FALSE),"")</f>
        <v>Retail</v>
      </c>
      <c r="N343">
        <f>IFERROR(VLOOKUP(C343,Customers!$A:$E,3,FALSE),"")</f>
        <v>35</v>
      </c>
      <c r="O343" s="33" t="str">
        <f>IFERROR(VLOOKUP(E343,Sales_Reps!$A:$C,3,FALSE),"")</f>
        <v>South</v>
      </c>
      <c r="P343" s="33">
        <f>IFERROR(VLOOKUP(D343,Products!$A:$D,4,FALSE),"")</f>
        <v>516</v>
      </c>
      <c r="Q343" s="33">
        <f t="shared" si="5"/>
        <v>0.4891089108910891</v>
      </c>
    </row>
    <row r="344" spans="1:17" x14ac:dyDescent="0.3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  <c r="L344" t="str">
        <f>IFERROR(VLOOKUP(D344,Products!$A:$C,3,FALSE),"")</f>
        <v>Home</v>
      </c>
      <c r="M344" t="str">
        <f>IFERROR(VLOOKUP(C344,Customers!$A:$E,5,FALSE),"")</f>
        <v>SMB</v>
      </c>
      <c r="N344">
        <f>IFERROR(VLOOKUP(C344,Customers!$A:$E,3,FALSE),"")</f>
        <v>48</v>
      </c>
      <c r="O344" s="33" t="str">
        <f>IFERROR(VLOOKUP(E344,Sales_Reps!$A:$C,3,FALSE),"")</f>
        <v>South</v>
      </c>
      <c r="P344" s="33">
        <f>IFERROR(VLOOKUP(D344,Products!$A:$D,4,FALSE),"")</f>
        <v>519</v>
      </c>
      <c r="Q344" s="33">
        <f t="shared" si="5"/>
        <v>0.51944444444444449</v>
      </c>
    </row>
    <row r="345" spans="1:17" x14ac:dyDescent="0.3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  <c r="L345" t="str">
        <f>IFERROR(VLOOKUP(D345,Products!$A:$C,3,FALSE),"")</f>
        <v>Sports</v>
      </c>
      <c r="M345" t="str">
        <f>IFERROR(VLOOKUP(C345,Customers!$A:$E,5,FALSE),"")</f>
        <v>Retail</v>
      </c>
      <c r="N345">
        <f>IFERROR(VLOOKUP(C345,Customers!$A:$E,3,FALSE),"")</f>
        <v>22</v>
      </c>
      <c r="O345" s="33" t="str">
        <f>IFERROR(VLOOKUP(E345,Sales_Reps!$A:$C,3,FALSE),"")</f>
        <v>South</v>
      </c>
      <c r="P345" s="33">
        <f>IFERROR(VLOOKUP(D345,Products!$A:$D,4,FALSE),"")</f>
        <v>2467</v>
      </c>
      <c r="Q345" s="33">
        <f t="shared" si="5"/>
        <v>0.28492753623188405</v>
      </c>
    </row>
    <row r="346" spans="1:17" x14ac:dyDescent="0.3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  <c r="L346" t="str">
        <f>IFERROR(VLOOKUP(D346,Products!$A:$C,3,FALSE),"")</f>
        <v>Sports</v>
      </c>
      <c r="M346" t="str">
        <f>IFERROR(VLOOKUP(C346,Customers!$A:$E,5,FALSE),"")</f>
        <v>Retail</v>
      </c>
      <c r="N346">
        <f>IFERROR(VLOOKUP(C346,Customers!$A:$E,3,FALSE),"")</f>
        <v>42</v>
      </c>
      <c r="O346" s="33" t="str">
        <f>IFERROR(VLOOKUP(E346,Sales_Reps!$A:$C,3,FALSE),"")</f>
        <v>South</v>
      </c>
      <c r="P346" s="33">
        <f>IFERROR(VLOOKUP(D346,Products!$A:$D,4,FALSE),"")</f>
        <v>2827</v>
      </c>
      <c r="Q346" s="33">
        <f t="shared" si="5"/>
        <v>0.5926512968299712</v>
      </c>
    </row>
    <row r="347" spans="1:17" x14ac:dyDescent="0.3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  <c r="L347" t="str">
        <f>IFERROR(VLOOKUP(D347,Products!$A:$C,3,FALSE),"")</f>
        <v>Beauty</v>
      </c>
      <c r="M347" t="str">
        <f>IFERROR(VLOOKUP(C347,Customers!$A:$E,5,FALSE),"")</f>
        <v>Retail</v>
      </c>
      <c r="N347">
        <f>IFERROR(VLOOKUP(C347,Customers!$A:$E,3,FALSE),"")</f>
        <v>54</v>
      </c>
      <c r="O347" s="33" t="str">
        <f>IFERROR(VLOOKUP(E347,Sales_Reps!$A:$C,3,FALSE),"")</f>
        <v>North</v>
      </c>
      <c r="P347" s="33">
        <f>IFERROR(VLOOKUP(D347,Products!$A:$D,4,FALSE),"")</f>
        <v>647</v>
      </c>
      <c r="Q347" s="33">
        <f t="shared" si="5"/>
        <v>0.57987012987012987</v>
      </c>
    </row>
    <row r="348" spans="1:17" x14ac:dyDescent="0.3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  <c r="L348" t="str">
        <f>IFERROR(VLOOKUP(D348,Products!$A:$C,3,FALSE),"")</f>
        <v>Electronics</v>
      </c>
      <c r="M348" t="str">
        <f>IFERROR(VLOOKUP(C348,Customers!$A:$E,5,FALSE),"")</f>
        <v>Corporate</v>
      </c>
      <c r="N348">
        <f>IFERROR(VLOOKUP(C348,Customers!$A:$E,3,FALSE),"")</f>
        <v>47</v>
      </c>
      <c r="O348" s="33" t="str">
        <f>IFERROR(VLOOKUP(E348,Sales_Reps!$A:$C,3,FALSE),"")</f>
        <v>South</v>
      </c>
      <c r="P348" s="33">
        <f>IFERROR(VLOOKUP(D348,Products!$A:$D,4,FALSE),"")</f>
        <v>1149</v>
      </c>
      <c r="Q348" s="33">
        <f t="shared" si="5"/>
        <v>0.56477272727272732</v>
      </c>
    </row>
    <row r="349" spans="1:17" x14ac:dyDescent="0.3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  <c r="L349" t="str">
        <f>IFERROR(VLOOKUP(D349,Products!$A:$C,3,FALSE),"")</f>
        <v>Sports</v>
      </c>
      <c r="M349" t="str">
        <f>IFERROR(VLOOKUP(C349,Customers!$A:$E,5,FALSE),"")</f>
        <v>Retail</v>
      </c>
      <c r="N349">
        <f>IFERROR(VLOOKUP(C349,Customers!$A:$E,3,FALSE),"")</f>
        <v>36</v>
      </c>
      <c r="O349" s="33" t="str">
        <f>IFERROR(VLOOKUP(E349,Sales_Reps!$A:$C,3,FALSE),"")</f>
        <v>West</v>
      </c>
      <c r="P349" s="33">
        <f>IFERROR(VLOOKUP(D349,Products!$A:$D,4,FALSE),"")</f>
        <v>2265</v>
      </c>
      <c r="Q349" s="33">
        <f t="shared" si="5"/>
        <v>0.58133086876155271</v>
      </c>
    </row>
    <row r="350" spans="1:17" x14ac:dyDescent="0.3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  <c r="L350" t="str">
        <f>IFERROR(VLOOKUP(D350,Products!$A:$C,3,FALSE),"")</f>
        <v>Electronics</v>
      </c>
      <c r="M350" t="str">
        <f>IFERROR(VLOOKUP(C350,Customers!$A:$E,5,FALSE),"")</f>
        <v>SMB</v>
      </c>
      <c r="N350">
        <f>IFERROR(VLOOKUP(C350,Customers!$A:$E,3,FALSE),"")</f>
        <v>38</v>
      </c>
      <c r="O350" s="33" t="str">
        <f>IFERROR(VLOOKUP(E350,Sales_Reps!$A:$C,3,FALSE),"")</f>
        <v>West</v>
      </c>
      <c r="P350" s="33">
        <f>IFERROR(VLOOKUP(D350,Products!$A:$D,4,FALSE),"")</f>
        <v>1665</v>
      </c>
      <c r="Q350" s="33">
        <f t="shared" si="5"/>
        <v>0.53361344537815125</v>
      </c>
    </row>
    <row r="351" spans="1:17" x14ac:dyDescent="0.3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  <c r="L351" t="str">
        <f>IFERROR(VLOOKUP(D351,Products!$A:$C,3,FALSE),"")</f>
        <v>Home</v>
      </c>
      <c r="M351" t="str">
        <f>IFERROR(VLOOKUP(C351,Customers!$A:$E,5,FALSE),"")</f>
        <v>SMB</v>
      </c>
      <c r="N351">
        <f>IFERROR(VLOOKUP(C351,Customers!$A:$E,3,FALSE),"")</f>
        <v>29</v>
      </c>
      <c r="O351" s="33" t="str">
        <f>IFERROR(VLOOKUP(E351,Sales_Reps!$A:$C,3,FALSE),"")</f>
        <v>West</v>
      </c>
      <c r="P351" s="33">
        <f>IFERROR(VLOOKUP(D351,Products!$A:$D,4,FALSE),"")</f>
        <v>288</v>
      </c>
      <c r="Q351" s="33">
        <f t="shared" si="5"/>
        <v>0.22162162162162163</v>
      </c>
    </row>
    <row r="352" spans="1:17" x14ac:dyDescent="0.3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  <c r="L352" t="str">
        <f>IFERROR(VLOOKUP(D352,Products!$A:$C,3,FALSE),"")</f>
        <v>Apparel</v>
      </c>
      <c r="M352" t="str">
        <f>IFERROR(VLOOKUP(C352,Customers!$A:$E,5,FALSE),"")</f>
        <v>Retail</v>
      </c>
      <c r="N352">
        <f>IFERROR(VLOOKUP(C352,Customers!$A:$E,3,FALSE),"")</f>
        <v>39</v>
      </c>
      <c r="O352" s="33" t="str">
        <f>IFERROR(VLOOKUP(E352,Sales_Reps!$A:$C,3,FALSE),"")</f>
        <v>East</v>
      </c>
      <c r="P352" s="33">
        <f>IFERROR(VLOOKUP(D352,Products!$A:$D,4,FALSE),"")</f>
        <v>1075</v>
      </c>
      <c r="Q352" s="33">
        <f t="shared" si="5"/>
        <v>0.57171314741035861</v>
      </c>
    </row>
    <row r="353" spans="1:17" x14ac:dyDescent="0.3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  <c r="L353" t="str">
        <f>IFERROR(VLOOKUP(D353,Products!$A:$C,3,FALSE),"")</f>
        <v>Apparel</v>
      </c>
      <c r="M353" t="str">
        <f>IFERROR(VLOOKUP(C353,Customers!$A:$E,5,FALSE),"")</f>
        <v>Retail</v>
      </c>
      <c r="N353">
        <f>IFERROR(VLOOKUP(C353,Customers!$A:$E,3,FALSE),"")</f>
        <v>64</v>
      </c>
      <c r="O353" s="33" t="str">
        <f>IFERROR(VLOOKUP(E353,Sales_Reps!$A:$C,3,FALSE),"")</f>
        <v>East</v>
      </c>
      <c r="P353" s="33">
        <f>IFERROR(VLOOKUP(D353,Products!$A:$D,4,FALSE),"")</f>
        <v>2611</v>
      </c>
      <c r="Q353" s="33">
        <f t="shared" si="5"/>
        <v>0.28269230769230769</v>
      </c>
    </row>
    <row r="354" spans="1:17" x14ac:dyDescent="0.3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  <c r="L354" t="str">
        <f>IFERROR(VLOOKUP(D354,Products!$A:$C,3,FALSE),"")</f>
        <v>Beauty</v>
      </c>
      <c r="M354" t="str">
        <f>IFERROR(VLOOKUP(C354,Customers!$A:$E,5,FALSE),"")</f>
        <v>SMB</v>
      </c>
      <c r="N354">
        <f>IFERROR(VLOOKUP(C354,Customers!$A:$E,3,FALSE),"")</f>
        <v>52</v>
      </c>
      <c r="O354" s="33" t="str">
        <f>IFERROR(VLOOKUP(E354,Sales_Reps!$A:$C,3,FALSE),"")</f>
        <v>West</v>
      </c>
      <c r="P354" s="33">
        <f>IFERROR(VLOOKUP(D354,Products!$A:$D,4,FALSE),"")</f>
        <v>1222</v>
      </c>
      <c r="Q354" s="33">
        <f t="shared" si="5"/>
        <v>0.2593939393939394</v>
      </c>
    </row>
    <row r="355" spans="1:17" x14ac:dyDescent="0.3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  <c r="L355" t="str">
        <f>IFERROR(VLOOKUP(D355,Products!$A:$C,3,FALSE),"")</f>
        <v>Beauty</v>
      </c>
      <c r="M355" t="str">
        <f>IFERROR(VLOOKUP(C355,Customers!$A:$E,5,FALSE),"")</f>
        <v>Retail</v>
      </c>
      <c r="N355">
        <f>IFERROR(VLOOKUP(C355,Customers!$A:$E,3,FALSE),"")</f>
        <v>60</v>
      </c>
      <c r="O355" s="33" t="str">
        <f>IFERROR(VLOOKUP(E355,Sales_Reps!$A:$C,3,FALSE),"")</f>
        <v>West</v>
      </c>
      <c r="P355" s="33">
        <f>IFERROR(VLOOKUP(D355,Products!$A:$D,4,FALSE),"")</f>
        <v>675</v>
      </c>
      <c r="Q355" s="33">
        <f t="shared" si="5"/>
        <v>0.296875</v>
      </c>
    </row>
    <row r="356" spans="1:17" x14ac:dyDescent="0.3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  <c r="L356" t="str">
        <f>IFERROR(VLOOKUP(D356,Products!$A:$C,3,FALSE),"")</f>
        <v>Grocery</v>
      </c>
      <c r="M356" t="str">
        <f>IFERROR(VLOOKUP(C356,Customers!$A:$E,5,FALSE),"")</f>
        <v>SMB</v>
      </c>
      <c r="N356">
        <f>IFERROR(VLOOKUP(C356,Customers!$A:$E,3,FALSE),"")</f>
        <v>64</v>
      </c>
      <c r="O356" s="33" t="str">
        <f>IFERROR(VLOOKUP(E356,Sales_Reps!$A:$C,3,FALSE),"")</f>
        <v>East</v>
      </c>
      <c r="P356" s="33">
        <f>IFERROR(VLOOKUP(D356,Products!$A:$D,4,FALSE),"")</f>
        <v>2436</v>
      </c>
      <c r="Q356" s="33">
        <f t="shared" si="5"/>
        <v>0.35555555555555557</v>
      </c>
    </row>
    <row r="357" spans="1:17" x14ac:dyDescent="0.3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  <c r="L357" t="str">
        <f>IFERROR(VLOOKUP(D357,Products!$A:$C,3,FALSE),"")</f>
        <v>Beauty</v>
      </c>
      <c r="M357" t="str">
        <f>IFERROR(VLOOKUP(C357,Customers!$A:$E,5,FALSE),"")</f>
        <v>SMB</v>
      </c>
      <c r="N357">
        <f>IFERROR(VLOOKUP(C357,Customers!$A:$E,3,FALSE),"")</f>
        <v>52</v>
      </c>
      <c r="O357" s="33" t="str">
        <f>IFERROR(VLOOKUP(E357,Sales_Reps!$A:$C,3,FALSE),"")</f>
        <v>South</v>
      </c>
      <c r="P357" s="33">
        <f>IFERROR(VLOOKUP(D357,Products!$A:$D,4,FALSE),"")</f>
        <v>1222</v>
      </c>
      <c r="Q357" s="33">
        <f t="shared" si="5"/>
        <v>0.2593939393939394</v>
      </c>
    </row>
    <row r="358" spans="1:17" x14ac:dyDescent="0.3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  <c r="L358" t="str">
        <f>IFERROR(VLOOKUP(D358,Products!$A:$C,3,FALSE),"")</f>
        <v>Apparel</v>
      </c>
      <c r="M358" t="str">
        <f>IFERROR(VLOOKUP(C358,Customers!$A:$E,5,FALSE),"")</f>
        <v>Retail</v>
      </c>
      <c r="N358">
        <f>IFERROR(VLOOKUP(C358,Customers!$A:$E,3,FALSE),"")</f>
        <v>38</v>
      </c>
      <c r="O358" s="33" t="str">
        <f>IFERROR(VLOOKUP(E358,Sales_Reps!$A:$C,3,FALSE),"")</f>
        <v>South</v>
      </c>
      <c r="P358" s="33">
        <f>IFERROR(VLOOKUP(D358,Products!$A:$D,4,FALSE),"")</f>
        <v>2509</v>
      </c>
      <c r="Q358" s="33">
        <f t="shared" si="5"/>
        <v>0.3069060773480663</v>
      </c>
    </row>
    <row r="359" spans="1:17" x14ac:dyDescent="0.3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  <c r="L359" t="str">
        <f>IFERROR(VLOOKUP(D359,Products!$A:$C,3,FALSE),"")</f>
        <v>Grocery</v>
      </c>
      <c r="M359" t="str">
        <f>IFERROR(VLOOKUP(C359,Customers!$A:$E,5,FALSE),"")</f>
        <v>SMB</v>
      </c>
      <c r="N359">
        <f>IFERROR(VLOOKUP(C359,Customers!$A:$E,3,FALSE),"")</f>
        <v>59</v>
      </c>
      <c r="O359" s="33" t="str">
        <f>IFERROR(VLOOKUP(E359,Sales_Reps!$A:$C,3,FALSE),"")</f>
        <v>West</v>
      </c>
      <c r="P359" s="33">
        <f>IFERROR(VLOOKUP(D359,Products!$A:$D,4,FALSE),"")</f>
        <v>1412</v>
      </c>
      <c r="Q359" s="33">
        <f t="shared" si="5"/>
        <v>0.37797356828193834</v>
      </c>
    </row>
    <row r="360" spans="1:17" x14ac:dyDescent="0.3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  <c r="L360" t="str">
        <f>IFERROR(VLOOKUP(D360,Products!$A:$C,3,FALSE),"")</f>
        <v>Beauty</v>
      </c>
      <c r="M360" t="str">
        <f>IFERROR(VLOOKUP(C360,Customers!$A:$E,5,FALSE),"")</f>
        <v>Retail</v>
      </c>
      <c r="N360">
        <f>IFERROR(VLOOKUP(C360,Customers!$A:$E,3,FALSE),"")</f>
        <v>32</v>
      </c>
      <c r="O360" s="33" t="str">
        <f>IFERROR(VLOOKUP(E360,Sales_Reps!$A:$C,3,FALSE),"")</f>
        <v>South</v>
      </c>
      <c r="P360" s="33">
        <f>IFERROR(VLOOKUP(D360,Products!$A:$D,4,FALSE),"")</f>
        <v>647</v>
      </c>
      <c r="Q360" s="33">
        <f t="shared" si="5"/>
        <v>0.57987012987012987</v>
      </c>
    </row>
    <row r="361" spans="1:17" x14ac:dyDescent="0.3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  <c r="L361" t="str">
        <f>IFERROR(VLOOKUP(D361,Products!$A:$C,3,FALSE),"")</f>
        <v>Sports</v>
      </c>
      <c r="M361" t="str">
        <f>IFERROR(VLOOKUP(C361,Customers!$A:$E,5,FALSE),"")</f>
        <v>Retail</v>
      </c>
      <c r="N361">
        <f>IFERROR(VLOOKUP(C361,Customers!$A:$E,3,FALSE),"")</f>
        <v>26</v>
      </c>
      <c r="O361" s="33" t="str">
        <f>IFERROR(VLOOKUP(E361,Sales_Reps!$A:$C,3,FALSE),"")</f>
        <v>East</v>
      </c>
      <c r="P361" s="33">
        <f>IFERROR(VLOOKUP(D361,Products!$A:$D,4,FALSE),"")</f>
        <v>2028</v>
      </c>
      <c r="Q361" s="33">
        <f t="shared" si="5"/>
        <v>0.29090909090909089</v>
      </c>
    </row>
    <row r="362" spans="1:17" x14ac:dyDescent="0.3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  <c r="L362" t="str">
        <f>IFERROR(VLOOKUP(D362,Products!$A:$C,3,FALSE),"")</f>
        <v>Grocery</v>
      </c>
      <c r="M362" t="str">
        <f>IFERROR(VLOOKUP(C362,Customers!$A:$E,5,FALSE),"")</f>
        <v>SMB</v>
      </c>
      <c r="N362">
        <f>IFERROR(VLOOKUP(C362,Customers!$A:$E,3,FALSE),"")</f>
        <v>46</v>
      </c>
      <c r="O362" s="33" t="str">
        <f>IFERROR(VLOOKUP(E362,Sales_Reps!$A:$C,3,FALSE),"")</f>
        <v>South</v>
      </c>
      <c r="P362" s="33">
        <f>IFERROR(VLOOKUP(D362,Products!$A:$D,4,FALSE),"")</f>
        <v>1010</v>
      </c>
      <c r="Q362" s="33">
        <f t="shared" si="5"/>
        <v>0.54298642533936647</v>
      </c>
    </row>
    <row r="363" spans="1:17" x14ac:dyDescent="0.3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  <c r="L363" t="str">
        <f>IFERROR(VLOOKUP(D363,Products!$A:$C,3,FALSE),"")</f>
        <v>Electronics</v>
      </c>
      <c r="M363" t="str">
        <f>IFERROR(VLOOKUP(C363,Customers!$A:$E,5,FALSE),"")</f>
        <v>SMB</v>
      </c>
      <c r="N363">
        <f>IFERROR(VLOOKUP(C363,Customers!$A:$E,3,FALSE),"")</f>
        <v>53</v>
      </c>
      <c r="O363" s="33" t="str">
        <f>IFERROR(VLOOKUP(E363,Sales_Reps!$A:$C,3,FALSE),"")</f>
        <v>West</v>
      </c>
      <c r="P363" s="33">
        <f>IFERROR(VLOOKUP(D363,Products!$A:$D,4,FALSE),"")</f>
        <v>517</v>
      </c>
      <c r="Q363" s="33">
        <f t="shared" si="5"/>
        <v>0.57622950819672136</v>
      </c>
    </row>
    <row r="364" spans="1:17" x14ac:dyDescent="0.3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  <c r="L364" t="str">
        <f>IFERROR(VLOOKUP(D364,Products!$A:$C,3,FALSE),"")</f>
        <v>Electronics</v>
      </c>
      <c r="M364" t="str">
        <f>IFERROR(VLOOKUP(C364,Customers!$A:$E,5,FALSE),"")</f>
        <v>Corporate</v>
      </c>
      <c r="N364">
        <f>IFERROR(VLOOKUP(C364,Customers!$A:$E,3,FALSE),"")</f>
        <v>43</v>
      </c>
      <c r="O364" s="33" t="str">
        <f>IFERROR(VLOOKUP(E364,Sales_Reps!$A:$C,3,FALSE),"")</f>
        <v>North</v>
      </c>
      <c r="P364" s="33">
        <f>IFERROR(VLOOKUP(D364,Products!$A:$D,4,FALSE),"")</f>
        <v>1665</v>
      </c>
      <c r="Q364" s="33">
        <f t="shared" si="5"/>
        <v>0.53361344537815125</v>
      </c>
    </row>
    <row r="365" spans="1:17" x14ac:dyDescent="0.3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  <c r="L365" t="str">
        <f>IFERROR(VLOOKUP(D365,Products!$A:$C,3,FALSE),"")</f>
        <v>Apparel</v>
      </c>
      <c r="M365" t="str">
        <f>IFERROR(VLOOKUP(C365,Customers!$A:$E,5,FALSE),"")</f>
        <v>Retail</v>
      </c>
      <c r="N365">
        <f>IFERROR(VLOOKUP(C365,Customers!$A:$E,3,FALSE),"")</f>
        <v>29</v>
      </c>
      <c r="O365" s="33" t="str">
        <f>IFERROR(VLOOKUP(E365,Sales_Reps!$A:$C,3,FALSE),"")</f>
        <v>South</v>
      </c>
      <c r="P365" s="33">
        <f>IFERROR(VLOOKUP(D365,Products!$A:$D,4,FALSE),"")</f>
        <v>1748</v>
      </c>
      <c r="Q365" s="33">
        <f t="shared" si="5"/>
        <v>0.49333333333333335</v>
      </c>
    </row>
    <row r="366" spans="1:17" x14ac:dyDescent="0.3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  <c r="L366" t="str">
        <f>IFERROR(VLOOKUP(D366,Products!$A:$C,3,FALSE),"")</f>
        <v>Grocery</v>
      </c>
      <c r="M366" t="str">
        <f>IFERROR(VLOOKUP(C366,Customers!$A:$E,5,FALSE),"")</f>
        <v>Retail</v>
      </c>
      <c r="N366">
        <f>IFERROR(VLOOKUP(C366,Customers!$A:$E,3,FALSE),"")</f>
        <v>36</v>
      </c>
      <c r="O366" s="33" t="str">
        <f>IFERROR(VLOOKUP(E366,Sales_Reps!$A:$C,3,FALSE),"")</f>
        <v>East</v>
      </c>
      <c r="P366" s="33">
        <f>IFERROR(VLOOKUP(D366,Products!$A:$D,4,FALSE),"")</f>
        <v>1010</v>
      </c>
      <c r="Q366" s="33">
        <f t="shared" si="5"/>
        <v>0.54298642533936647</v>
      </c>
    </row>
    <row r="367" spans="1:17" x14ac:dyDescent="0.3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  <c r="L367" t="str">
        <f>IFERROR(VLOOKUP(D367,Products!$A:$C,3,FALSE),"")</f>
        <v>Home</v>
      </c>
      <c r="M367" t="str">
        <f>IFERROR(VLOOKUP(C367,Customers!$A:$E,5,FALSE),"")</f>
        <v>Retail</v>
      </c>
      <c r="N367">
        <f>IFERROR(VLOOKUP(C367,Customers!$A:$E,3,FALSE),"")</f>
        <v>52</v>
      </c>
      <c r="O367" s="33" t="str">
        <f>IFERROR(VLOOKUP(E367,Sales_Reps!$A:$C,3,FALSE),"")</f>
        <v>South</v>
      </c>
      <c r="P367" s="33">
        <f>IFERROR(VLOOKUP(D367,Products!$A:$D,4,FALSE),"")</f>
        <v>464</v>
      </c>
      <c r="Q367" s="33">
        <f t="shared" si="5"/>
        <v>0.57431192660550456</v>
      </c>
    </row>
    <row r="368" spans="1:17" x14ac:dyDescent="0.3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  <c r="L368" t="str">
        <f>IFERROR(VLOOKUP(D368,Products!$A:$C,3,FALSE),"")</f>
        <v>Beauty</v>
      </c>
      <c r="M368" t="str">
        <f>IFERROR(VLOOKUP(C368,Customers!$A:$E,5,FALSE),"")</f>
        <v>SMB</v>
      </c>
      <c r="N368">
        <f>IFERROR(VLOOKUP(C368,Customers!$A:$E,3,FALSE),"")</f>
        <v>26</v>
      </c>
      <c r="O368" s="33" t="str">
        <f>IFERROR(VLOOKUP(E368,Sales_Reps!$A:$C,3,FALSE),"")</f>
        <v>East</v>
      </c>
      <c r="P368" s="33">
        <f>IFERROR(VLOOKUP(D368,Products!$A:$D,4,FALSE),"")</f>
        <v>647</v>
      </c>
      <c r="Q368" s="33">
        <f t="shared" si="5"/>
        <v>0.57987012987012987</v>
      </c>
    </row>
    <row r="369" spans="1:17" x14ac:dyDescent="0.3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  <c r="L369" t="str">
        <f>IFERROR(VLOOKUP(D369,Products!$A:$C,3,FALSE),"")</f>
        <v>Electronics</v>
      </c>
      <c r="M369" t="str">
        <f>IFERROR(VLOOKUP(C369,Customers!$A:$E,5,FALSE),"")</f>
        <v>Retail</v>
      </c>
      <c r="N369">
        <f>IFERROR(VLOOKUP(C369,Customers!$A:$E,3,FALSE),"")</f>
        <v>49</v>
      </c>
      <c r="O369" s="33" t="str">
        <f>IFERROR(VLOOKUP(E369,Sales_Reps!$A:$C,3,FALSE),"")</f>
        <v>West</v>
      </c>
      <c r="P369" s="33">
        <f>IFERROR(VLOOKUP(D369,Products!$A:$D,4,FALSE),"")</f>
        <v>1052</v>
      </c>
      <c r="Q369" s="33">
        <f t="shared" si="5"/>
        <v>0.5953846153846154</v>
      </c>
    </row>
    <row r="370" spans="1:17" x14ac:dyDescent="0.3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  <c r="L370" t="str">
        <f>IFERROR(VLOOKUP(D370,Products!$A:$C,3,FALSE),"")</f>
        <v>Sports</v>
      </c>
      <c r="M370" t="str">
        <f>IFERROR(VLOOKUP(C370,Customers!$A:$E,5,FALSE),"")</f>
        <v>Retail</v>
      </c>
      <c r="N370">
        <f>IFERROR(VLOOKUP(C370,Customers!$A:$E,3,FALSE),"")</f>
        <v>26</v>
      </c>
      <c r="O370" s="33" t="str">
        <f>IFERROR(VLOOKUP(E370,Sales_Reps!$A:$C,3,FALSE),"")</f>
        <v>North</v>
      </c>
      <c r="P370" s="33">
        <f>IFERROR(VLOOKUP(D370,Products!$A:$D,4,FALSE),"")</f>
        <v>147</v>
      </c>
      <c r="Q370" s="33">
        <f t="shared" si="5"/>
        <v>0.22631578947368422</v>
      </c>
    </row>
    <row r="371" spans="1:17" x14ac:dyDescent="0.3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  <c r="L371" t="str">
        <f>IFERROR(VLOOKUP(D371,Products!$A:$C,3,FALSE),"")</f>
        <v>Apparel</v>
      </c>
      <c r="M371" t="str">
        <f>IFERROR(VLOOKUP(C371,Customers!$A:$E,5,FALSE),"")</f>
        <v>Corporate</v>
      </c>
      <c r="N371">
        <f>IFERROR(VLOOKUP(C371,Customers!$A:$E,3,FALSE),"")</f>
        <v>42</v>
      </c>
      <c r="O371" s="33" t="str">
        <f>IFERROR(VLOOKUP(E371,Sales_Reps!$A:$C,3,FALSE),"")</f>
        <v>South</v>
      </c>
      <c r="P371" s="33">
        <f>IFERROR(VLOOKUP(D371,Products!$A:$D,4,FALSE),"")</f>
        <v>1173</v>
      </c>
      <c r="Q371" s="33">
        <f t="shared" si="5"/>
        <v>0.52701612903225803</v>
      </c>
    </row>
    <row r="372" spans="1:17" x14ac:dyDescent="0.3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  <c r="L372" t="str">
        <f>IFERROR(VLOOKUP(D372,Products!$A:$C,3,FALSE),"")</f>
        <v>Beauty</v>
      </c>
      <c r="M372" t="str">
        <f>IFERROR(VLOOKUP(C372,Customers!$A:$E,5,FALSE),"")</f>
        <v>Retail</v>
      </c>
      <c r="N372">
        <f>IFERROR(VLOOKUP(C372,Customers!$A:$E,3,FALSE),"")</f>
        <v>35</v>
      </c>
      <c r="O372" s="33" t="str">
        <f>IFERROR(VLOOKUP(E372,Sales_Reps!$A:$C,3,FALSE),"")</f>
        <v>North</v>
      </c>
      <c r="P372" s="33">
        <f>IFERROR(VLOOKUP(D372,Products!$A:$D,4,FALSE),"")</f>
        <v>1219</v>
      </c>
      <c r="Q372" s="33">
        <f t="shared" si="5"/>
        <v>0.46768558951965067</v>
      </c>
    </row>
    <row r="373" spans="1:17" x14ac:dyDescent="0.3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  <c r="L373" t="str">
        <f>IFERROR(VLOOKUP(D373,Products!$A:$C,3,FALSE),"")</f>
        <v>Beauty</v>
      </c>
      <c r="M373" t="str">
        <f>IFERROR(VLOOKUP(C373,Customers!$A:$E,5,FALSE),"")</f>
        <v>Retail</v>
      </c>
      <c r="N373">
        <f>IFERROR(VLOOKUP(C373,Customers!$A:$E,3,FALSE),"")</f>
        <v>64</v>
      </c>
      <c r="O373" s="33" t="str">
        <f>IFERROR(VLOOKUP(E373,Sales_Reps!$A:$C,3,FALSE),"")</f>
        <v>South</v>
      </c>
      <c r="P373" s="33">
        <f>IFERROR(VLOOKUP(D373,Products!$A:$D,4,FALSE),"")</f>
        <v>647</v>
      </c>
      <c r="Q373" s="33">
        <f t="shared" si="5"/>
        <v>0.57987012987012987</v>
      </c>
    </row>
    <row r="374" spans="1:17" x14ac:dyDescent="0.3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  <c r="L374" t="str">
        <f>IFERROR(VLOOKUP(D374,Products!$A:$C,3,FALSE),"")</f>
        <v>Home</v>
      </c>
      <c r="M374" t="str">
        <f>IFERROR(VLOOKUP(C374,Customers!$A:$E,5,FALSE),"")</f>
        <v>SMB</v>
      </c>
      <c r="N374">
        <f>IFERROR(VLOOKUP(C374,Customers!$A:$E,3,FALSE),"")</f>
        <v>28</v>
      </c>
      <c r="O374" s="33" t="str">
        <f>IFERROR(VLOOKUP(E374,Sales_Reps!$A:$C,3,FALSE),"")</f>
        <v>West</v>
      </c>
      <c r="P374" s="33">
        <f>IFERROR(VLOOKUP(D374,Products!$A:$D,4,FALSE),"")</f>
        <v>2459</v>
      </c>
      <c r="Q374" s="33">
        <f t="shared" si="5"/>
        <v>0.51594488188976373</v>
      </c>
    </row>
    <row r="375" spans="1:17" x14ac:dyDescent="0.3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  <c r="L375" t="str">
        <f>IFERROR(VLOOKUP(D375,Products!$A:$C,3,FALSE),"")</f>
        <v>Apparel</v>
      </c>
      <c r="M375" t="str">
        <f>IFERROR(VLOOKUP(C375,Customers!$A:$E,5,FALSE),"")</f>
        <v>Retail</v>
      </c>
      <c r="N375">
        <f>IFERROR(VLOOKUP(C375,Customers!$A:$E,3,FALSE),"")</f>
        <v>57</v>
      </c>
      <c r="O375" s="33" t="str">
        <f>IFERROR(VLOOKUP(E375,Sales_Reps!$A:$C,3,FALSE),"")</f>
        <v>South</v>
      </c>
      <c r="P375" s="33">
        <f>IFERROR(VLOOKUP(D375,Products!$A:$D,4,FALSE),"")</f>
        <v>1075</v>
      </c>
      <c r="Q375" s="33">
        <f t="shared" si="5"/>
        <v>0.57171314741035861</v>
      </c>
    </row>
    <row r="376" spans="1:17" x14ac:dyDescent="0.3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  <c r="L376" t="str">
        <f>IFERROR(VLOOKUP(D376,Products!$A:$C,3,FALSE),"")</f>
        <v>Beauty</v>
      </c>
      <c r="M376" t="str">
        <f>IFERROR(VLOOKUP(C376,Customers!$A:$E,5,FALSE),"")</f>
        <v>SMB</v>
      </c>
      <c r="N376">
        <f>IFERROR(VLOOKUP(C376,Customers!$A:$E,3,FALSE),"")</f>
        <v>28</v>
      </c>
      <c r="O376" s="33" t="str">
        <f>IFERROR(VLOOKUP(E376,Sales_Reps!$A:$C,3,FALSE),"")</f>
        <v>South</v>
      </c>
      <c r="P376" s="33">
        <f>IFERROR(VLOOKUP(D376,Products!$A:$D,4,FALSE),"")</f>
        <v>1219</v>
      </c>
      <c r="Q376" s="33">
        <f t="shared" si="5"/>
        <v>0.46768558951965067</v>
      </c>
    </row>
    <row r="377" spans="1:17" x14ac:dyDescent="0.3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  <c r="L377" t="str">
        <f>IFERROR(VLOOKUP(D377,Products!$A:$C,3,FALSE),"")</f>
        <v>Sports</v>
      </c>
      <c r="M377" t="str">
        <f>IFERROR(VLOOKUP(C377,Customers!$A:$E,5,FALSE),"")</f>
        <v>Retail</v>
      </c>
      <c r="N377">
        <f>IFERROR(VLOOKUP(C377,Customers!$A:$E,3,FALSE),"")</f>
        <v>28</v>
      </c>
      <c r="O377" s="33" t="str">
        <f>IFERROR(VLOOKUP(E377,Sales_Reps!$A:$C,3,FALSE),"")</f>
        <v>North</v>
      </c>
      <c r="P377" s="33">
        <f>IFERROR(VLOOKUP(D377,Products!$A:$D,4,FALSE),"")</f>
        <v>302</v>
      </c>
      <c r="Q377" s="33">
        <f t="shared" si="5"/>
        <v>0.35744680851063831</v>
      </c>
    </row>
    <row r="378" spans="1:17" x14ac:dyDescent="0.3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  <c r="L378" t="str">
        <f>IFERROR(VLOOKUP(D378,Products!$A:$C,3,FALSE),"")</f>
        <v>Beauty</v>
      </c>
      <c r="M378" t="str">
        <f>IFERROR(VLOOKUP(C378,Customers!$A:$E,5,FALSE),"")</f>
        <v>SMB</v>
      </c>
      <c r="N378">
        <f>IFERROR(VLOOKUP(C378,Customers!$A:$E,3,FALSE),"")</f>
        <v>36</v>
      </c>
      <c r="O378" s="33" t="str">
        <f>IFERROR(VLOOKUP(E378,Sales_Reps!$A:$C,3,FALSE),"")</f>
        <v>South</v>
      </c>
      <c r="P378" s="33">
        <f>IFERROR(VLOOKUP(D378,Products!$A:$D,4,FALSE),"")</f>
        <v>2237</v>
      </c>
      <c r="Q378" s="33">
        <f t="shared" si="5"/>
        <v>0.56137254901960787</v>
      </c>
    </row>
    <row r="379" spans="1:17" x14ac:dyDescent="0.3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  <c r="L379" t="str">
        <f>IFERROR(VLOOKUP(D379,Products!$A:$C,3,FALSE),"")</f>
        <v>Electronics</v>
      </c>
      <c r="M379" t="str">
        <f>IFERROR(VLOOKUP(C379,Customers!$A:$E,5,FALSE),"")</f>
        <v>SMB</v>
      </c>
      <c r="N379">
        <f>IFERROR(VLOOKUP(C379,Customers!$A:$E,3,FALSE),"")</f>
        <v>59</v>
      </c>
      <c r="O379" s="33" t="str">
        <f>IFERROR(VLOOKUP(E379,Sales_Reps!$A:$C,3,FALSE),"")</f>
        <v>South</v>
      </c>
      <c r="P379" s="33">
        <f>IFERROR(VLOOKUP(D379,Products!$A:$D,4,FALSE),"")</f>
        <v>2405</v>
      </c>
      <c r="Q379" s="33">
        <f t="shared" si="5"/>
        <v>0.54878048780487809</v>
      </c>
    </row>
    <row r="380" spans="1:17" x14ac:dyDescent="0.3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  <c r="L380" t="str">
        <f>IFERROR(VLOOKUP(D380,Products!$A:$C,3,FALSE),"")</f>
        <v>Home</v>
      </c>
      <c r="M380" t="str">
        <f>IFERROR(VLOOKUP(C380,Customers!$A:$E,5,FALSE),"")</f>
        <v>Retail</v>
      </c>
      <c r="N380">
        <f>IFERROR(VLOOKUP(C380,Customers!$A:$E,3,FALSE),"")</f>
        <v>27</v>
      </c>
      <c r="O380" s="33" t="str">
        <f>IFERROR(VLOOKUP(E380,Sales_Reps!$A:$C,3,FALSE),"")</f>
        <v>West</v>
      </c>
      <c r="P380" s="33">
        <f>IFERROR(VLOOKUP(D380,Products!$A:$D,4,FALSE),"")</f>
        <v>1143</v>
      </c>
      <c r="Q380" s="33">
        <f t="shared" si="5"/>
        <v>0.43694581280788175</v>
      </c>
    </row>
    <row r="381" spans="1:17" x14ac:dyDescent="0.3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  <c r="L381" t="str">
        <f>IFERROR(VLOOKUP(D381,Products!$A:$C,3,FALSE),"")</f>
        <v>Home</v>
      </c>
      <c r="M381" t="str">
        <f>IFERROR(VLOOKUP(C381,Customers!$A:$E,5,FALSE),"")</f>
        <v>SMB</v>
      </c>
      <c r="N381">
        <f>IFERROR(VLOOKUP(C381,Customers!$A:$E,3,FALSE),"")</f>
        <v>29</v>
      </c>
      <c r="O381" s="33" t="str">
        <f>IFERROR(VLOOKUP(E381,Sales_Reps!$A:$C,3,FALSE),"")</f>
        <v>North</v>
      </c>
      <c r="P381" s="33">
        <f>IFERROR(VLOOKUP(D381,Products!$A:$D,4,FALSE),"")</f>
        <v>2459</v>
      </c>
      <c r="Q381" s="33">
        <f t="shared" si="5"/>
        <v>0.51594488188976373</v>
      </c>
    </row>
    <row r="382" spans="1:17" x14ac:dyDescent="0.3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  <c r="L382" t="str">
        <f>IFERROR(VLOOKUP(D382,Products!$A:$C,3,FALSE),"")</f>
        <v>Grocery</v>
      </c>
      <c r="M382" t="str">
        <f>IFERROR(VLOOKUP(C382,Customers!$A:$E,5,FALSE),"")</f>
        <v>SMB</v>
      </c>
      <c r="N382">
        <f>IFERROR(VLOOKUP(C382,Customers!$A:$E,3,FALSE),"")</f>
        <v>40</v>
      </c>
      <c r="O382" s="33" t="str">
        <f>IFERROR(VLOOKUP(E382,Sales_Reps!$A:$C,3,FALSE),"")</f>
        <v>South</v>
      </c>
      <c r="P382" s="33">
        <f>IFERROR(VLOOKUP(D382,Products!$A:$D,4,FALSE),"")</f>
        <v>1182</v>
      </c>
      <c r="Q382" s="33">
        <f t="shared" si="5"/>
        <v>0.50336134453781511</v>
      </c>
    </row>
    <row r="383" spans="1:17" x14ac:dyDescent="0.3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  <c r="L383" t="str">
        <f>IFERROR(VLOOKUP(D383,Products!$A:$C,3,FALSE),"")</f>
        <v>Beauty</v>
      </c>
      <c r="M383" t="str">
        <f>IFERROR(VLOOKUP(C383,Customers!$A:$E,5,FALSE),"")</f>
        <v>SMB</v>
      </c>
      <c r="N383">
        <f>IFERROR(VLOOKUP(C383,Customers!$A:$E,3,FALSE),"")</f>
        <v>55</v>
      </c>
      <c r="O383" s="33" t="str">
        <f>IFERROR(VLOOKUP(E383,Sales_Reps!$A:$C,3,FALSE),"")</f>
        <v>West</v>
      </c>
      <c r="P383" s="33">
        <f>IFERROR(VLOOKUP(D383,Products!$A:$D,4,FALSE),"")</f>
        <v>647</v>
      </c>
      <c r="Q383" s="33">
        <f t="shared" si="5"/>
        <v>0.57987012987012987</v>
      </c>
    </row>
    <row r="384" spans="1:17" x14ac:dyDescent="0.3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  <c r="L384" t="str">
        <f>IFERROR(VLOOKUP(D384,Products!$A:$C,3,FALSE),"")</f>
        <v>Grocery</v>
      </c>
      <c r="M384" t="str">
        <f>IFERROR(VLOOKUP(C384,Customers!$A:$E,5,FALSE),"")</f>
        <v>Retail</v>
      </c>
      <c r="N384">
        <f>IFERROR(VLOOKUP(C384,Customers!$A:$E,3,FALSE),"")</f>
        <v>31</v>
      </c>
      <c r="O384" s="33" t="str">
        <f>IFERROR(VLOOKUP(E384,Sales_Reps!$A:$C,3,FALSE),"")</f>
        <v>West</v>
      </c>
      <c r="P384" s="33">
        <f>IFERROR(VLOOKUP(D384,Products!$A:$D,4,FALSE),"")</f>
        <v>1203</v>
      </c>
      <c r="Q384" s="33">
        <f t="shared" si="5"/>
        <v>0.47004405286343615</v>
      </c>
    </row>
    <row r="385" spans="1:17" x14ac:dyDescent="0.3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  <c r="L385" t="str">
        <f>IFERROR(VLOOKUP(D385,Products!$A:$C,3,FALSE),"")</f>
        <v>Apparel</v>
      </c>
      <c r="M385" t="str">
        <f>IFERROR(VLOOKUP(C385,Customers!$A:$E,5,FALSE),"")</f>
        <v>SMB</v>
      </c>
      <c r="N385">
        <f>IFERROR(VLOOKUP(C385,Customers!$A:$E,3,FALSE),"")</f>
        <v>60</v>
      </c>
      <c r="O385" s="33" t="str">
        <f>IFERROR(VLOOKUP(E385,Sales_Reps!$A:$C,3,FALSE),"")</f>
        <v>West</v>
      </c>
      <c r="P385" s="33">
        <f>IFERROR(VLOOKUP(D385,Products!$A:$D,4,FALSE),"")</f>
        <v>1173</v>
      </c>
      <c r="Q385" s="33">
        <f t="shared" si="5"/>
        <v>0.52701612903225803</v>
      </c>
    </row>
    <row r="386" spans="1:17" x14ac:dyDescent="0.3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  <c r="L386" t="str">
        <f>IFERROR(VLOOKUP(D386,Products!$A:$C,3,FALSE),"")</f>
        <v>Apparel</v>
      </c>
      <c r="M386" t="str">
        <f>IFERROR(VLOOKUP(C386,Customers!$A:$E,5,FALSE),"")</f>
        <v>SMB</v>
      </c>
      <c r="N386">
        <f>IFERROR(VLOOKUP(C386,Customers!$A:$E,3,FALSE),"")</f>
        <v>57</v>
      </c>
      <c r="O386" s="33" t="str">
        <f>IFERROR(VLOOKUP(E386,Sales_Reps!$A:$C,3,FALSE),"")</f>
        <v>East</v>
      </c>
      <c r="P386" s="33">
        <f>IFERROR(VLOOKUP(D386,Products!$A:$D,4,FALSE),"")</f>
        <v>2629</v>
      </c>
      <c r="Q386" s="33">
        <f t="shared" si="5"/>
        <v>0.26151685393258428</v>
      </c>
    </row>
    <row r="387" spans="1:17" x14ac:dyDescent="0.3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  <c r="L387" t="str">
        <f>IFERROR(VLOOKUP(D387,Products!$A:$C,3,FALSE),"")</f>
        <v>Electronics</v>
      </c>
      <c r="M387" t="str">
        <f>IFERROR(VLOOKUP(C387,Customers!$A:$E,5,FALSE),"")</f>
        <v>Retail</v>
      </c>
      <c r="N387">
        <f>IFERROR(VLOOKUP(C387,Customers!$A:$E,3,FALSE),"")</f>
        <v>50</v>
      </c>
      <c r="O387" s="33" t="str">
        <f>IFERROR(VLOOKUP(E387,Sales_Reps!$A:$C,3,FALSE),"")</f>
        <v>North</v>
      </c>
      <c r="P387" s="33">
        <f>IFERROR(VLOOKUP(D387,Products!$A:$D,4,FALSE),"")</f>
        <v>1259</v>
      </c>
      <c r="Q387" s="33">
        <f t="shared" ref="Q387:Q450" si="6">IFERROR((G387-P387)/G387,"")</f>
        <v>0.52669172932330832</v>
      </c>
    </row>
    <row r="388" spans="1:17" x14ac:dyDescent="0.3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  <c r="L388" t="str">
        <f>IFERROR(VLOOKUP(D388,Products!$A:$C,3,FALSE),"")</f>
        <v>Electronics</v>
      </c>
      <c r="M388" t="str">
        <f>IFERROR(VLOOKUP(C388,Customers!$A:$E,5,FALSE),"")</f>
        <v>Retail</v>
      </c>
      <c r="N388">
        <f>IFERROR(VLOOKUP(C388,Customers!$A:$E,3,FALSE),"")</f>
        <v>50</v>
      </c>
      <c r="O388" s="33" t="str">
        <f>IFERROR(VLOOKUP(E388,Sales_Reps!$A:$C,3,FALSE),"")</f>
        <v>South</v>
      </c>
      <c r="P388" s="33">
        <f>IFERROR(VLOOKUP(D388,Products!$A:$D,4,FALSE),"")</f>
        <v>517</v>
      </c>
      <c r="Q388" s="33">
        <f t="shared" si="6"/>
        <v>0.57622950819672136</v>
      </c>
    </row>
    <row r="389" spans="1:17" x14ac:dyDescent="0.3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  <c r="L389" t="str">
        <f>IFERROR(VLOOKUP(D389,Products!$A:$C,3,FALSE),"")</f>
        <v>Electronics</v>
      </c>
      <c r="M389" t="str">
        <f>IFERROR(VLOOKUP(C389,Customers!$A:$E,5,FALSE),"")</f>
        <v>SMB</v>
      </c>
      <c r="N389">
        <f>IFERROR(VLOOKUP(C389,Customers!$A:$E,3,FALSE),"")</f>
        <v>35</v>
      </c>
      <c r="O389" s="33" t="str">
        <f>IFERROR(VLOOKUP(E389,Sales_Reps!$A:$C,3,FALSE),"")</f>
        <v>South</v>
      </c>
      <c r="P389" s="33">
        <f>IFERROR(VLOOKUP(D389,Products!$A:$D,4,FALSE),"")</f>
        <v>1052</v>
      </c>
      <c r="Q389" s="33">
        <f t="shared" si="6"/>
        <v>0.5953846153846154</v>
      </c>
    </row>
    <row r="390" spans="1:17" x14ac:dyDescent="0.3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  <c r="L390" t="str">
        <f>IFERROR(VLOOKUP(D390,Products!$A:$C,3,FALSE),"")</f>
        <v>Apparel</v>
      </c>
      <c r="M390" t="str">
        <f>IFERROR(VLOOKUP(C390,Customers!$A:$E,5,FALSE),"")</f>
        <v>Retail</v>
      </c>
      <c r="N390">
        <f>IFERROR(VLOOKUP(C390,Customers!$A:$E,3,FALSE),"")</f>
        <v>49</v>
      </c>
      <c r="O390" s="33" t="str">
        <f>IFERROR(VLOOKUP(E390,Sales_Reps!$A:$C,3,FALSE),"")</f>
        <v>East</v>
      </c>
      <c r="P390" s="33">
        <f>IFERROR(VLOOKUP(D390,Products!$A:$D,4,FALSE),"")</f>
        <v>1748</v>
      </c>
      <c r="Q390" s="33">
        <f t="shared" si="6"/>
        <v>0.49333333333333335</v>
      </c>
    </row>
    <row r="391" spans="1:17" x14ac:dyDescent="0.3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  <c r="L391" t="str">
        <f>IFERROR(VLOOKUP(D391,Products!$A:$C,3,FALSE),"")</f>
        <v>Sports</v>
      </c>
      <c r="M391" t="str">
        <f>IFERROR(VLOOKUP(C391,Customers!$A:$E,5,FALSE),"")</f>
        <v>Retail</v>
      </c>
      <c r="N391">
        <f>IFERROR(VLOOKUP(C391,Customers!$A:$E,3,FALSE),"")</f>
        <v>26</v>
      </c>
      <c r="O391" s="33" t="str">
        <f>IFERROR(VLOOKUP(E391,Sales_Reps!$A:$C,3,FALSE),"")</f>
        <v>East</v>
      </c>
      <c r="P391" s="33">
        <f>IFERROR(VLOOKUP(D391,Products!$A:$D,4,FALSE),"")</f>
        <v>2827</v>
      </c>
      <c r="Q391" s="33">
        <f t="shared" si="6"/>
        <v>0.5926512968299712</v>
      </c>
    </row>
    <row r="392" spans="1:17" x14ac:dyDescent="0.3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  <c r="L392" t="str">
        <f>IFERROR(VLOOKUP(D392,Products!$A:$C,3,FALSE),"")</f>
        <v>Beauty</v>
      </c>
      <c r="M392" t="str">
        <f>IFERROR(VLOOKUP(C392,Customers!$A:$E,5,FALSE),"")</f>
        <v>Retail</v>
      </c>
      <c r="N392">
        <f>IFERROR(VLOOKUP(C392,Customers!$A:$E,3,FALSE),"")</f>
        <v>22</v>
      </c>
      <c r="O392" s="33" t="str">
        <f>IFERROR(VLOOKUP(E392,Sales_Reps!$A:$C,3,FALSE),"")</f>
        <v>North</v>
      </c>
      <c r="P392" s="33">
        <f>IFERROR(VLOOKUP(D392,Products!$A:$D,4,FALSE),"")</f>
        <v>1728</v>
      </c>
      <c r="Q392" s="33">
        <f t="shared" si="6"/>
        <v>0.48417910447761192</v>
      </c>
    </row>
    <row r="393" spans="1:17" x14ac:dyDescent="0.3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  <c r="L393" t="str">
        <f>IFERROR(VLOOKUP(D393,Products!$A:$C,3,FALSE),"")</f>
        <v>Beauty</v>
      </c>
      <c r="M393" t="str">
        <f>IFERROR(VLOOKUP(C393,Customers!$A:$E,5,FALSE),"")</f>
        <v>Retail</v>
      </c>
      <c r="N393">
        <f>IFERROR(VLOOKUP(C393,Customers!$A:$E,3,FALSE),"")</f>
        <v>63</v>
      </c>
      <c r="O393" s="33" t="str">
        <f>IFERROR(VLOOKUP(E393,Sales_Reps!$A:$C,3,FALSE),"")</f>
        <v>West</v>
      </c>
      <c r="P393" s="33">
        <f>IFERROR(VLOOKUP(D393,Products!$A:$D,4,FALSE),"")</f>
        <v>647</v>
      </c>
      <c r="Q393" s="33">
        <f t="shared" si="6"/>
        <v>0.57987012987012987</v>
      </c>
    </row>
    <row r="394" spans="1:17" x14ac:dyDescent="0.3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  <c r="L394" t="str">
        <f>IFERROR(VLOOKUP(D394,Products!$A:$C,3,FALSE),"")</f>
        <v>Apparel</v>
      </c>
      <c r="M394" t="str">
        <f>IFERROR(VLOOKUP(C394,Customers!$A:$E,5,FALSE),"")</f>
        <v/>
      </c>
      <c r="N394" t="str">
        <f>IFERROR(VLOOKUP(C394,Customers!$A:$E,3,FALSE),"")</f>
        <v/>
      </c>
      <c r="O394" s="33" t="str">
        <f>IFERROR(VLOOKUP(E394,Sales_Reps!$A:$C,3,FALSE),"")</f>
        <v>West</v>
      </c>
      <c r="P394" s="33">
        <f>IFERROR(VLOOKUP(D394,Products!$A:$D,4,FALSE),"")</f>
        <v>2509</v>
      </c>
      <c r="Q394" s="33">
        <f t="shared" si="6"/>
        <v>0.3069060773480663</v>
      </c>
    </row>
    <row r="395" spans="1:17" x14ac:dyDescent="0.3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  <c r="L395" t="str">
        <f>IFERROR(VLOOKUP(D395,Products!$A:$C,3,FALSE),"")</f>
        <v>Sports</v>
      </c>
      <c r="M395" t="str">
        <f>IFERROR(VLOOKUP(C395,Customers!$A:$E,5,FALSE),"")</f>
        <v>SMB</v>
      </c>
      <c r="N395">
        <f>IFERROR(VLOOKUP(C395,Customers!$A:$E,3,FALSE),"")</f>
        <v>29</v>
      </c>
      <c r="O395" s="33" t="str">
        <f>IFERROR(VLOOKUP(E395,Sales_Reps!$A:$C,3,FALSE),"")</f>
        <v>West</v>
      </c>
      <c r="P395" s="33">
        <f>IFERROR(VLOOKUP(D395,Products!$A:$D,4,FALSE),"")</f>
        <v>302</v>
      </c>
      <c r="Q395" s="33">
        <f t="shared" si="6"/>
        <v>0.35744680851063831</v>
      </c>
    </row>
    <row r="396" spans="1:17" x14ac:dyDescent="0.3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  <c r="L396" t="str">
        <f>IFERROR(VLOOKUP(D396,Products!$A:$C,3,FALSE),"")</f>
        <v>Grocery</v>
      </c>
      <c r="M396" t="str">
        <f>IFERROR(VLOOKUP(C396,Customers!$A:$E,5,FALSE),"")</f>
        <v>SMB</v>
      </c>
      <c r="N396">
        <f>IFERROR(VLOOKUP(C396,Customers!$A:$E,3,FALSE),"")</f>
        <v>39</v>
      </c>
      <c r="O396" s="33" t="str">
        <f>IFERROR(VLOOKUP(E396,Sales_Reps!$A:$C,3,FALSE),"")</f>
        <v>South</v>
      </c>
      <c r="P396" s="33">
        <f>IFERROR(VLOOKUP(D396,Products!$A:$D,4,FALSE),"")</f>
        <v>2214</v>
      </c>
      <c r="Q396" s="33">
        <f t="shared" si="6"/>
        <v>0.39508196721311473</v>
      </c>
    </row>
    <row r="397" spans="1:17" x14ac:dyDescent="0.3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  <c r="L397" t="str">
        <f>IFERROR(VLOOKUP(D397,Products!$A:$C,3,FALSE),"")</f>
        <v>Sports</v>
      </c>
      <c r="M397" t="str">
        <f>IFERROR(VLOOKUP(C397,Customers!$A:$E,5,FALSE),"")</f>
        <v>Corporate</v>
      </c>
      <c r="N397">
        <f>IFERROR(VLOOKUP(C397,Customers!$A:$E,3,FALSE),"")</f>
        <v>57</v>
      </c>
      <c r="O397" s="33" t="str">
        <f>IFERROR(VLOOKUP(E397,Sales_Reps!$A:$C,3,FALSE),"")</f>
        <v>East</v>
      </c>
      <c r="P397" s="33">
        <f>IFERROR(VLOOKUP(D397,Products!$A:$D,4,FALSE),"")</f>
        <v>2827</v>
      </c>
      <c r="Q397" s="33">
        <f t="shared" si="6"/>
        <v>0.5926512968299712</v>
      </c>
    </row>
    <row r="398" spans="1:17" x14ac:dyDescent="0.3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  <c r="L398" t="str">
        <f>IFERROR(VLOOKUP(D398,Products!$A:$C,3,FALSE),"")</f>
        <v>Beauty</v>
      </c>
      <c r="M398" t="str">
        <f>IFERROR(VLOOKUP(C398,Customers!$A:$E,5,FALSE),"")</f>
        <v>Corporate</v>
      </c>
      <c r="N398">
        <f>IFERROR(VLOOKUP(C398,Customers!$A:$E,3,FALSE),"")</f>
        <v>40</v>
      </c>
      <c r="O398" s="33" t="str">
        <f>IFERROR(VLOOKUP(E398,Sales_Reps!$A:$C,3,FALSE),"")</f>
        <v>North</v>
      </c>
      <c r="P398" s="33">
        <f>IFERROR(VLOOKUP(D398,Products!$A:$D,4,FALSE),"")</f>
        <v>1219</v>
      </c>
      <c r="Q398" s="33">
        <f t="shared" si="6"/>
        <v>0.46768558951965067</v>
      </c>
    </row>
    <row r="399" spans="1:17" x14ac:dyDescent="0.3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  <c r="L399" t="str">
        <f>IFERROR(VLOOKUP(D399,Products!$A:$C,3,FALSE),"")</f>
        <v>Apparel</v>
      </c>
      <c r="M399" t="str">
        <f>IFERROR(VLOOKUP(C399,Customers!$A:$E,5,FALSE),"")</f>
        <v>Retail</v>
      </c>
      <c r="N399">
        <f>IFERROR(VLOOKUP(C399,Customers!$A:$E,3,FALSE),"")</f>
        <v>61</v>
      </c>
      <c r="O399" s="33" t="str">
        <f>IFERROR(VLOOKUP(E399,Sales_Reps!$A:$C,3,FALSE),"")</f>
        <v>West</v>
      </c>
      <c r="P399" s="33">
        <f>IFERROR(VLOOKUP(D399,Products!$A:$D,4,FALSE),"")</f>
        <v>1886</v>
      </c>
      <c r="Q399" s="33">
        <f t="shared" si="6"/>
        <v>0.4031645569620253</v>
      </c>
    </row>
    <row r="400" spans="1:17" x14ac:dyDescent="0.3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  <c r="L400" t="str">
        <f>IFERROR(VLOOKUP(D400,Products!$A:$C,3,FALSE),"")</f>
        <v>Home</v>
      </c>
      <c r="M400" t="str">
        <f>IFERROR(VLOOKUP(C400,Customers!$A:$E,5,FALSE),"")</f>
        <v>Retail</v>
      </c>
      <c r="N400">
        <f>IFERROR(VLOOKUP(C400,Customers!$A:$E,3,FALSE),"")</f>
        <v>36</v>
      </c>
      <c r="O400" s="33" t="str">
        <f>IFERROR(VLOOKUP(E400,Sales_Reps!$A:$C,3,FALSE),"")</f>
        <v>West</v>
      </c>
      <c r="P400" s="33">
        <f>IFERROR(VLOOKUP(D400,Products!$A:$D,4,FALSE),"")</f>
        <v>2459</v>
      </c>
      <c r="Q400" s="33">
        <f t="shared" si="6"/>
        <v>0.51594488188976373</v>
      </c>
    </row>
    <row r="401" spans="1:17" x14ac:dyDescent="0.3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  <c r="L401" t="str">
        <f>IFERROR(VLOOKUP(D401,Products!$A:$C,3,FALSE),"")</f>
        <v>Grocery</v>
      </c>
      <c r="M401" t="str">
        <f>IFERROR(VLOOKUP(C401,Customers!$A:$E,5,FALSE),"")</f>
        <v>Retail</v>
      </c>
      <c r="N401">
        <f>IFERROR(VLOOKUP(C401,Customers!$A:$E,3,FALSE),"")</f>
        <v>64</v>
      </c>
      <c r="O401" s="33" t="str">
        <f>IFERROR(VLOOKUP(E401,Sales_Reps!$A:$C,3,FALSE),"")</f>
        <v>South</v>
      </c>
      <c r="P401" s="33">
        <f>IFERROR(VLOOKUP(D401,Products!$A:$D,4,FALSE),"")</f>
        <v>1435</v>
      </c>
      <c r="Q401" s="33">
        <f t="shared" si="6"/>
        <v>0.48007246376811596</v>
      </c>
    </row>
    <row r="402" spans="1:17" x14ac:dyDescent="0.3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  <c r="L402" t="str">
        <f>IFERROR(VLOOKUP(D402,Products!$A:$C,3,FALSE),"")</f>
        <v>Electronics</v>
      </c>
      <c r="M402" t="str">
        <f>IFERROR(VLOOKUP(C402,Customers!$A:$E,5,FALSE),"")</f>
        <v/>
      </c>
      <c r="N402" t="str">
        <f>IFERROR(VLOOKUP(C402,Customers!$A:$E,3,FALSE),"")</f>
        <v/>
      </c>
      <c r="O402" s="33" t="str">
        <f>IFERROR(VLOOKUP(E402,Sales_Reps!$A:$C,3,FALSE),"")</f>
        <v>South</v>
      </c>
      <c r="P402" s="33">
        <f>IFERROR(VLOOKUP(D402,Products!$A:$D,4,FALSE),"")</f>
        <v>517</v>
      </c>
      <c r="Q402" s="33">
        <f t="shared" si="6"/>
        <v>0.57622950819672136</v>
      </c>
    </row>
    <row r="403" spans="1:17" x14ac:dyDescent="0.3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  <c r="L403" t="str">
        <f>IFERROR(VLOOKUP(D403,Products!$A:$C,3,FALSE),"")</f>
        <v>Beauty</v>
      </c>
      <c r="M403" t="str">
        <f>IFERROR(VLOOKUP(C403,Customers!$A:$E,5,FALSE),"")</f>
        <v>Retail</v>
      </c>
      <c r="N403">
        <f>IFERROR(VLOOKUP(C403,Customers!$A:$E,3,FALSE),"")</f>
        <v>41</v>
      </c>
      <c r="O403" s="33" t="str">
        <f>IFERROR(VLOOKUP(E403,Sales_Reps!$A:$C,3,FALSE),"")</f>
        <v>West</v>
      </c>
      <c r="P403" s="33">
        <f>IFERROR(VLOOKUP(D403,Products!$A:$D,4,FALSE),"")</f>
        <v>2768</v>
      </c>
      <c r="Q403" s="33">
        <f t="shared" si="6"/>
        <v>0.43278688524590164</v>
      </c>
    </row>
    <row r="404" spans="1:17" x14ac:dyDescent="0.3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  <c r="L404" t="str">
        <f>IFERROR(VLOOKUP(D404,Products!$A:$C,3,FALSE),"")</f>
        <v>Grocery</v>
      </c>
      <c r="M404" t="str">
        <f>IFERROR(VLOOKUP(C404,Customers!$A:$E,5,FALSE),"")</f>
        <v>SMB</v>
      </c>
      <c r="N404">
        <f>IFERROR(VLOOKUP(C404,Customers!$A:$E,3,FALSE),"")</f>
        <v>64</v>
      </c>
      <c r="O404" s="33" t="str">
        <f>IFERROR(VLOOKUP(E404,Sales_Reps!$A:$C,3,FALSE),"")</f>
        <v>East</v>
      </c>
      <c r="P404" s="33">
        <f>IFERROR(VLOOKUP(D404,Products!$A:$D,4,FALSE),"")</f>
        <v>2027</v>
      </c>
      <c r="Q404" s="33">
        <f t="shared" si="6"/>
        <v>0.50196560196560192</v>
      </c>
    </row>
    <row r="405" spans="1:17" x14ac:dyDescent="0.3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  <c r="L405" t="str">
        <f>IFERROR(VLOOKUP(D405,Products!$A:$C,3,FALSE),"")</f>
        <v>Electronics</v>
      </c>
      <c r="M405" t="str">
        <f>IFERROR(VLOOKUP(C405,Customers!$A:$E,5,FALSE),"")</f>
        <v>SMB</v>
      </c>
      <c r="N405">
        <f>IFERROR(VLOOKUP(C405,Customers!$A:$E,3,FALSE),"")</f>
        <v>65</v>
      </c>
      <c r="O405" s="33" t="str">
        <f>IFERROR(VLOOKUP(E405,Sales_Reps!$A:$C,3,FALSE),"")</f>
        <v>West</v>
      </c>
      <c r="P405" s="33">
        <f>IFERROR(VLOOKUP(D405,Products!$A:$D,4,FALSE),"")</f>
        <v>2865</v>
      </c>
      <c r="Q405" s="33">
        <f t="shared" si="6"/>
        <v>0.27833753148614609</v>
      </c>
    </row>
    <row r="406" spans="1:17" x14ac:dyDescent="0.3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  <c r="L406" t="str">
        <f>IFERROR(VLOOKUP(D406,Products!$A:$C,3,FALSE),"")</f>
        <v>Electronics</v>
      </c>
      <c r="M406" t="str">
        <f>IFERROR(VLOOKUP(C406,Customers!$A:$E,5,FALSE),"")</f>
        <v>Corporate</v>
      </c>
      <c r="N406">
        <f>IFERROR(VLOOKUP(C406,Customers!$A:$E,3,FALSE),"")</f>
        <v>55</v>
      </c>
      <c r="O406" s="33" t="str">
        <f>IFERROR(VLOOKUP(E406,Sales_Reps!$A:$C,3,FALSE),"")</f>
        <v>East</v>
      </c>
      <c r="P406" s="33">
        <f>IFERROR(VLOOKUP(D406,Products!$A:$D,4,FALSE),"")</f>
        <v>1259</v>
      </c>
      <c r="Q406" s="33">
        <f t="shared" si="6"/>
        <v>0.52669172932330832</v>
      </c>
    </row>
    <row r="407" spans="1:17" x14ac:dyDescent="0.3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  <c r="L407" t="str">
        <f>IFERROR(VLOOKUP(D407,Products!$A:$C,3,FALSE),"")</f>
        <v>Sports</v>
      </c>
      <c r="M407" t="str">
        <f>IFERROR(VLOOKUP(C407,Customers!$A:$E,5,FALSE),"")</f>
        <v>Retail</v>
      </c>
      <c r="N407">
        <f>IFERROR(VLOOKUP(C407,Customers!$A:$E,3,FALSE),"")</f>
        <v>36</v>
      </c>
      <c r="O407" s="33" t="str">
        <f>IFERROR(VLOOKUP(E407,Sales_Reps!$A:$C,3,FALSE),"")</f>
        <v>East</v>
      </c>
      <c r="P407" s="33">
        <f>IFERROR(VLOOKUP(D407,Products!$A:$D,4,FALSE),"")</f>
        <v>2028</v>
      </c>
      <c r="Q407" s="33">
        <f t="shared" si="6"/>
        <v>0.29090909090909089</v>
      </c>
    </row>
    <row r="408" spans="1:17" x14ac:dyDescent="0.3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  <c r="L408" t="str">
        <f>IFERROR(VLOOKUP(D408,Products!$A:$C,3,FALSE),"")</f>
        <v>Electronics</v>
      </c>
      <c r="M408" t="str">
        <f>IFERROR(VLOOKUP(C408,Customers!$A:$E,5,FALSE),"")</f>
        <v>Retail</v>
      </c>
      <c r="N408">
        <f>IFERROR(VLOOKUP(C408,Customers!$A:$E,3,FALSE),"")</f>
        <v>35</v>
      </c>
      <c r="O408" s="33" t="str">
        <f>IFERROR(VLOOKUP(E408,Sales_Reps!$A:$C,3,FALSE),"")</f>
        <v>North</v>
      </c>
      <c r="P408" s="33">
        <f>IFERROR(VLOOKUP(D408,Products!$A:$D,4,FALSE),"")</f>
        <v>517</v>
      </c>
      <c r="Q408" s="33">
        <f t="shared" si="6"/>
        <v>0.57622950819672136</v>
      </c>
    </row>
    <row r="409" spans="1:17" x14ac:dyDescent="0.3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  <c r="L409" t="str">
        <f>IFERROR(VLOOKUP(D409,Products!$A:$C,3,FALSE),"")</f>
        <v>Grocery</v>
      </c>
      <c r="M409" t="str">
        <f>IFERROR(VLOOKUP(C409,Customers!$A:$E,5,FALSE),"")</f>
        <v>Corporate</v>
      </c>
      <c r="N409">
        <f>IFERROR(VLOOKUP(C409,Customers!$A:$E,3,FALSE),"")</f>
        <v>31</v>
      </c>
      <c r="O409" s="33" t="str">
        <f>IFERROR(VLOOKUP(E409,Sales_Reps!$A:$C,3,FALSE),"")</f>
        <v>West</v>
      </c>
      <c r="P409" s="33">
        <f>IFERROR(VLOOKUP(D409,Products!$A:$D,4,FALSE),"")</f>
        <v>1412</v>
      </c>
      <c r="Q409" s="33">
        <f t="shared" si="6"/>
        <v>0.37797356828193834</v>
      </c>
    </row>
    <row r="410" spans="1:17" x14ac:dyDescent="0.3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  <c r="L410" t="str">
        <f>IFERROR(VLOOKUP(D410,Products!$A:$C,3,FALSE),"")</f>
        <v>Home</v>
      </c>
      <c r="M410" t="str">
        <f>IFERROR(VLOOKUP(C410,Customers!$A:$E,5,FALSE),"")</f>
        <v>SMB</v>
      </c>
      <c r="N410">
        <f>IFERROR(VLOOKUP(C410,Customers!$A:$E,3,FALSE),"")</f>
        <v>65</v>
      </c>
      <c r="O410" s="33" t="str">
        <f>IFERROR(VLOOKUP(E410,Sales_Reps!$A:$C,3,FALSE),"")</f>
        <v>North</v>
      </c>
      <c r="P410" s="33">
        <f>IFERROR(VLOOKUP(D410,Products!$A:$D,4,FALSE),"")</f>
        <v>329</v>
      </c>
      <c r="Q410" s="33">
        <f t="shared" si="6"/>
        <v>0.50151515151515147</v>
      </c>
    </row>
    <row r="411" spans="1:17" x14ac:dyDescent="0.3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  <c r="L411" t="str">
        <f>IFERROR(VLOOKUP(D411,Products!$A:$C,3,FALSE),"")</f>
        <v>Apparel</v>
      </c>
      <c r="M411" t="str">
        <f>IFERROR(VLOOKUP(C411,Customers!$A:$E,5,FALSE),"")</f>
        <v>Corporate</v>
      </c>
      <c r="N411">
        <f>IFERROR(VLOOKUP(C411,Customers!$A:$E,3,FALSE),"")</f>
        <v>38</v>
      </c>
      <c r="O411" s="33" t="str">
        <f>IFERROR(VLOOKUP(E411,Sales_Reps!$A:$C,3,FALSE),"")</f>
        <v>South</v>
      </c>
      <c r="P411" s="33">
        <f>IFERROR(VLOOKUP(D411,Products!$A:$D,4,FALSE),"")</f>
        <v>1886</v>
      </c>
      <c r="Q411" s="33">
        <f t="shared" si="6"/>
        <v>0.4031645569620253</v>
      </c>
    </row>
    <row r="412" spans="1:17" x14ac:dyDescent="0.3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  <c r="L412" t="str">
        <f>IFERROR(VLOOKUP(D412,Products!$A:$C,3,FALSE),"")</f>
        <v>Electronics</v>
      </c>
      <c r="M412" t="str">
        <f>IFERROR(VLOOKUP(C412,Customers!$A:$E,5,FALSE),"")</f>
        <v>Retail</v>
      </c>
      <c r="N412">
        <f>IFERROR(VLOOKUP(C412,Customers!$A:$E,3,FALSE),"")</f>
        <v>36</v>
      </c>
      <c r="O412" s="33" t="str">
        <f>IFERROR(VLOOKUP(E412,Sales_Reps!$A:$C,3,FALSE),"")</f>
        <v>South</v>
      </c>
      <c r="P412" s="33">
        <f>IFERROR(VLOOKUP(D412,Products!$A:$D,4,FALSE),"")</f>
        <v>1052</v>
      </c>
      <c r="Q412" s="33">
        <f t="shared" si="6"/>
        <v>0.5953846153846154</v>
      </c>
    </row>
    <row r="413" spans="1:17" x14ac:dyDescent="0.3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  <c r="L413" t="str">
        <f>IFERROR(VLOOKUP(D413,Products!$A:$C,3,FALSE),"")</f>
        <v>Home</v>
      </c>
      <c r="M413" t="str">
        <f>IFERROR(VLOOKUP(C413,Customers!$A:$E,5,FALSE),"")</f>
        <v>Retail</v>
      </c>
      <c r="N413">
        <f>IFERROR(VLOOKUP(C413,Customers!$A:$E,3,FALSE),"")</f>
        <v>32</v>
      </c>
      <c r="O413" s="33" t="str">
        <f>IFERROR(VLOOKUP(E413,Sales_Reps!$A:$C,3,FALSE),"")</f>
        <v>South</v>
      </c>
      <c r="P413" s="33">
        <f>IFERROR(VLOOKUP(D413,Products!$A:$D,4,FALSE),"")</f>
        <v>1850</v>
      </c>
      <c r="Q413" s="33">
        <f t="shared" si="6"/>
        <v>0.59869848156182215</v>
      </c>
    </row>
    <row r="414" spans="1:17" x14ac:dyDescent="0.3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  <c r="L414" t="str">
        <f>IFERROR(VLOOKUP(D414,Products!$A:$C,3,FALSE),"")</f>
        <v>Apparel</v>
      </c>
      <c r="M414" t="str">
        <f>IFERROR(VLOOKUP(C414,Customers!$A:$E,5,FALSE),"")</f>
        <v>Retail</v>
      </c>
      <c r="N414">
        <f>IFERROR(VLOOKUP(C414,Customers!$A:$E,3,FALSE),"")</f>
        <v>62</v>
      </c>
      <c r="O414" s="33" t="str">
        <f>IFERROR(VLOOKUP(E414,Sales_Reps!$A:$C,3,FALSE),"")</f>
        <v>East</v>
      </c>
      <c r="P414" s="33">
        <f>IFERROR(VLOOKUP(D414,Products!$A:$D,4,FALSE),"")</f>
        <v>2611</v>
      </c>
      <c r="Q414" s="33">
        <f t="shared" si="6"/>
        <v>0.28269230769230769</v>
      </c>
    </row>
    <row r="415" spans="1:17" x14ac:dyDescent="0.3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  <c r="L415" t="str">
        <f>IFERROR(VLOOKUP(D415,Products!$A:$C,3,FALSE),"")</f>
        <v>Apparel</v>
      </c>
      <c r="M415" t="str">
        <f>IFERROR(VLOOKUP(C415,Customers!$A:$E,5,FALSE),"")</f>
        <v>SMB</v>
      </c>
      <c r="N415">
        <f>IFERROR(VLOOKUP(C415,Customers!$A:$E,3,FALSE),"")</f>
        <v>29</v>
      </c>
      <c r="O415" s="33" t="str">
        <f>IFERROR(VLOOKUP(E415,Sales_Reps!$A:$C,3,FALSE),"")</f>
        <v>North</v>
      </c>
      <c r="P415" s="33">
        <f>IFERROR(VLOOKUP(D415,Products!$A:$D,4,FALSE),"")</f>
        <v>1962</v>
      </c>
      <c r="Q415" s="33">
        <f t="shared" si="6"/>
        <v>0.2786764705882353</v>
      </c>
    </row>
    <row r="416" spans="1:17" x14ac:dyDescent="0.3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  <c r="L416" t="str">
        <f>IFERROR(VLOOKUP(D416,Products!$A:$C,3,FALSE),"")</f>
        <v>Sports</v>
      </c>
      <c r="M416" t="str">
        <f>IFERROR(VLOOKUP(C416,Customers!$A:$E,5,FALSE),"")</f>
        <v>Retail</v>
      </c>
      <c r="N416">
        <f>IFERROR(VLOOKUP(C416,Customers!$A:$E,3,FALSE),"")</f>
        <v>45</v>
      </c>
      <c r="O416" s="33" t="str">
        <f>IFERROR(VLOOKUP(E416,Sales_Reps!$A:$C,3,FALSE),"")</f>
        <v>North</v>
      </c>
      <c r="P416" s="33">
        <f>IFERROR(VLOOKUP(D416,Products!$A:$D,4,FALSE),"")</f>
        <v>1860</v>
      </c>
      <c r="Q416" s="33">
        <f t="shared" si="6"/>
        <v>0.50793650793650791</v>
      </c>
    </row>
    <row r="417" spans="1:17" x14ac:dyDescent="0.3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  <c r="L417" t="str">
        <f>IFERROR(VLOOKUP(D417,Products!$A:$C,3,FALSE),"")</f>
        <v>Home</v>
      </c>
      <c r="M417" t="str">
        <f>IFERROR(VLOOKUP(C417,Customers!$A:$E,5,FALSE),"")</f>
        <v>Retail</v>
      </c>
      <c r="N417">
        <f>IFERROR(VLOOKUP(C417,Customers!$A:$E,3,FALSE),"")</f>
        <v>52</v>
      </c>
      <c r="O417" s="33" t="str">
        <f>IFERROR(VLOOKUP(E417,Sales_Reps!$A:$C,3,FALSE),"")</f>
        <v>West</v>
      </c>
      <c r="P417" s="33">
        <f>IFERROR(VLOOKUP(D417,Products!$A:$D,4,FALSE),"")</f>
        <v>464</v>
      </c>
      <c r="Q417" s="33">
        <f t="shared" si="6"/>
        <v>0.57431192660550456</v>
      </c>
    </row>
    <row r="418" spans="1:17" x14ac:dyDescent="0.3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  <c r="L418" t="str">
        <f>IFERROR(VLOOKUP(D418,Products!$A:$C,3,FALSE),"")</f>
        <v>Home</v>
      </c>
      <c r="M418" t="str">
        <f>IFERROR(VLOOKUP(C418,Customers!$A:$E,5,FALSE),"")</f>
        <v>Retail</v>
      </c>
      <c r="N418">
        <f>IFERROR(VLOOKUP(C418,Customers!$A:$E,3,FALSE),"")</f>
        <v>26</v>
      </c>
      <c r="O418" s="33" t="str">
        <f>IFERROR(VLOOKUP(E418,Sales_Reps!$A:$C,3,FALSE),"")</f>
        <v>West</v>
      </c>
      <c r="P418" s="33">
        <f>IFERROR(VLOOKUP(D418,Products!$A:$D,4,FALSE),"")</f>
        <v>464</v>
      </c>
      <c r="Q418" s="33">
        <f t="shared" si="6"/>
        <v>0.57431192660550456</v>
      </c>
    </row>
    <row r="419" spans="1:17" x14ac:dyDescent="0.3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  <c r="L419" t="str">
        <f>IFERROR(VLOOKUP(D419,Products!$A:$C,3,FALSE),"")</f>
        <v>Apparel</v>
      </c>
      <c r="M419" t="str">
        <f>IFERROR(VLOOKUP(C419,Customers!$A:$E,5,FALSE),"")</f>
        <v>Retail</v>
      </c>
      <c r="N419">
        <f>IFERROR(VLOOKUP(C419,Customers!$A:$E,3,FALSE),"")</f>
        <v>44</v>
      </c>
      <c r="O419" s="33" t="str">
        <f>IFERROR(VLOOKUP(E419,Sales_Reps!$A:$C,3,FALSE),"")</f>
        <v>West</v>
      </c>
      <c r="P419" s="33">
        <f>IFERROR(VLOOKUP(D419,Products!$A:$D,4,FALSE),"")</f>
        <v>1075</v>
      </c>
      <c r="Q419" s="33">
        <f t="shared" si="6"/>
        <v>0.57171314741035861</v>
      </c>
    </row>
    <row r="420" spans="1:17" x14ac:dyDescent="0.3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  <c r="L420" t="str">
        <f>IFERROR(VLOOKUP(D420,Products!$A:$C,3,FALSE),"")</f>
        <v>Electronics</v>
      </c>
      <c r="M420" t="str">
        <f>IFERROR(VLOOKUP(C420,Customers!$A:$E,5,FALSE),"")</f>
        <v>Retail</v>
      </c>
      <c r="N420">
        <f>IFERROR(VLOOKUP(C420,Customers!$A:$E,3,FALSE),"")</f>
        <v>43</v>
      </c>
      <c r="O420" s="33" t="str">
        <f>IFERROR(VLOOKUP(E420,Sales_Reps!$A:$C,3,FALSE),"")</f>
        <v>South</v>
      </c>
      <c r="P420" s="33">
        <f>IFERROR(VLOOKUP(D420,Products!$A:$D,4,FALSE),"")</f>
        <v>2865</v>
      </c>
      <c r="Q420" s="33">
        <f t="shared" si="6"/>
        <v>0.27833753148614609</v>
      </c>
    </row>
    <row r="421" spans="1:17" x14ac:dyDescent="0.3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  <c r="L421" t="str">
        <f>IFERROR(VLOOKUP(D421,Products!$A:$C,3,FALSE),"")</f>
        <v>Grocery</v>
      </c>
      <c r="M421" t="str">
        <f>IFERROR(VLOOKUP(C421,Customers!$A:$E,5,FALSE),"")</f>
        <v>Retail</v>
      </c>
      <c r="N421">
        <f>IFERROR(VLOOKUP(C421,Customers!$A:$E,3,FALSE),"")</f>
        <v>44</v>
      </c>
      <c r="O421" s="33" t="str">
        <f>IFERROR(VLOOKUP(E421,Sales_Reps!$A:$C,3,FALSE),"")</f>
        <v>North</v>
      </c>
      <c r="P421" s="33">
        <f>IFERROR(VLOOKUP(D421,Products!$A:$D,4,FALSE),"")</f>
        <v>2027</v>
      </c>
      <c r="Q421" s="33">
        <f t="shared" si="6"/>
        <v>0.50196560196560192</v>
      </c>
    </row>
    <row r="422" spans="1:17" x14ac:dyDescent="0.3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  <c r="L422" t="str">
        <f>IFERROR(VLOOKUP(D422,Products!$A:$C,3,FALSE),"")</f>
        <v>Home</v>
      </c>
      <c r="M422" t="str">
        <f>IFERROR(VLOOKUP(C422,Customers!$A:$E,5,FALSE),"")</f>
        <v>Retail</v>
      </c>
      <c r="N422">
        <f>IFERROR(VLOOKUP(C422,Customers!$A:$E,3,FALSE),"")</f>
        <v>24</v>
      </c>
      <c r="O422" s="33" t="str">
        <f>IFERROR(VLOOKUP(E422,Sales_Reps!$A:$C,3,FALSE),"")</f>
        <v>North</v>
      </c>
      <c r="P422" s="33">
        <f>IFERROR(VLOOKUP(D422,Products!$A:$D,4,FALSE),"")</f>
        <v>2549</v>
      </c>
      <c r="Q422" s="33">
        <f t="shared" si="6"/>
        <v>0.53570127504553733</v>
      </c>
    </row>
    <row r="423" spans="1:17" x14ac:dyDescent="0.3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  <c r="L423" t="str">
        <f>IFERROR(VLOOKUP(D423,Products!$A:$C,3,FALSE),"")</f>
        <v>Sports</v>
      </c>
      <c r="M423" t="str">
        <f>IFERROR(VLOOKUP(C423,Customers!$A:$E,5,FALSE),"")</f>
        <v>Retail</v>
      </c>
      <c r="N423">
        <f>IFERROR(VLOOKUP(C423,Customers!$A:$E,3,FALSE),"")</f>
        <v>52</v>
      </c>
      <c r="O423" s="33" t="str">
        <f>IFERROR(VLOOKUP(E423,Sales_Reps!$A:$C,3,FALSE),"")</f>
        <v>East</v>
      </c>
      <c r="P423" s="33">
        <f>IFERROR(VLOOKUP(D423,Products!$A:$D,4,FALSE),"")</f>
        <v>516</v>
      </c>
      <c r="Q423" s="33">
        <f t="shared" si="6"/>
        <v>0.4891089108910891</v>
      </c>
    </row>
    <row r="424" spans="1:17" x14ac:dyDescent="0.3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  <c r="L424" t="str">
        <f>IFERROR(VLOOKUP(D424,Products!$A:$C,3,FALSE),"")</f>
        <v>Grocery</v>
      </c>
      <c r="M424" t="str">
        <f>IFERROR(VLOOKUP(C424,Customers!$A:$E,5,FALSE),"")</f>
        <v>Retail</v>
      </c>
      <c r="N424">
        <f>IFERROR(VLOOKUP(C424,Customers!$A:$E,3,FALSE),"")</f>
        <v>37</v>
      </c>
      <c r="O424" s="33" t="str">
        <f>IFERROR(VLOOKUP(E424,Sales_Reps!$A:$C,3,FALSE),"")</f>
        <v>North</v>
      </c>
      <c r="P424" s="33">
        <f>IFERROR(VLOOKUP(D424,Products!$A:$D,4,FALSE),"")</f>
        <v>2214</v>
      </c>
      <c r="Q424" s="33">
        <f t="shared" si="6"/>
        <v>0.39508196721311473</v>
      </c>
    </row>
    <row r="425" spans="1:17" x14ac:dyDescent="0.3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  <c r="L425" t="str">
        <f>IFERROR(VLOOKUP(D425,Products!$A:$C,3,FALSE),"")</f>
        <v>Beauty</v>
      </c>
      <c r="M425" t="str">
        <f>IFERROR(VLOOKUP(C425,Customers!$A:$E,5,FALSE),"")</f>
        <v>Retail</v>
      </c>
      <c r="N425">
        <f>IFERROR(VLOOKUP(C425,Customers!$A:$E,3,FALSE),"")</f>
        <v>22</v>
      </c>
      <c r="O425" s="33" t="str">
        <f>IFERROR(VLOOKUP(E425,Sales_Reps!$A:$C,3,FALSE),"")</f>
        <v>South</v>
      </c>
      <c r="P425" s="33">
        <f>IFERROR(VLOOKUP(D425,Products!$A:$D,4,FALSE),"")</f>
        <v>2420</v>
      </c>
      <c r="Q425" s="33">
        <f t="shared" si="6"/>
        <v>0.29855072463768118</v>
      </c>
    </row>
    <row r="426" spans="1:17" x14ac:dyDescent="0.3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  <c r="L426" t="str">
        <f>IFERROR(VLOOKUP(D426,Products!$A:$C,3,FALSE),"")</f>
        <v>Grocery</v>
      </c>
      <c r="M426" t="str">
        <f>IFERROR(VLOOKUP(C426,Customers!$A:$E,5,FALSE),"")</f>
        <v>Retail</v>
      </c>
      <c r="N426">
        <f>IFERROR(VLOOKUP(C426,Customers!$A:$E,3,FALSE),"")</f>
        <v>37</v>
      </c>
      <c r="O426" s="33" t="str">
        <f>IFERROR(VLOOKUP(E426,Sales_Reps!$A:$C,3,FALSE),"")</f>
        <v>South</v>
      </c>
      <c r="P426" s="33">
        <f>IFERROR(VLOOKUP(D426,Products!$A:$D,4,FALSE),"")</f>
        <v>2027</v>
      </c>
      <c r="Q426" s="33">
        <f t="shared" si="6"/>
        <v>0.50196560196560192</v>
      </c>
    </row>
    <row r="427" spans="1:17" x14ac:dyDescent="0.3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  <c r="L427" t="str">
        <f>IFERROR(VLOOKUP(D427,Products!$A:$C,3,FALSE),"")</f>
        <v>Electronics</v>
      </c>
      <c r="M427" t="str">
        <f>IFERROR(VLOOKUP(C427,Customers!$A:$E,5,FALSE),"")</f>
        <v>Corporate</v>
      </c>
      <c r="N427">
        <f>IFERROR(VLOOKUP(C427,Customers!$A:$E,3,FALSE),"")</f>
        <v>41</v>
      </c>
      <c r="O427" s="33" t="str">
        <f>IFERROR(VLOOKUP(E427,Sales_Reps!$A:$C,3,FALSE),"")</f>
        <v>West</v>
      </c>
      <c r="P427" s="33">
        <f>IFERROR(VLOOKUP(D427,Products!$A:$D,4,FALSE),"")</f>
        <v>1665</v>
      </c>
      <c r="Q427" s="33">
        <f t="shared" si="6"/>
        <v>0.53361344537815125</v>
      </c>
    </row>
    <row r="428" spans="1:17" x14ac:dyDescent="0.3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  <c r="L428" t="str">
        <f>IFERROR(VLOOKUP(D428,Products!$A:$C,3,FALSE),"")</f>
        <v>Sports</v>
      </c>
      <c r="M428" t="str">
        <f>IFERROR(VLOOKUP(C428,Customers!$A:$E,5,FALSE),"")</f>
        <v>Corporate</v>
      </c>
      <c r="N428">
        <f>IFERROR(VLOOKUP(C428,Customers!$A:$E,3,FALSE),"")</f>
        <v>57</v>
      </c>
      <c r="O428" s="33" t="str">
        <f>IFERROR(VLOOKUP(E428,Sales_Reps!$A:$C,3,FALSE),"")</f>
        <v>North</v>
      </c>
      <c r="P428" s="33">
        <f>IFERROR(VLOOKUP(D428,Products!$A:$D,4,FALSE),"")</f>
        <v>2827</v>
      </c>
      <c r="Q428" s="33">
        <f t="shared" si="6"/>
        <v>0.5926512968299712</v>
      </c>
    </row>
    <row r="429" spans="1:17" x14ac:dyDescent="0.3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  <c r="L429" t="str">
        <f>IFERROR(VLOOKUP(D429,Products!$A:$C,3,FALSE),"")</f>
        <v>Beauty</v>
      </c>
      <c r="M429" t="str">
        <f>IFERROR(VLOOKUP(C429,Customers!$A:$E,5,FALSE),"")</f>
        <v>SMB</v>
      </c>
      <c r="N429">
        <f>IFERROR(VLOOKUP(C429,Customers!$A:$E,3,FALSE),"")</f>
        <v>60</v>
      </c>
      <c r="O429" s="33" t="str">
        <f>IFERROR(VLOOKUP(E429,Sales_Reps!$A:$C,3,FALSE),"")</f>
        <v>South</v>
      </c>
      <c r="P429" s="33">
        <f>IFERROR(VLOOKUP(D429,Products!$A:$D,4,FALSE),"")</f>
        <v>1222</v>
      </c>
      <c r="Q429" s="33">
        <f t="shared" si="6"/>
        <v>0.2593939393939394</v>
      </c>
    </row>
    <row r="430" spans="1:17" x14ac:dyDescent="0.3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  <c r="L430" t="str">
        <f>IFERROR(VLOOKUP(D430,Products!$A:$C,3,FALSE),"")</f>
        <v>Electronics</v>
      </c>
      <c r="M430" t="str">
        <f>IFERROR(VLOOKUP(C430,Customers!$A:$E,5,FALSE),"")</f>
        <v>Corporate</v>
      </c>
      <c r="N430">
        <f>IFERROR(VLOOKUP(C430,Customers!$A:$E,3,FALSE),"")</f>
        <v>41</v>
      </c>
      <c r="O430" s="33" t="str">
        <f>IFERROR(VLOOKUP(E430,Sales_Reps!$A:$C,3,FALSE),"")</f>
        <v>South</v>
      </c>
      <c r="P430" s="33">
        <f>IFERROR(VLOOKUP(D430,Products!$A:$D,4,FALSE),"")</f>
        <v>861</v>
      </c>
      <c r="Q430" s="33">
        <f t="shared" si="6"/>
        <v>0.39790209790209791</v>
      </c>
    </row>
    <row r="431" spans="1:17" x14ac:dyDescent="0.3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  <c r="L431" t="str">
        <f>IFERROR(VLOOKUP(D431,Products!$A:$C,3,FALSE),"")</f>
        <v>Grocery</v>
      </c>
      <c r="M431" t="str">
        <f>IFERROR(VLOOKUP(C431,Customers!$A:$E,5,FALSE),"")</f>
        <v>Corporate</v>
      </c>
      <c r="N431">
        <f>IFERROR(VLOOKUP(C431,Customers!$A:$E,3,FALSE),"")</f>
        <v>31</v>
      </c>
      <c r="O431" s="33" t="str">
        <f>IFERROR(VLOOKUP(E431,Sales_Reps!$A:$C,3,FALSE),"")</f>
        <v>South</v>
      </c>
      <c r="P431" s="33">
        <f>IFERROR(VLOOKUP(D431,Products!$A:$D,4,FALSE),"")</f>
        <v>2911</v>
      </c>
      <c r="Q431" s="33">
        <f t="shared" si="6"/>
        <v>0.28300492610837441</v>
      </c>
    </row>
    <row r="432" spans="1:17" x14ac:dyDescent="0.3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  <c r="L432" t="str">
        <f>IFERROR(VLOOKUP(D432,Products!$A:$C,3,FALSE),"")</f>
        <v>Home</v>
      </c>
      <c r="M432" t="str">
        <f>IFERROR(VLOOKUP(C432,Customers!$A:$E,5,FALSE),"")</f>
        <v>Retail</v>
      </c>
      <c r="N432">
        <f>IFERROR(VLOOKUP(C432,Customers!$A:$E,3,FALSE),"")</f>
        <v>52</v>
      </c>
      <c r="O432" s="33" t="str">
        <f>IFERROR(VLOOKUP(E432,Sales_Reps!$A:$C,3,FALSE),"")</f>
        <v>North</v>
      </c>
      <c r="P432" s="33">
        <f>IFERROR(VLOOKUP(D432,Products!$A:$D,4,FALSE),"")</f>
        <v>288</v>
      </c>
      <c r="Q432" s="33">
        <f t="shared" si="6"/>
        <v>0.22162162162162163</v>
      </c>
    </row>
    <row r="433" spans="1:17" x14ac:dyDescent="0.3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  <c r="L433" t="str">
        <f>IFERROR(VLOOKUP(D433,Products!$A:$C,3,FALSE),"")</f>
        <v>Beauty</v>
      </c>
      <c r="M433" t="str">
        <f>IFERROR(VLOOKUP(C433,Customers!$A:$E,5,FALSE),"")</f>
        <v>Corporate</v>
      </c>
      <c r="N433">
        <f>IFERROR(VLOOKUP(C433,Customers!$A:$E,3,FALSE),"")</f>
        <v>52</v>
      </c>
      <c r="O433" s="33" t="str">
        <f>IFERROR(VLOOKUP(E433,Sales_Reps!$A:$C,3,FALSE),"")</f>
        <v>South</v>
      </c>
      <c r="P433" s="33">
        <f>IFERROR(VLOOKUP(D433,Products!$A:$D,4,FALSE),"")</f>
        <v>647</v>
      </c>
      <c r="Q433" s="33">
        <f t="shared" si="6"/>
        <v>0.57987012987012987</v>
      </c>
    </row>
    <row r="434" spans="1:17" x14ac:dyDescent="0.3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  <c r="L434" t="str">
        <f>IFERROR(VLOOKUP(D434,Products!$A:$C,3,FALSE),"")</f>
        <v>Electronics</v>
      </c>
      <c r="M434" t="str">
        <f>IFERROR(VLOOKUP(C434,Customers!$A:$E,5,FALSE),"")</f>
        <v>SMB</v>
      </c>
      <c r="N434">
        <f>IFERROR(VLOOKUP(C434,Customers!$A:$E,3,FALSE),"")</f>
        <v>24</v>
      </c>
      <c r="O434" s="33" t="str">
        <f>IFERROR(VLOOKUP(E434,Sales_Reps!$A:$C,3,FALSE),"")</f>
        <v>West</v>
      </c>
      <c r="P434" s="33">
        <f>IFERROR(VLOOKUP(D434,Products!$A:$D,4,FALSE),"")</f>
        <v>1052</v>
      </c>
      <c r="Q434" s="33">
        <f t="shared" si="6"/>
        <v>0.5953846153846154</v>
      </c>
    </row>
    <row r="435" spans="1:17" x14ac:dyDescent="0.3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  <c r="L435" t="str">
        <f>IFERROR(VLOOKUP(D435,Products!$A:$C,3,FALSE),"")</f>
        <v>Apparel</v>
      </c>
      <c r="M435" t="str">
        <f>IFERROR(VLOOKUP(C435,Customers!$A:$E,5,FALSE),"")</f>
        <v>SMB</v>
      </c>
      <c r="N435">
        <f>IFERROR(VLOOKUP(C435,Customers!$A:$E,3,FALSE),"")</f>
        <v>26</v>
      </c>
      <c r="O435" s="33" t="str">
        <f>IFERROR(VLOOKUP(E435,Sales_Reps!$A:$C,3,FALSE),"")</f>
        <v>South</v>
      </c>
      <c r="P435" s="33">
        <f>IFERROR(VLOOKUP(D435,Products!$A:$D,4,FALSE),"")</f>
        <v>1075</v>
      </c>
      <c r="Q435" s="33">
        <f t="shared" si="6"/>
        <v>0.57171314741035861</v>
      </c>
    </row>
    <row r="436" spans="1:17" x14ac:dyDescent="0.3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  <c r="L436" t="str">
        <f>IFERROR(VLOOKUP(D436,Products!$A:$C,3,FALSE),"")</f>
        <v>Electronics</v>
      </c>
      <c r="M436" t="str">
        <f>IFERROR(VLOOKUP(C436,Customers!$A:$E,5,FALSE),"")</f>
        <v>Corporate</v>
      </c>
      <c r="N436">
        <f>IFERROR(VLOOKUP(C436,Customers!$A:$E,3,FALSE),"")</f>
        <v>31</v>
      </c>
      <c r="O436" s="33" t="str">
        <f>IFERROR(VLOOKUP(E436,Sales_Reps!$A:$C,3,FALSE),"")</f>
        <v>North</v>
      </c>
      <c r="P436" s="33">
        <f>IFERROR(VLOOKUP(D436,Products!$A:$D,4,FALSE),"")</f>
        <v>2405</v>
      </c>
      <c r="Q436" s="33">
        <f t="shared" si="6"/>
        <v>0.54878048780487809</v>
      </c>
    </row>
    <row r="437" spans="1:17" x14ac:dyDescent="0.3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  <c r="L437" t="str">
        <f>IFERROR(VLOOKUP(D437,Products!$A:$C,3,FALSE),"")</f>
        <v>Home</v>
      </c>
      <c r="M437" t="str">
        <f>IFERROR(VLOOKUP(C437,Customers!$A:$E,5,FALSE),"")</f>
        <v>Retail</v>
      </c>
      <c r="N437">
        <f>IFERROR(VLOOKUP(C437,Customers!$A:$E,3,FALSE),"")</f>
        <v>55</v>
      </c>
      <c r="O437" s="33" t="str">
        <f>IFERROR(VLOOKUP(E437,Sales_Reps!$A:$C,3,FALSE),"")</f>
        <v>South</v>
      </c>
      <c r="P437" s="33">
        <f>IFERROR(VLOOKUP(D437,Products!$A:$D,4,FALSE),"")</f>
        <v>2459</v>
      </c>
      <c r="Q437" s="33">
        <f t="shared" si="6"/>
        <v>0.51594488188976373</v>
      </c>
    </row>
    <row r="438" spans="1:17" x14ac:dyDescent="0.3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  <c r="L438" t="str">
        <f>IFERROR(VLOOKUP(D438,Products!$A:$C,3,FALSE),"")</f>
        <v>Grocery</v>
      </c>
      <c r="M438" t="str">
        <f>IFERROR(VLOOKUP(C438,Customers!$A:$E,5,FALSE),"")</f>
        <v>SMB</v>
      </c>
      <c r="N438">
        <f>IFERROR(VLOOKUP(C438,Customers!$A:$E,3,FALSE),"")</f>
        <v>42</v>
      </c>
      <c r="O438" s="33" t="str">
        <f>IFERROR(VLOOKUP(E438,Sales_Reps!$A:$C,3,FALSE),"")</f>
        <v>West</v>
      </c>
      <c r="P438" s="33">
        <f>IFERROR(VLOOKUP(D438,Products!$A:$D,4,FALSE),"")</f>
        <v>2027</v>
      </c>
      <c r="Q438" s="33">
        <f t="shared" si="6"/>
        <v>0.50196560196560192</v>
      </c>
    </row>
    <row r="439" spans="1:17" x14ac:dyDescent="0.3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  <c r="L439" t="str">
        <f>IFERROR(VLOOKUP(D439,Products!$A:$C,3,FALSE),"")</f>
        <v>Apparel</v>
      </c>
      <c r="M439" t="str">
        <f>IFERROR(VLOOKUP(C439,Customers!$A:$E,5,FALSE),"")</f>
        <v>Corporate</v>
      </c>
      <c r="N439">
        <f>IFERROR(VLOOKUP(C439,Customers!$A:$E,3,FALSE),"")</f>
        <v>56</v>
      </c>
      <c r="O439" s="33" t="str">
        <f>IFERROR(VLOOKUP(E439,Sales_Reps!$A:$C,3,FALSE),"")</f>
        <v>South</v>
      </c>
      <c r="P439" s="33">
        <f>IFERROR(VLOOKUP(D439,Products!$A:$D,4,FALSE),"")</f>
        <v>396</v>
      </c>
      <c r="Q439" s="33">
        <f t="shared" si="6"/>
        <v>0.36129032258064514</v>
      </c>
    </row>
    <row r="440" spans="1:17" x14ac:dyDescent="0.3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  <c r="L440" t="str">
        <f>IFERROR(VLOOKUP(D440,Products!$A:$C,3,FALSE),"")</f>
        <v>Electronics</v>
      </c>
      <c r="M440" t="str">
        <f>IFERROR(VLOOKUP(C440,Customers!$A:$E,5,FALSE),"")</f>
        <v>SMB</v>
      </c>
      <c r="N440">
        <f>IFERROR(VLOOKUP(C440,Customers!$A:$E,3,FALSE),"")</f>
        <v>59</v>
      </c>
      <c r="O440" s="33" t="str">
        <f>IFERROR(VLOOKUP(E440,Sales_Reps!$A:$C,3,FALSE),"")</f>
        <v>East</v>
      </c>
      <c r="P440" s="33">
        <f>IFERROR(VLOOKUP(D440,Products!$A:$D,4,FALSE),"")</f>
        <v>1149</v>
      </c>
      <c r="Q440" s="33">
        <f t="shared" si="6"/>
        <v>0.56477272727272732</v>
      </c>
    </row>
    <row r="441" spans="1:17" x14ac:dyDescent="0.3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  <c r="L441" t="str">
        <f>IFERROR(VLOOKUP(D441,Products!$A:$C,3,FALSE),"")</f>
        <v>Grocery</v>
      </c>
      <c r="M441" t="str">
        <f>IFERROR(VLOOKUP(C441,Customers!$A:$E,5,FALSE),"")</f>
        <v>SMB</v>
      </c>
      <c r="N441">
        <f>IFERROR(VLOOKUP(C441,Customers!$A:$E,3,FALSE),"")</f>
        <v>43</v>
      </c>
      <c r="O441" s="33" t="str">
        <f>IFERROR(VLOOKUP(E441,Sales_Reps!$A:$C,3,FALSE),"")</f>
        <v>West</v>
      </c>
      <c r="P441" s="33">
        <f>IFERROR(VLOOKUP(D441,Products!$A:$D,4,FALSE),"")</f>
        <v>2027</v>
      </c>
      <c r="Q441" s="33">
        <f t="shared" si="6"/>
        <v>0.50196560196560192</v>
      </c>
    </row>
    <row r="442" spans="1:17" x14ac:dyDescent="0.3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  <c r="L442" t="str">
        <f>IFERROR(VLOOKUP(D442,Products!$A:$C,3,FALSE),"")</f>
        <v>Sports</v>
      </c>
      <c r="M442" t="str">
        <f>IFERROR(VLOOKUP(C442,Customers!$A:$E,5,FALSE),"")</f>
        <v>Corporate</v>
      </c>
      <c r="N442">
        <f>IFERROR(VLOOKUP(C442,Customers!$A:$E,3,FALSE),"")</f>
        <v>41</v>
      </c>
      <c r="O442" s="33" t="str">
        <f>IFERROR(VLOOKUP(E442,Sales_Reps!$A:$C,3,FALSE),"")</f>
        <v>North</v>
      </c>
      <c r="P442" s="33">
        <f>IFERROR(VLOOKUP(D442,Products!$A:$D,4,FALSE),"")</f>
        <v>516</v>
      </c>
      <c r="Q442" s="33">
        <f t="shared" si="6"/>
        <v>0.4891089108910891</v>
      </c>
    </row>
    <row r="443" spans="1:17" x14ac:dyDescent="0.3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  <c r="L443" t="str">
        <f>IFERROR(VLOOKUP(D443,Products!$A:$C,3,FALSE),"")</f>
        <v>Home</v>
      </c>
      <c r="M443" t="str">
        <f>IFERROR(VLOOKUP(C443,Customers!$A:$E,5,FALSE),"")</f>
        <v>Corporate</v>
      </c>
      <c r="N443">
        <f>IFERROR(VLOOKUP(C443,Customers!$A:$E,3,FALSE),"")</f>
        <v>29</v>
      </c>
      <c r="O443" s="33" t="str">
        <f>IFERROR(VLOOKUP(E443,Sales_Reps!$A:$C,3,FALSE),"")</f>
        <v>North</v>
      </c>
      <c r="P443" s="33">
        <f>IFERROR(VLOOKUP(D443,Products!$A:$D,4,FALSE),"")</f>
        <v>1556</v>
      </c>
      <c r="Q443" s="33">
        <f t="shared" si="6"/>
        <v>0.52123076923076928</v>
      </c>
    </row>
    <row r="444" spans="1:17" x14ac:dyDescent="0.3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  <c r="L444" t="str">
        <f>IFERROR(VLOOKUP(D444,Products!$A:$C,3,FALSE),"")</f>
        <v>Electronics</v>
      </c>
      <c r="M444" t="str">
        <f>IFERROR(VLOOKUP(C444,Customers!$A:$E,5,FALSE),"")</f>
        <v>Corporate</v>
      </c>
      <c r="N444">
        <f>IFERROR(VLOOKUP(C444,Customers!$A:$E,3,FALSE),"")</f>
        <v>48</v>
      </c>
      <c r="O444" s="33" t="str">
        <f>IFERROR(VLOOKUP(E444,Sales_Reps!$A:$C,3,FALSE),"")</f>
        <v>South</v>
      </c>
      <c r="P444" s="33">
        <f>IFERROR(VLOOKUP(D444,Products!$A:$D,4,FALSE),"")</f>
        <v>861</v>
      </c>
      <c r="Q444" s="33">
        <f t="shared" si="6"/>
        <v>0.39790209790209791</v>
      </c>
    </row>
    <row r="445" spans="1:17" x14ac:dyDescent="0.3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  <c r="L445" t="str">
        <f>IFERROR(VLOOKUP(D445,Products!$A:$C,3,FALSE),"")</f>
        <v>Beauty</v>
      </c>
      <c r="M445" t="str">
        <f>IFERROR(VLOOKUP(C445,Customers!$A:$E,5,FALSE),"")</f>
        <v>SMB</v>
      </c>
      <c r="N445">
        <f>IFERROR(VLOOKUP(C445,Customers!$A:$E,3,FALSE),"")</f>
        <v>44</v>
      </c>
      <c r="O445" s="33" t="str">
        <f>IFERROR(VLOOKUP(E445,Sales_Reps!$A:$C,3,FALSE),"")</f>
        <v>East</v>
      </c>
      <c r="P445" s="33">
        <f>IFERROR(VLOOKUP(D445,Products!$A:$D,4,FALSE),"")</f>
        <v>1626</v>
      </c>
      <c r="Q445" s="33">
        <f t="shared" si="6"/>
        <v>0.46158940397350995</v>
      </c>
    </row>
    <row r="446" spans="1:17" x14ac:dyDescent="0.3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  <c r="L446" t="str">
        <f>IFERROR(VLOOKUP(D446,Products!$A:$C,3,FALSE),"")</f>
        <v>Electronics</v>
      </c>
      <c r="M446" t="str">
        <f>IFERROR(VLOOKUP(C446,Customers!$A:$E,5,FALSE),"")</f>
        <v/>
      </c>
      <c r="N446" t="str">
        <f>IFERROR(VLOOKUP(C446,Customers!$A:$E,3,FALSE),"")</f>
        <v/>
      </c>
      <c r="O446" s="33" t="str">
        <f>IFERROR(VLOOKUP(E446,Sales_Reps!$A:$C,3,FALSE),"")</f>
        <v>North</v>
      </c>
      <c r="P446" s="33">
        <f>IFERROR(VLOOKUP(D446,Products!$A:$D,4,FALSE),"")</f>
        <v>1259</v>
      </c>
      <c r="Q446" s="33">
        <f t="shared" si="6"/>
        <v>0.52669172932330832</v>
      </c>
    </row>
    <row r="447" spans="1:17" x14ac:dyDescent="0.3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  <c r="L447" t="str">
        <f>IFERROR(VLOOKUP(D447,Products!$A:$C,3,FALSE),"")</f>
        <v>Electronics</v>
      </c>
      <c r="M447" t="str">
        <f>IFERROR(VLOOKUP(C447,Customers!$A:$E,5,FALSE),"")</f>
        <v>Retail</v>
      </c>
      <c r="N447">
        <f>IFERROR(VLOOKUP(C447,Customers!$A:$E,3,FALSE),"")</f>
        <v>31</v>
      </c>
      <c r="O447" s="33" t="str">
        <f>IFERROR(VLOOKUP(E447,Sales_Reps!$A:$C,3,FALSE),"")</f>
        <v>East</v>
      </c>
      <c r="P447" s="33">
        <f>IFERROR(VLOOKUP(D447,Products!$A:$D,4,FALSE),"")</f>
        <v>1665</v>
      </c>
      <c r="Q447" s="33">
        <f t="shared" si="6"/>
        <v>0.53361344537815125</v>
      </c>
    </row>
    <row r="448" spans="1:17" x14ac:dyDescent="0.3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  <c r="L448" t="str">
        <f>IFERROR(VLOOKUP(D448,Products!$A:$C,3,FALSE),"")</f>
        <v>Beauty</v>
      </c>
      <c r="M448" t="str">
        <f>IFERROR(VLOOKUP(C448,Customers!$A:$E,5,FALSE),"")</f>
        <v>Corporate</v>
      </c>
      <c r="N448">
        <f>IFERROR(VLOOKUP(C448,Customers!$A:$E,3,FALSE),"")</f>
        <v>47</v>
      </c>
      <c r="O448" s="33" t="str">
        <f>IFERROR(VLOOKUP(E448,Sales_Reps!$A:$C,3,FALSE),"")</f>
        <v>South</v>
      </c>
      <c r="P448" s="33">
        <f>IFERROR(VLOOKUP(D448,Products!$A:$D,4,FALSE),"")</f>
        <v>1728</v>
      </c>
      <c r="Q448" s="33">
        <f t="shared" si="6"/>
        <v>0.48417910447761192</v>
      </c>
    </row>
    <row r="449" spans="1:17" x14ac:dyDescent="0.3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  <c r="L449" t="str">
        <f>IFERROR(VLOOKUP(D449,Products!$A:$C,3,FALSE),"")</f>
        <v>Apparel</v>
      </c>
      <c r="M449" t="str">
        <f>IFERROR(VLOOKUP(C449,Customers!$A:$E,5,FALSE),"")</f>
        <v>Corporate</v>
      </c>
      <c r="N449">
        <f>IFERROR(VLOOKUP(C449,Customers!$A:$E,3,FALSE),"")</f>
        <v>46</v>
      </c>
      <c r="O449" s="33" t="str">
        <f>IFERROR(VLOOKUP(E449,Sales_Reps!$A:$C,3,FALSE),"")</f>
        <v>East</v>
      </c>
      <c r="P449" s="33">
        <f>IFERROR(VLOOKUP(D449,Products!$A:$D,4,FALSE),"")</f>
        <v>1173</v>
      </c>
      <c r="Q449" s="33">
        <f t="shared" si="6"/>
        <v>0.52701612903225803</v>
      </c>
    </row>
    <row r="450" spans="1:17" x14ac:dyDescent="0.3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  <c r="L450" t="str">
        <f>IFERROR(VLOOKUP(D450,Products!$A:$C,3,FALSE),"")</f>
        <v>Sports</v>
      </c>
      <c r="M450" t="str">
        <f>IFERROR(VLOOKUP(C450,Customers!$A:$E,5,FALSE),"")</f>
        <v>SMB</v>
      </c>
      <c r="N450">
        <f>IFERROR(VLOOKUP(C450,Customers!$A:$E,3,FALSE),"")</f>
        <v>38</v>
      </c>
      <c r="O450" s="33" t="str">
        <f>IFERROR(VLOOKUP(E450,Sales_Reps!$A:$C,3,FALSE),"")</f>
        <v>South</v>
      </c>
      <c r="P450" s="33">
        <f>IFERROR(VLOOKUP(D450,Products!$A:$D,4,FALSE),"")</f>
        <v>2265</v>
      </c>
      <c r="Q450" s="33">
        <f t="shared" si="6"/>
        <v>0.58133086876155271</v>
      </c>
    </row>
    <row r="451" spans="1:17" x14ac:dyDescent="0.3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  <c r="L451" t="str">
        <f>IFERROR(VLOOKUP(D451,Products!$A:$C,3,FALSE),"")</f>
        <v>Home</v>
      </c>
      <c r="M451" t="str">
        <f>IFERROR(VLOOKUP(C451,Customers!$A:$E,5,FALSE),"")</f>
        <v>Retail</v>
      </c>
      <c r="N451">
        <f>IFERROR(VLOOKUP(C451,Customers!$A:$E,3,FALSE),"")</f>
        <v>47</v>
      </c>
      <c r="O451" s="33" t="str">
        <f>IFERROR(VLOOKUP(E451,Sales_Reps!$A:$C,3,FALSE),"")</f>
        <v>East</v>
      </c>
      <c r="P451" s="33">
        <f>IFERROR(VLOOKUP(D451,Products!$A:$D,4,FALSE),"")</f>
        <v>329</v>
      </c>
      <c r="Q451" s="33">
        <f t="shared" ref="Q451:Q514" si="7">IFERROR((G451-P451)/G451,"")</f>
        <v>0.50151515151515147</v>
      </c>
    </row>
    <row r="452" spans="1:17" x14ac:dyDescent="0.3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  <c r="L452" t="str">
        <f>IFERROR(VLOOKUP(D452,Products!$A:$C,3,FALSE),"")</f>
        <v>Sports</v>
      </c>
      <c r="M452" t="str">
        <f>IFERROR(VLOOKUP(C452,Customers!$A:$E,5,FALSE),"")</f>
        <v>Corporate</v>
      </c>
      <c r="N452">
        <f>IFERROR(VLOOKUP(C452,Customers!$A:$E,3,FALSE),"")</f>
        <v>62</v>
      </c>
      <c r="O452" s="33" t="str">
        <f>IFERROR(VLOOKUP(E452,Sales_Reps!$A:$C,3,FALSE),"")</f>
        <v>North</v>
      </c>
      <c r="P452" s="33">
        <f>IFERROR(VLOOKUP(D452,Products!$A:$D,4,FALSE),"")</f>
        <v>516</v>
      </c>
      <c r="Q452" s="33">
        <f t="shared" si="7"/>
        <v>0.4891089108910891</v>
      </c>
    </row>
    <row r="453" spans="1:17" x14ac:dyDescent="0.3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  <c r="L453" t="str">
        <f>IFERROR(VLOOKUP(D453,Products!$A:$C,3,FALSE),"")</f>
        <v>Beauty</v>
      </c>
      <c r="M453" t="str">
        <f>IFERROR(VLOOKUP(C453,Customers!$A:$E,5,FALSE),"")</f>
        <v>Retail</v>
      </c>
      <c r="N453">
        <f>IFERROR(VLOOKUP(C453,Customers!$A:$E,3,FALSE),"")</f>
        <v>57</v>
      </c>
      <c r="O453" s="33" t="str">
        <f>IFERROR(VLOOKUP(E453,Sales_Reps!$A:$C,3,FALSE),"")</f>
        <v>North</v>
      </c>
      <c r="P453" s="33">
        <f>IFERROR(VLOOKUP(D453,Products!$A:$D,4,FALSE),"")</f>
        <v>1219</v>
      </c>
      <c r="Q453" s="33">
        <f t="shared" si="7"/>
        <v>0.46768558951965067</v>
      </c>
    </row>
    <row r="454" spans="1:17" x14ac:dyDescent="0.3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  <c r="L454" t="str">
        <f>IFERROR(VLOOKUP(D454,Products!$A:$C,3,FALSE),"")</f>
        <v>Beauty</v>
      </c>
      <c r="M454" t="str">
        <f>IFERROR(VLOOKUP(C454,Customers!$A:$E,5,FALSE),"")</f>
        <v>Retail</v>
      </c>
      <c r="N454">
        <f>IFERROR(VLOOKUP(C454,Customers!$A:$E,3,FALSE),"")</f>
        <v>24</v>
      </c>
      <c r="O454" s="33" t="str">
        <f>IFERROR(VLOOKUP(E454,Sales_Reps!$A:$C,3,FALSE),"")</f>
        <v>North</v>
      </c>
      <c r="P454" s="33">
        <f>IFERROR(VLOOKUP(D454,Products!$A:$D,4,FALSE),"")</f>
        <v>2420</v>
      </c>
      <c r="Q454" s="33">
        <f t="shared" si="7"/>
        <v>0.29855072463768118</v>
      </c>
    </row>
    <row r="455" spans="1:17" x14ac:dyDescent="0.3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  <c r="L455" t="str">
        <f>IFERROR(VLOOKUP(D455,Products!$A:$C,3,FALSE),"")</f>
        <v>Apparel</v>
      </c>
      <c r="M455" t="str">
        <f>IFERROR(VLOOKUP(C455,Customers!$A:$E,5,FALSE),"")</f>
        <v>Retail</v>
      </c>
      <c r="N455">
        <f>IFERROR(VLOOKUP(C455,Customers!$A:$E,3,FALSE),"")</f>
        <v>38</v>
      </c>
      <c r="O455" s="33" t="str">
        <f>IFERROR(VLOOKUP(E455,Sales_Reps!$A:$C,3,FALSE),"")</f>
        <v>North</v>
      </c>
      <c r="P455" s="33">
        <f>IFERROR(VLOOKUP(D455,Products!$A:$D,4,FALSE),"")</f>
        <v>2611</v>
      </c>
      <c r="Q455" s="33">
        <f t="shared" si="7"/>
        <v>0.28269230769230769</v>
      </c>
    </row>
    <row r="456" spans="1:17" x14ac:dyDescent="0.3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  <c r="L456" t="str">
        <f>IFERROR(VLOOKUP(D456,Products!$A:$C,3,FALSE),"")</f>
        <v>Grocery</v>
      </c>
      <c r="M456" t="str">
        <f>IFERROR(VLOOKUP(C456,Customers!$A:$E,5,FALSE),"")</f>
        <v>Corporate</v>
      </c>
      <c r="N456">
        <f>IFERROR(VLOOKUP(C456,Customers!$A:$E,3,FALSE),"")</f>
        <v>62</v>
      </c>
      <c r="O456" s="33" t="str">
        <f>IFERROR(VLOOKUP(E456,Sales_Reps!$A:$C,3,FALSE),"")</f>
        <v>South</v>
      </c>
      <c r="P456" s="33">
        <f>IFERROR(VLOOKUP(D456,Products!$A:$D,4,FALSE),"")</f>
        <v>1182</v>
      </c>
      <c r="Q456" s="33">
        <f t="shared" si="7"/>
        <v>0.50336134453781511</v>
      </c>
    </row>
    <row r="457" spans="1:17" x14ac:dyDescent="0.3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  <c r="L457" t="str">
        <f>IFERROR(VLOOKUP(D457,Products!$A:$C,3,FALSE),"")</f>
        <v>Sports</v>
      </c>
      <c r="M457" t="str">
        <f>IFERROR(VLOOKUP(C457,Customers!$A:$E,5,FALSE),"")</f>
        <v>Retail</v>
      </c>
      <c r="N457">
        <f>IFERROR(VLOOKUP(C457,Customers!$A:$E,3,FALSE),"")</f>
        <v>38</v>
      </c>
      <c r="O457" s="33" t="str">
        <f>IFERROR(VLOOKUP(E457,Sales_Reps!$A:$C,3,FALSE),"")</f>
        <v>East</v>
      </c>
      <c r="P457" s="33">
        <f>IFERROR(VLOOKUP(D457,Products!$A:$D,4,FALSE),"")</f>
        <v>2265</v>
      </c>
      <c r="Q457" s="33">
        <f t="shared" si="7"/>
        <v>0.58133086876155271</v>
      </c>
    </row>
    <row r="458" spans="1:17" x14ac:dyDescent="0.3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  <c r="L458" t="str">
        <f>IFERROR(VLOOKUP(D458,Products!$A:$C,3,FALSE),"")</f>
        <v>Beauty</v>
      </c>
      <c r="M458" t="str">
        <f>IFERROR(VLOOKUP(C458,Customers!$A:$E,5,FALSE),"")</f>
        <v>Corporate</v>
      </c>
      <c r="N458">
        <f>IFERROR(VLOOKUP(C458,Customers!$A:$E,3,FALSE),"")</f>
        <v>62</v>
      </c>
      <c r="O458" s="33" t="str">
        <f>IFERROR(VLOOKUP(E458,Sales_Reps!$A:$C,3,FALSE),"")</f>
        <v>East</v>
      </c>
      <c r="P458" s="33">
        <f>IFERROR(VLOOKUP(D458,Products!$A:$D,4,FALSE),"")</f>
        <v>1222</v>
      </c>
      <c r="Q458" s="33">
        <f t="shared" si="7"/>
        <v>0.2593939393939394</v>
      </c>
    </row>
    <row r="459" spans="1:17" x14ac:dyDescent="0.3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  <c r="L459" t="str">
        <f>IFERROR(VLOOKUP(D459,Products!$A:$C,3,FALSE),"")</f>
        <v>Electronics</v>
      </c>
      <c r="M459" t="str">
        <f>IFERROR(VLOOKUP(C459,Customers!$A:$E,5,FALSE),"")</f>
        <v>Retail</v>
      </c>
      <c r="N459">
        <f>IFERROR(VLOOKUP(C459,Customers!$A:$E,3,FALSE),"")</f>
        <v>22</v>
      </c>
      <c r="O459" s="33" t="str">
        <f>IFERROR(VLOOKUP(E459,Sales_Reps!$A:$C,3,FALSE),"")</f>
        <v>East</v>
      </c>
      <c r="P459" s="33">
        <f>IFERROR(VLOOKUP(D459,Products!$A:$D,4,FALSE),"")</f>
        <v>1052</v>
      </c>
      <c r="Q459" s="33">
        <f t="shared" si="7"/>
        <v>0.5953846153846154</v>
      </c>
    </row>
    <row r="460" spans="1:17" x14ac:dyDescent="0.3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  <c r="L460" t="str">
        <f>IFERROR(VLOOKUP(D460,Products!$A:$C,3,FALSE),"")</f>
        <v>Home</v>
      </c>
      <c r="M460" t="str">
        <f>IFERROR(VLOOKUP(C460,Customers!$A:$E,5,FALSE),"")</f>
        <v>SMB</v>
      </c>
      <c r="N460">
        <f>IFERROR(VLOOKUP(C460,Customers!$A:$E,3,FALSE),"")</f>
        <v>28</v>
      </c>
      <c r="O460" s="33" t="str">
        <f>IFERROR(VLOOKUP(E460,Sales_Reps!$A:$C,3,FALSE),"")</f>
        <v>North</v>
      </c>
      <c r="P460" s="33">
        <f>IFERROR(VLOOKUP(D460,Products!$A:$D,4,FALSE),"")</f>
        <v>1850</v>
      </c>
      <c r="Q460" s="33">
        <f t="shared" si="7"/>
        <v>0.59869848156182215</v>
      </c>
    </row>
    <row r="461" spans="1:17" x14ac:dyDescent="0.3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  <c r="L461" t="str">
        <f>IFERROR(VLOOKUP(D461,Products!$A:$C,3,FALSE),"")</f>
        <v>Home</v>
      </c>
      <c r="M461" t="str">
        <f>IFERROR(VLOOKUP(C461,Customers!$A:$E,5,FALSE),"")</f>
        <v>Retail</v>
      </c>
      <c r="N461">
        <f>IFERROR(VLOOKUP(C461,Customers!$A:$E,3,FALSE),"")</f>
        <v>53</v>
      </c>
      <c r="O461" s="33" t="str">
        <f>IFERROR(VLOOKUP(E461,Sales_Reps!$A:$C,3,FALSE),"")</f>
        <v>East</v>
      </c>
      <c r="P461" s="33">
        <f>IFERROR(VLOOKUP(D461,Products!$A:$D,4,FALSE),"")</f>
        <v>1850</v>
      </c>
      <c r="Q461" s="33">
        <f t="shared" si="7"/>
        <v>0.59869848156182215</v>
      </c>
    </row>
    <row r="462" spans="1:17" x14ac:dyDescent="0.3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  <c r="L462" t="str">
        <f>IFERROR(VLOOKUP(D462,Products!$A:$C,3,FALSE),"")</f>
        <v>Electronics</v>
      </c>
      <c r="M462" t="str">
        <f>IFERROR(VLOOKUP(C462,Customers!$A:$E,5,FALSE),"")</f>
        <v>Corporate</v>
      </c>
      <c r="N462">
        <f>IFERROR(VLOOKUP(C462,Customers!$A:$E,3,FALSE),"")</f>
        <v>44</v>
      </c>
      <c r="O462" s="33" t="str">
        <f>IFERROR(VLOOKUP(E462,Sales_Reps!$A:$C,3,FALSE),"")</f>
        <v>South</v>
      </c>
      <c r="P462" s="33">
        <f>IFERROR(VLOOKUP(D462,Products!$A:$D,4,FALSE),"")</f>
        <v>128</v>
      </c>
      <c r="Q462" s="33">
        <f t="shared" si="7"/>
        <v>0.57333333333333336</v>
      </c>
    </row>
    <row r="463" spans="1:17" x14ac:dyDescent="0.3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  <c r="L463" t="str">
        <f>IFERROR(VLOOKUP(D463,Products!$A:$C,3,FALSE),"")</f>
        <v>Apparel</v>
      </c>
      <c r="M463" t="str">
        <f>IFERROR(VLOOKUP(C463,Customers!$A:$E,5,FALSE),"")</f>
        <v>Retail</v>
      </c>
      <c r="N463">
        <f>IFERROR(VLOOKUP(C463,Customers!$A:$E,3,FALSE),"")</f>
        <v>22</v>
      </c>
      <c r="O463" s="33" t="str">
        <f>IFERROR(VLOOKUP(E463,Sales_Reps!$A:$C,3,FALSE),"")</f>
        <v>East</v>
      </c>
      <c r="P463" s="33">
        <f>IFERROR(VLOOKUP(D463,Products!$A:$D,4,FALSE),"")</f>
        <v>1748</v>
      </c>
      <c r="Q463" s="33">
        <f t="shared" si="7"/>
        <v>0.49333333333333335</v>
      </c>
    </row>
    <row r="464" spans="1:17" x14ac:dyDescent="0.3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  <c r="L464" t="str">
        <f>IFERROR(VLOOKUP(D464,Products!$A:$C,3,FALSE),"")</f>
        <v>Apparel</v>
      </c>
      <c r="M464" t="str">
        <f>IFERROR(VLOOKUP(C464,Customers!$A:$E,5,FALSE),"")</f>
        <v>Corporate</v>
      </c>
      <c r="N464">
        <f>IFERROR(VLOOKUP(C464,Customers!$A:$E,3,FALSE),"")</f>
        <v>30</v>
      </c>
      <c r="O464" s="33" t="str">
        <f>IFERROR(VLOOKUP(E464,Sales_Reps!$A:$C,3,FALSE),"")</f>
        <v>West</v>
      </c>
      <c r="P464" s="33">
        <f>IFERROR(VLOOKUP(D464,Products!$A:$D,4,FALSE),"")</f>
        <v>1962</v>
      </c>
      <c r="Q464" s="33">
        <f t="shared" si="7"/>
        <v>0.2786764705882353</v>
      </c>
    </row>
    <row r="465" spans="1:17" x14ac:dyDescent="0.3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  <c r="L465" t="str">
        <f>IFERROR(VLOOKUP(D465,Products!$A:$C,3,FALSE),"")</f>
        <v>Electronics</v>
      </c>
      <c r="M465" t="str">
        <f>IFERROR(VLOOKUP(C465,Customers!$A:$E,5,FALSE),"")</f>
        <v>Retail</v>
      </c>
      <c r="N465">
        <f>IFERROR(VLOOKUP(C465,Customers!$A:$E,3,FALSE),"")</f>
        <v>31</v>
      </c>
      <c r="O465" s="33" t="str">
        <f>IFERROR(VLOOKUP(E465,Sales_Reps!$A:$C,3,FALSE),"")</f>
        <v>East</v>
      </c>
      <c r="P465" s="33">
        <f>IFERROR(VLOOKUP(D465,Products!$A:$D,4,FALSE),"")</f>
        <v>1259</v>
      </c>
      <c r="Q465" s="33">
        <f t="shared" si="7"/>
        <v>0.52669172932330832</v>
      </c>
    </row>
    <row r="466" spans="1:17" x14ac:dyDescent="0.3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  <c r="L466" t="str">
        <f>IFERROR(VLOOKUP(D466,Products!$A:$C,3,FALSE),"")</f>
        <v>Sports</v>
      </c>
      <c r="M466" t="str">
        <f>IFERROR(VLOOKUP(C466,Customers!$A:$E,5,FALSE),"")</f>
        <v>Retail</v>
      </c>
      <c r="N466">
        <f>IFERROR(VLOOKUP(C466,Customers!$A:$E,3,FALSE),"")</f>
        <v>53</v>
      </c>
      <c r="O466" s="33" t="str">
        <f>IFERROR(VLOOKUP(E466,Sales_Reps!$A:$C,3,FALSE),"")</f>
        <v>North</v>
      </c>
      <c r="P466" s="33">
        <f>IFERROR(VLOOKUP(D466,Products!$A:$D,4,FALSE),"")</f>
        <v>2467</v>
      </c>
      <c r="Q466" s="33">
        <f t="shared" si="7"/>
        <v>0.28492753623188405</v>
      </c>
    </row>
    <row r="467" spans="1:17" x14ac:dyDescent="0.3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  <c r="L467" t="str">
        <f>IFERROR(VLOOKUP(D467,Products!$A:$C,3,FALSE),"")</f>
        <v>Sports</v>
      </c>
      <c r="M467" t="str">
        <f>IFERROR(VLOOKUP(C467,Customers!$A:$E,5,FALSE),"")</f>
        <v>Corporate</v>
      </c>
      <c r="N467">
        <f>IFERROR(VLOOKUP(C467,Customers!$A:$E,3,FALSE),"")</f>
        <v>52</v>
      </c>
      <c r="O467" s="33" t="str">
        <f>IFERROR(VLOOKUP(E467,Sales_Reps!$A:$C,3,FALSE),"")</f>
        <v>South</v>
      </c>
      <c r="P467" s="33">
        <f>IFERROR(VLOOKUP(D467,Products!$A:$D,4,FALSE),"")</f>
        <v>2265</v>
      </c>
      <c r="Q467" s="33">
        <f t="shared" si="7"/>
        <v>0.58133086876155271</v>
      </c>
    </row>
    <row r="468" spans="1:17" x14ac:dyDescent="0.3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  <c r="L468" t="str">
        <f>IFERROR(VLOOKUP(D468,Products!$A:$C,3,FALSE),"")</f>
        <v>Electronics</v>
      </c>
      <c r="M468" t="str">
        <f>IFERROR(VLOOKUP(C468,Customers!$A:$E,5,FALSE),"")</f>
        <v>Corporate</v>
      </c>
      <c r="N468">
        <f>IFERROR(VLOOKUP(C468,Customers!$A:$E,3,FALSE),"")</f>
        <v>30</v>
      </c>
      <c r="O468" s="33" t="str">
        <f>IFERROR(VLOOKUP(E468,Sales_Reps!$A:$C,3,FALSE),"")</f>
        <v>South</v>
      </c>
      <c r="P468" s="33">
        <f>IFERROR(VLOOKUP(D468,Products!$A:$D,4,FALSE),"")</f>
        <v>1559</v>
      </c>
      <c r="Q468" s="33">
        <f t="shared" si="7"/>
        <v>0.59715762273901807</v>
      </c>
    </row>
    <row r="469" spans="1:17" x14ac:dyDescent="0.3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  <c r="L469" t="str">
        <f>IFERROR(VLOOKUP(D469,Products!$A:$C,3,FALSE),"")</f>
        <v>Grocery</v>
      </c>
      <c r="M469" t="str">
        <f>IFERROR(VLOOKUP(C469,Customers!$A:$E,5,FALSE),"")</f>
        <v>SMB</v>
      </c>
      <c r="N469">
        <f>IFERROR(VLOOKUP(C469,Customers!$A:$E,3,FALSE),"")</f>
        <v>60</v>
      </c>
      <c r="O469" s="33" t="str">
        <f>IFERROR(VLOOKUP(E469,Sales_Reps!$A:$C,3,FALSE),"")</f>
        <v>North</v>
      </c>
      <c r="P469" s="33">
        <f>IFERROR(VLOOKUP(D469,Products!$A:$D,4,FALSE),"")</f>
        <v>1203</v>
      </c>
      <c r="Q469" s="33">
        <f t="shared" si="7"/>
        <v>0.47004405286343615</v>
      </c>
    </row>
    <row r="470" spans="1:17" x14ac:dyDescent="0.3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  <c r="L470" t="str">
        <f>IFERROR(VLOOKUP(D470,Products!$A:$C,3,FALSE),"")</f>
        <v>Electronics</v>
      </c>
      <c r="M470" t="str">
        <f>IFERROR(VLOOKUP(C470,Customers!$A:$E,5,FALSE),"")</f>
        <v>Retail</v>
      </c>
      <c r="N470">
        <f>IFERROR(VLOOKUP(C470,Customers!$A:$E,3,FALSE),"")</f>
        <v>46</v>
      </c>
      <c r="O470" s="33" t="str">
        <f>IFERROR(VLOOKUP(E470,Sales_Reps!$A:$C,3,FALSE),"")</f>
        <v>West</v>
      </c>
      <c r="P470" s="33">
        <f>IFERROR(VLOOKUP(D470,Products!$A:$D,4,FALSE),"")</f>
        <v>2405</v>
      </c>
      <c r="Q470" s="33">
        <f t="shared" si="7"/>
        <v>0.54878048780487809</v>
      </c>
    </row>
    <row r="471" spans="1:17" x14ac:dyDescent="0.3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  <c r="L471" t="str">
        <f>IFERROR(VLOOKUP(D471,Products!$A:$C,3,FALSE),"")</f>
        <v>Beauty</v>
      </c>
      <c r="M471" t="str">
        <f>IFERROR(VLOOKUP(C471,Customers!$A:$E,5,FALSE),"")</f>
        <v>Corporate</v>
      </c>
      <c r="N471">
        <f>IFERROR(VLOOKUP(C471,Customers!$A:$E,3,FALSE),"")</f>
        <v>57</v>
      </c>
      <c r="O471" s="33" t="str">
        <f>IFERROR(VLOOKUP(E471,Sales_Reps!$A:$C,3,FALSE),"")</f>
        <v>South</v>
      </c>
      <c r="P471" s="33">
        <f>IFERROR(VLOOKUP(D471,Products!$A:$D,4,FALSE),"")</f>
        <v>1728</v>
      </c>
      <c r="Q471" s="33">
        <f t="shared" si="7"/>
        <v>0.48417910447761192</v>
      </c>
    </row>
    <row r="472" spans="1:17" x14ac:dyDescent="0.3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  <c r="L472" t="str">
        <f>IFERROR(VLOOKUP(D472,Products!$A:$C,3,FALSE),"")</f>
        <v>Beauty</v>
      </c>
      <c r="M472" t="str">
        <f>IFERROR(VLOOKUP(C472,Customers!$A:$E,5,FALSE),"")</f>
        <v>Retail</v>
      </c>
      <c r="N472">
        <f>IFERROR(VLOOKUP(C472,Customers!$A:$E,3,FALSE),"")</f>
        <v>32</v>
      </c>
      <c r="O472" s="33" t="str">
        <f>IFERROR(VLOOKUP(E472,Sales_Reps!$A:$C,3,FALSE),"")</f>
        <v>North</v>
      </c>
      <c r="P472" s="33">
        <f>IFERROR(VLOOKUP(D472,Products!$A:$D,4,FALSE),"")</f>
        <v>1626</v>
      </c>
      <c r="Q472" s="33">
        <f t="shared" si="7"/>
        <v>0.46158940397350995</v>
      </c>
    </row>
    <row r="473" spans="1:17" x14ac:dyDescent="0.3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  <c r="L473" t="str">
        <f>IFERROR(VLOOKUP(D473,Products!$A:$C,3,FALSE),"")</f>
        <v>Apparel</v>
      </c>
      <c r="M473" t="str">
        <f>IFERROR(VLOOKUP(C473,Customers!$A:$E,5,FALSE),"")</f>
        <v>SMB</v>
      </c>
      <c r="N473">
        <f>IFERROR(VLOOKUP(C473,Customers!$A:$E,3,FALSE),"")</f>
        <v>61</v>
      </c>
      <c r="O473" s="33" t="str">
        <f>IFERROR(VLOOKUP(E473,Sales_Reps!$A:$C,3,FALSE),"")</f>
        <v>East</v>
      </c>
      <c r="P473" s="33">
        <f>IFERROR(VLOOKUP(D473,Products!$A:$D,4,FALSE),"")</f>
        <v>1886</v>
      </c>
      <c r="Q473" s="33">
        <f t="shared" si="7"/>
        <v>0.4031645569620253</v>
      </c>
    </row>
    <row r="474" spans="1:17" x14ac:dyDescent="0.3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  <c r="L474" t="str">
        <f>IFERROR(VLOOKUP(D474,Products!$A:$C,3,FALSE),"")</f>
        <v>Sports</v>
      </c>
      <c r="M474" t="str">
        <f>IFERROR(VLOOKUP(C474,Customers!$A:$E,5,FALSE),"")</f>
        <v>Retail</v>
      </c>
      <c r="N474">
        <f>IFERROR(VLOOKUP(C474,Customers!$A:$E,3,FALSE),"")</f>
        <v>35</v>
      </c>
      <c r="O474" s="33" t="str">
        <f>IFERROR(VLOOKUP(E474,Sales_Reps!$A:$C,3,FALSE),"")</f>
        <v>East</v>
      </c>
      <c r="P474" s="33">
        <f>IFERROR(VLOOKUP(D474,Products!$A:$D,4,FALSE),"")</f>
        <v>302</v>
      </c>
      <c r="Q474" s="33">
        <f t="shared" si="7"/>
        <v>0.35744680851063831</v>
      </c>
    </row>
    <row r="475" spans="1:17" x14ac:dyDescent="0.3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  <c r="L475" t="str">
        <f>IFERROR(VLOOKUP(D475,Products!$A:$C,3,FALSE),"")</f>
        <v>Home</v>
      </c>
      <c r="M475" t="str">
        <f>IFERROR(VLOOKUP(C475,Customers!$A:$E,5,FALSE),"")</f>
        <v>Retail</v>
      </c>
      <c r="N475">
        <f>IFERROR(VLOOKUP(C475,Customers!$A:$E,3,FALSE),"")</f>
        <v>37</v>
      </c>
      <c r="O475" s="33" t="str">
        <f>IFERROR(VLOOKUP(E475,Sales_Reps!$A:$C,3,FALSE),"")</f>
        <v>East</v>
      </c>
      <c r="P475" s="33">
        <f>IFERROR(VLOOKUP(D475,Products!$A:$D,4,FALSE),"")</f>
        <v>1556</v>
      </c>
      <c r="Q475" s="33">
        <f t="shared" si="7"/>
        <v>0.52123076923076928</v>
      </c>
    </row>
    <row r="476" spans="1:17" x14ac:dyDescent="0.3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  <c r="L476" t="str">
        <f>IFERROR(VLOOKUP(D476,Products!$A:$C,3,FALSE),"")</f>
        <v>Sports</v>
      </c>
      <c r="M476" t="str">
        <f>IFERROR(VLOOKUP(C476,Customers!$A:$E,5,FALSE),"")</f>
        <v>SMB</v>
      </c>
      <c r="N476">
        <f>IFERROR(VLOOKUP(C476,Customers!$A:$E,3,FALSE),"")</f>
        <v>54</v>
      </c>
      <c r="O476" s="33" t="str">
        <f>IFERROR(VLOOKUP(E476,Sales_Reps!$A:$C,3,FALSE),"")</f>
        <v>East</v>
      </c>
      <c r="P476" s="33">
        <f>IFERROR(VLOOKUP(D476,Products!$A:$D,4,FALSE),"")</f>
        <v>516</v>
      </c>
      <c r="Q476" s="33">
        <f t="shared" si="7"/>
        <v>0.4891089108910891</v>
      </c>
    </row>
    <row r="477" spans="1:17" x14ac:dyDescent="0.3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  <c r="L477" t="str">
        <f>IFERROR(VLOOKUP(D477,Products!$A:$C,3,FALSE),"")</f>
        <v>Electronics</v>
      </c>
      <c r="M477" t="str">
        <f>IFERROR(VLOOKUP(C477,Customers!$A:$E,5,FALSE),"")</f>
        <v>SMB</v>
      </c>
      <c r="N477">
        <f>IFERROR(VLOOKUP(C477,Customers!$A:$E,3,FALSE),"")</f>
        <v>43</v>
      </c>
      <c r="O477" s="33" t="str">
        <f>IFERROR(VLOOKUP(E477,Sales_Reps!$A:$C,3,FALSE),"")</f>
        <v>North</v>
      </c>
      <c r="P477" s="33">
        <f>IFERROR(VLOOKUP(D477,Products!$A:$D,4,FALSE),"")</f>
        <v>128</v>
      </c>
      <c r="Q477" s="33">
        <f t="shared" si="7"/>
        <v>0.57333333333333336</v>
      </c>
    </row>
    <row r="478" spans="1:17" x14ac:dyDescent="0.3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  <c r="L478" t="str">
        <f>IFERROR(VLOOKUP(D478,Products!$A:$C,3,FALSE),"")</f>
        <v>Beauty</v>
      </c>
      <c r="M478" t="str">
        <f>IFERROR(VLOOKUP(C478,Customers!$A:$E,5,FALSE),"")</f>
        <v>Corporate</v>
      </c>
      <c r="N478">
        <f>IFERROR(VLOOKUP(C478,Customers!$A:$E,3,FALSE),"")</f>
        <v>52</v>
      </c>
      <c r="O478" s="33" t="str">
        <f>IFERROR(VLOOKUP(E478,Sales_Reps!$A:$C,3,FALSE),"")</f>
        <v>North</v>
      </c>
      <c r="P478" s="33">
        <f>IFERROR(VLOOKUP(D478,Products!$A:$D,4,FALSE),"")</f>
        <v>2237</v>
      </c>
      <c r="Q478" s="33">
        <f t="shared" si="7"/>
        <v>0.56137254901960787</v>
      </c>
    </row>
    <row r="479" spans="1:17" x14ac:dyDescent="0.3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  <c r="L479" t="str">
        <f>IFERROR(VLOOKUP(D479,Products!$A:$C,3,FALSE),"")</f>
        <v>Beauty</v>
      </c>
      <c r="M479" t="str">
        <f>IFERROR(VLOOKUP(C479,Customers!$A:$E,5,FALSE),"")</f>
        <v>Retail</v>
      </c>
      <c r="N479">
        <f>IFERROR(VLOOKUP(C479,Customers!$A:$E,3,FALSE),"")</f>
        <v>31</v>
      </c>
      <c r="O479" s="33" t="str">
        <f>IFERROR(VLOOKUP(E479,Sales_Reps!$A:$C,3,FALSE),"")</f>
        <v>West</v>
      </c>
      <c r="P479" s="33">
        <f>IFERROR(VLOOKUP(D479,Products!$A:$D,4,FALSE),"")</f>
        <v>1728</v>
      </c>
      <c r="Q479" s="33">
        <f t="shared" si="7"/>
        <v>0.48417910447761192</v>
      </c>
    </row>
    <row r="480" spans="1:17" x14ac:dyDescent="0.3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  <c r="L480" t="str">
        <f>IFERROR(VLOOKUP(D480,Products!$A:$C,3,FALSE),"")</f>
        <v>Home</v>
      </c>
      <c r="M480" t="str">
        <f>IFERROR(VLOOKUP(C480,Customers!$A:$E,5,FALSE),"")</f>
        <v>Retail</v>
      </c>
      <c r="N480">
        <f>IFERROR(VLOOKUP(C480,Customers!$A:$E,3,FALSE),"")</f>
        <v>55</v>
      </c>
      <c r="O480" s="33" t="str">
        <f>IFERROR(VLOOKUP(E480,Sales_Reps!$A:$C,3,FALSE),"")</f>
        <v>East</v>
      </c>
      <c r="P480" s="33">
        <f>IFERROR(VLOOKUP(D480,Products!$A:$D,4,FALSE),"")</f>
        <v>1556</v>
      </c>
      <c r="Q480" s="33">
        <f t="shared" si="7"/>
        <v>0.52123076923076928</v>
      </c>
    </row>
    <row r="481" spans="1:17" x14ac:dyDescent="0.3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  <c r="L481" t="str">
        <f>IFERROR(VLOOKUP(D481,Products!$A:$C,3,FALSE),"")</f>
        <v>Grocery</v>
      </c>
      <c r="M481" t="str">
        <f>IFERROR(VLOOKUP(C481,Customers!$A:$E,5,FALSE),"")</f>
        <v>Retail</v>
      </c>
      <c r="N481">
        <f>IFERROR(VLOOKUP(C481,Customers!$A:$E,3,FALSE),"")</f>
        <v>38</v>
      </c>
      <c r="O481" s="33" t="str">
        <f>IFERROR(VLOOKUP(E481,Sales_Reps!$A:$C,3,FALSE),"")</f>
        <v>North</v>
      </c>
      <c r="P481" s="33">
        <f>IFERROR(VLOOKUP(D481,Products!$A:$D,4,FALSE),"")</f>
        <v>2214</v>
      </c>
      <c r="Q481" s="33">
        <f t="shared" si="7"/>
        <v>0.39508196721311473</v>
      </c>
    </row>
    <row r="482" spans="1:17" x14ac:dyDescent="0.3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  <c r="L482" t="str">
        <f>IFERROR(VLOOKUP(D482,Products!$A:$C,3,FALSE),"")</f>
        <v>Sports</v>
      </c>
      <c r="M482" t="str">
        <f>IFERROR(VLOOKUP(C482,Customers!$A:$E,5,FALSE),"")</f>
        <v>Retail</v>
      </c>
      <c r="N482">
        <f>IFERROR(VLOOKUP(C482,Customers!$A:$E,3,FALSE),"")</f>
        <v>51</v>
      </c>
      <c r="O482" s="33" t="str">
        <f>IFERROR(VLOOKUP(E482,Sales_Reps!$A:$C,3,FALSE),"")</f>
        <v>South</v>
      </c>
      <c r="P482" s="33">
        <f>IFERROR(VLOOKUP(D482,Products!$A:$D,4,FALSE),"")</f>
        <v>974</v>
      </c>
      <c r="Q482" s="33">
        <f t="shared" si="7"/>
        <v>0.59416666666666662</v>
      </c>
    </row>
    <row r="483" spans="1:17" x14ac:dyDescent="0.3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  <c r="L483" t="str">
        <f>IFERROR(VLOOKUP(D483,Products!$A:$C,3,FALSE),"")</f>
        <v>Home</v>
      </c>
      <c r="M483" t="str">
        <f>IFERROR(VLOOKUP(C483,Customers!$A:$E,5,FALSE),"")</f>
        <v>Corporate</v>
      </c>
      <c r="N483">
        <f>IFERROR(VLOOKUP(C483,Customers!$A:$E,3,FALSE),"")</f>
        <v>31</v>
      </c>
      <c r="O483" s="33" t="str">
        <f>IFERROR(VLOOKUP(E483,Sales_Reps!$A:$C,3,FALSE),"")</f>
        <v>South</v>
      </c>
      <c r="P483" s="33">
        <f>IFERROR(VLOOKUP(D483,Products!$A:$D,4,FALSE),"")</f>
        <v>464</v>
      </c>
      <c r="Q483" s="33">
        <f t="shared" si="7"/>
        <v>0.57431192660550456</v>
      </c>
    </row>
    <row r="484" spans="1:17" x14ac:dyDescent="0.3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  <c r="L484" t="str">
        <f>IFERROR(VLOOKUP(D484,Products!$A:$C,3,FALSE),"")</f>
        <v>Sports</v>
      </c>
      <c r="M484" t="str">
        <f>IFERROR(VLOOKUP(C484,Customers!$A:$E,5,FALSE),"")</f>
        <v>Retail</v>
      </c>
      <c r="N484">
        <f>IFERROR(VLOOKUP(C484,Customers!$A:$E,3,FALSE),"")</f>
        <v>22</v>
      </c>
      <c r="O484" s="33" t="str">
        <f>IFERROR(VLOOKUP(E484,Sales_Reps!$A:$C,3,FALSE),"")</f>
        <v>South</v>
      </c>
      <c r="P484" s="33">
        <f>IFERROR(VLOOKUP(D484,Products!$A:$D,4,FALSE),"")</f>
        <v>1860</v>
      </c>
      <c r="Q484" s="33">
        <f t="shared" si="7"/>
        <v>0.50793650793650791</v>
      </c>
    </row>
    <row r="485" spans="1:17" x14ac:dyDescent="0.3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  <c r="L485" t="str">
        <f>IFERROR(VLOOKUP(D485,Products!$A:$C,3,FALSE),"")</f>
        <v>Beauty</v>
      </c>
      <c r="M485" t="str">
        <f>IFERROR(VLOOKUP(C485,Customers!$A:$E,5,FALSE),"")</f>
        <v>SMB</v>
      </c>
      <c r="N485">
        <f>IFERROR(VLOOKUP(C485,Customers!$A:$E,3,FALSE),"")</f>
        <v>49</v>
      </c>
      <c r="O485" s="33" t="str">
        <f>IFERROR(VLOOKUP(E485,Sales_Reps!$A:$C,3,FALSE),"")</f>
        <v>East</v>
      </c>
      <c r="P485" s="33">
        <f>IFERROR(VLOOKUP(D485,Products!$A:$D,4,FALSE),"")</f>
        <v>1728</v>
      </c>
      <c r="Q485" s="33">
        <f t="shared" si="7"/>
        <v>0.48417910447761192</v>
      </c>
    </row>
    <row r="486" spans="1:17" x14ac:dyDescent="0.3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  <c r="L486" t="str">
        <f>IFERROR(VLOOKUP(D486,Products!$A:$C,3,FALSE),"")</f>
        <v>Home</v>
      </c>
      <c r="M486" t="str">
        <f>IFERROR(VLOOKUP(C486,Customers!$A:$E,5,FALSE),"")</f>
        <v>Corporate</v>
      </c>
      <c r="N486">
        <f>IFERROR(VLOOKUP(C486,Customers!$A:$E,3,FALSE),"")</f>
        <v>57</v>
      </c>
      <c r="O486" s="33" t="str">
        <f>IFERROR(VLOOKUP(E486,Sales_Reps!$A:$C,3,FALSE),"")</f>
        <v>West</v>
      </c>
      <c r="P486" s="33">
        <f>IFERROR(VLOOKUP(D486,Products!$A:$D,4,FALSE),"")</f>
        <v>519</v>
      </c>
      <c r="Q486" s="33">
        <f t="shared" si="7"/>
        <v>0.51944444444444449</v>
      </c>
    </row>
    <row r="487" spans="1:17" x14ac:dyDescent="0.3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  <c r="L487" t="str">
        <f>IFERROR(VLOOKUP(D487,Products!$A:$C,3,FALSE),"")</f>
        <v>Grocery</v>
      </c>
      <c r="M487" t="str">
        <f>IFERROR(VLOOKUP(C487,Customers!$A:$E,5,FALSE),"")</f>
        <v>SMB</v>
      </c>
      <c r="N487">
        <f>IFERROR(VLOOKUP(C487,Customers!$A:$E,3,FALSE),"")</f>
        <v>57</v>
      </c>
      <c r="O487" s="33" t="str">
        <f>IFERROR(VLOOKUP(E487,Sales_Reps!$A:$C,3,FALSE),"")</f>
        <v>East</v>
      </c>
      <c r="P487" s="33">
        <f>IFERROR(VLOOKUP(D487,Products!$A:$D,4,FALSE),"")</f>
        <v>2027</v>
      </c>
      <c r="Q487" s="33">
        <f t="shared" si="7"/>
        <v>0.50196560196560192</v>
      </c>
    </row>
    <row r="488" spans="1:17" x14ac:dyDescent="0.3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  <c r="L488" t="str">
        <f>IFERROR(VLOOKUP(D488,Products!$A:$C,3,FALSE),"")</f>
        <v>Beauty</v>
      </c>
      <c r="M488" t="str">
        <f>IFERROR(VLOOKUP(C488,Customers!$A:$E,5,FALSE),"")</f>
        <v>Retail</v>
      </c>
      <c r="N488">
        <f>IFERROR(VLOOKUP(C488,Customers!$A:$E,3,FALSE),"")</f>
        <v>22</v>
      </c>
      <c r="O488" s="33" t="str">
        <f>IFERROR(VLOOKUP(E488,Sales_Reps!$A:$C,3,FALSE),"")</f>
        <v>West</v>
      </c>
      <c r="P488" s="33">
        <f>IFERROR(VLOOKUP(D488,Products!$A:$D,4,FALSE),"")</f>
        <v>647</v>
      </c>
      <c r="Q488" s="33">
        <f t="shared" si="7"/>
        <v>0.57987012987012987</v>
      </c>
    </row>
    <row r="489" spans="1:17" x14ac:dyDescent="0.3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  <c r="L489" t="str">
        <f>IFERROR(VLOOKUP(D489,Products!$A:$C,3,FALSE),"")</f>
        <v>Grocery</v>
      </c>
      <c r="M489" t="str">
        <f>IFERROR(VLOOKUP(C489,Customers!$A:$E,5,FALSE),"")</f>
        <v>SMB</v>
      </c>
      <c r="N489">
        <f>IFERROR(VLOOKUP(C489,Customers!$A:$E,3,FALSE),"")</f>
        <v>28</v>
      </c>
      <c r="O489" s="33" t="str">
        <f>IFERROR(VLOOKUP(E489,Sales_Reps!$A:$C,3,FALSE),"")</f>
        <v>West</v>
      </c>
      <c r="P489" s="33">
        <f>IFERROR(VLOOKUP(D489,Products!$A:$D,4,FALSE),"")</f>
        <v>1435</v>
      </c>
      <c r="Q489" s="33">
        <f t="shared" si="7"/>
        <v>0.48007246376811596</v>
      </c>
    </row>
    <row r="490" spans="1:17" x14ac:dyDescent="0.3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  <c r="L490" t="str">
        <f>IFERROR(VLOOKUP(D490,Products!$A:$C,3,FALSE),"")</f>
        <v>Electronics</v>
      </c>
      <c r="M490" t="str">
        <f>IFERROR(VLOOKUP(C490,Customers!$A:$E,5,FALSE),"")</f>
        <v>Retail</v>
      </c>
      <c r="N490">
        <f>IFERROR(VLOOKUP(C490,Customers!$A:$E,3,FALSE),"")</f>
        <v>28</v>
      </c>
      <c r="O490" s="33" t="str">
        <f>IFERROR(VLOOKUP(E490,Sales_Reps!$A:$C,3,FALSE),"")</f>
        <v>East</v>
      </c>
      <c r="P490" s="33">
        <f>IFERROR(VLOOKUP(D490,Products!$A:$D,4,FALSE),"")</f>
        <v>2865</v>
      </c>
      <c r="Q490" s="33">
        <f t="shared" si="7"/>
        <v>0.27833753148614609</v>
      </c>
    </row>
    <row r="491" spans="1:17" x14ac:dyDescent="0.3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  <c r="L491" t="str">
        <f>IFERROR(VLOOKUP(D491,Products!$A:$C,3,FALSE),"")</f>
        <v>Apparel</v>
      </c>
      <c r="M491" t="str">
        <f>IFERROR(VLOOKUP(C491,Customers!$A:$E,5,FALSE),"")</f>
        <v>Retail</v>
      </c>
      <c r="N491">
        <f>IFERROR(VLOOKUP(C491,Customers!$A:$E,3,FALSE),"")</f>
        <v>37</v>
      </c>
      <c r="O491" s="33" t="str">
        <f>IFERROR(VLOOKUP(E491,Sales_Reps!$A:$C,3,FALSE),"")</f>
        <v>East</v>
      </c>
      <c r="P491" s="33">
        <f>IFERROR(VLOOKUP(D491,Products!$A:$D,4,FALSE),"")</f>
        <v>1748</v>
      </c>
      <c r="Q491" s="33">
        <f t="shared" si="7"/>
        <v>0.49333333333333335</v>
      </c>
    </row>
    <row r="492" spans="1:17" x14ac:dyDescent="0.3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  <c r="L492" t="str">
        <f>IFERROR(VLOOKUP(D492,Products!$A:$C,3,FALSE),"")</f>
        <v>Apparel</v>
      </c>
      <c r="M492" t="str">
        <f>IFERROR(VLOOKUP(C492,Customers!$A:$E,5,FALSE),"")</f>
        <v>Corporate</v>
      </c>
      <c r="N492">
        <f>IFERROR(VLOOKUP(C492,Customers!$A:$E,3,FALSE),"")</f>
        <v>36</v>
      </c>
      <c r="O492" s="33" t="str">
        <f>IFERROR(VLOOKUP(E492,Sales_Reps!$A:$C,3,FALSE),"")</f>
        <v>North</v>
      </c>
      <c r="P492" s="33">
        <f>IFERROR(VLOOKUP(D492,Products!$A:$D,4,FALSE),"")</f>
        <v>2629</v>
      </c>
      <c r="Q492" s="33">
        <f t="shared" si="7"/>
        <v>0.26151685393258428</v>
      </c>
    </row>
    <row r="493" spans="1:17" x14ac:dyDescent="0.3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  <c r="L493" t="str">
        <f>IFERROR(VLOOKUP(D493,Products!$A:$C,3,FALSE),"")</f>
        <v>Electronics</v>
      </c>
      <c r="M493" t="str">
        <f>IFERROR(VLOOKUP(C493,Customers!$A:$E,5,FALSE),"")</f>
        <v>Corporate</v>
      </c>
      <c r="N493">
        <f>IFERROR(VLOOKUP(C493,Customers!$A:$E,3,FALSE),"")</f>
        <v>29</v>
      </c>
      <c r="O493" s="33" t="str">
        <f>IFERROR(VLOOKUP(E493,Sales_Reps!$A:$C,3,FALSE),"")</f>
        <v>West</v>
      </c>
      <c r="P493" s="33">
        <f>IFERROR(VLOOKUP(D493,Products!$A:$D,4,FALSE),"")</f>
        <v>1665</v>
      </c>
      <c r="Q493" s="33">
        <f t="shared" si="7"/>
        <v>0.53361344537815125</v>
      </c>
    </row>
    <row r="494" spans="1:17" x14ac:dyDescent="0.3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  <c r="L494" t="str">
        <f>IFERROR(VLOOKUP(D494,Products!$A:$C,3,FALSE),"")</f>
        <v>Sports</v>
      </c>
      <c r="M494" t="str">
        <f>IFERROR(VLOOKUP(C494,Customers!$A:$E,5,FALSE),"")</f>
        <v>Retail</v>
      </c>
      <c r="N494">
        <f>IFERROR(VLOOKUP(C494,Customers!$A:$E,3,FALSE),"")</f>
        <v>59</v>
      </c>
      <c r="O494" s="33" t="str">
        <f>IFERROR(VLOOKUP(E494,Sales_Reps!$A:$C,3,FALSE),"")</f>
        <v>West</v>
      </c>
      <c r="P494" s="33">
        <f>IFERROR(VLOOKUP(D494,Products!$A:$D,4,FALSE),"")</f>
        <v>705</v>
      </c>
      <c r="Q494" s="33">
        <f t="shared" si="7"/>
        <v>0.265625</v>
      </c>
    </row>
    <row r="495" spans="1:17" x14ac:dyDescent="0.3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  <c r="L495" t="str">
        <f>IFERROR(VLOOKUP(D495,Products!$A:$C,3,FALSE),"")</f>
        <v>Beauty</v>
      </c>
      <c r="M495" t="str">
        <f>IFERROR(VLOOKUP(C495,Customers!$A:$E,5,FALSE),"")</f>
        <v>Corporate</v>
      </c>
      <c r="N495">
        <f>IFERROR(VLOOKUP(C495,Customers!$A:$E,3,FALSE),"")</f>
        <v>52</v>
      </c>
      <c r="O495" s="33" t="str">
        <f>IFERROR(VLOOKUP(E495,Sales_Reps!$A:$C,3,FALSE),"")</f>
        <v>South</v>
      </c>
      <c r="P495" s="33">
        <f>IFERROR(VLOOKUP(D495,Products!$A:$D,4,FALSE),"")</f>
        <v>2420</v>
      </c>
      <c r="Q495" s="33">
        <f t="shared" si="7"/>
        <v>0.29855072463768118</v>
      </c>
    </row>
    <row r="496" spans="1:17" x14ac:dyDescent="0.3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  <c r="L496" t="str">
        <f>IFERROR(VLOOKUP(D496,Products!$A:$C,3,FALSE),"")</f>
        <v>Beauty</v>
      </c>
      <c r="M496" t="str">
        <f>IFERROR(VLOOKUP(C496,Customers!$A:$E,5,FALSE),"")</f>
        <v>Retail</v>
      </c>
      <c r="N496">
        <f>IFERROR(VLOOKUP(C496,Customers!$A:$E,3,FALSE),"")</f>
        <v>59</v>
      </c>
      <c r="O496" s="33" t="str">
        <f>IFERROR(VLOOKUP(E496,Sales_Reps!$A:$C,3,FALSE),"")</f>
        <v>South</v>
      </c>
      <c r="P496" s="33">
        <f>IFERROR(VLOOKUP(D496,Products!$A:$D,4,FALSE),"")</f>
        <v>1728</v>
      </c>
      <c r="Q496" s="33">
        <f t="shared" si="7"/>
        <v>0.48417910447761192</v>
      </c>
    </row>
    <row r="497" spans="1:17" x14ac:dyDescent="0.3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  <c r="L497" t="str">
        <f>IFERROR(VLOOKUP(D497,Products!$A:$C,3,FALSE),"")</f>
        <v>Beauty</v>
      </c>
      <c r="M497" t="str">
        <f>IFERROR(VLOOKUP(C497,Customers!$A:$E,5,FALSE),"")</f>
        <v>Retail</v>
      </c>
      <c r="N497">
        <f>IFERROR(VLOOKUP(C497,Customers!$A:$E,3,FALSE),"")</f>
        <v>35</v>
      </c>
      <c r="O497" s="33" t="str">
        <f>IFERROR(VLOOKUP(E497,Sales_Reps!$A:$C,3,FALSE),"")</f>
        <v>North</v>
      </c>
      <c r="P497" s="33">
        <f>IFERROR(VLOOKUP(D497,Products!$A:$D,4,FALSE),"")</f>
        <v>675</v>
      </c>
      <c r="Q497" s="33">
        <f t="shared" si="7"/>
        <v>0.296875</v>
      </c>
    </row>
    <row r="498" spans="1:17" x14ac:dyDescent="0.3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  <c r="L498" t="str">
        <f>IFERROR(VLOOKUP(D498,Products!$A:$C,3,FALSE),"")</f>
        <v>Electronics</v>
      </c>
      <c r="M498" t="str">
        <f>IFERROR(VLOOKUP(C498,Customers!$A:$E,5,FALSE),"")</f>
        <v>SMB</v>
      </c>
      <c r="N498">
        <f>IFERROR(VLOOKUP(C498,Customers!$A:$E,3,FALSE),"")</f>
        <v>27</v>
      </c>
      <c r="O498" s="33" t="str">
        <f>IFERROR(VLOOKUP(E498,Sales_Reps!$A:$C,3,FALSE),"")</f>
        <v>South</v>
      </c>
      <c r="P498" s="33">
        <f>IFERROR(VLOOKUP(D498,Products!$A:$D,4,FALSE),"")</f>
        <v>128</v>
      </c>
      <c r="Q498" s="33">
        <f t="shared" si="7"/>
        <v>0.57333333333333336</v>
      </c>
    </row>
    <row r="499" spans="1:17" x14ac:dyDescent="0.3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  <c r="L499" t="str">
        <f>IFERROR(VLOOKUP(D499,Products!$A:$C,3,FALSE),"")</f>
        <v>Grocery</v>
      </c>
      <c r="M499" t="str">
        <f>IFERROR(VLOOKUP(C499,Customers!$A:$E,5,FALSE),"")</f>
        <v>Retail</v>
      </c>
      <c r="N499">
        <f>IFERROR(VLOOKUP(C499,Customers!$A:$E,3,FALSE),"")</f>
        <v>38</v>
      </c>
      <c r="O499" s="33" t="str">
        <f>IFERROR(VLOOKUP(E499,Sales_Reps!$A:$C,3,FALSE),"")</f>
        <v>East</v>
      </c>
      <c r="P499" s="33">
        <f>IFERROR(VLOOKUP(D499,Products!$A:$D,4,FALSE),"")</f>
        <v>1182</v>
      </c>
      <c r="Q499" s="33">
        <f t="shared" si="7"/>
        <v>0.50336134453781511</v>
      </c>
    </row>
    <row r="500" spans="1:17" x14ac:dyDescent="0.3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  <c r="L500" t="str">
        <f>IFERROR(VLOOKUP(D500,Products!$A:$C,3,FALSE),"")</f>
        <v>Sports</v>
      </c>
      <c r="M500" t="str">
        <f>IFERROR(VLOOKUP(C500,Customers!$A:$E,5,FALSE),"")</f>
        <v>Retail</v>
      </c>
      <c r="N500">
        <f>IFERROR(VLOOKUP(C500,Customers!$A:$E,3,FALSE),"")</f>
        <v>29</v>
      </c>
      <c r="O500" s="33" t="str">
        <f>IFERROR(VLOOKUP(E500,Sales_Reps!$A:$C,3,FALSE),"")</f>
        <v>West</v>
      </c>
      <c r="P500" s="33">
        <f>IFERROR(VLOOKUP(D500,Products!$A:$D,4,FALSE),"")</f>
        <v>705</v>
      </c>
      <c r="Q500" s="33">
        <f t="shared" si="7"/>
        <v>0.265625</v>
      </c>
    </row>
    <row r="501" spans="1:17" x14ac:dyDescent="0.3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  <c r="L501" t="str">
        <f>IFERROR(VLOOKUP(D501,Products!$A:$C,3,FALSE),"")</f>
        <v>Sports</v>
      </c>
      <c r="M501" t="str">
        <f>IFERROR(VLOOKUP(C501,Customers!$A:$E,5,FALSE),"")</f>
        <v>SMB</v>
      </c>
      <c r="N501">
        <f>IFERROR(VLOOKUP(C501,Customers!$A:$E,3,FALSE),"")</f>
        <v>55</v>
      </c>
      <c r="O501" s="33" t="str">
        <f>IFERROR(VLOOKUP(E501,Sales_Reps!$A:$C,3,FALSE),"")</f>
        <v>South</v>
      </c>
      <c r="P501" s="33">
        <f>IFERROR(VLOOKUP(D501,Products!$A:$D,4,FALSE),"")</f>
        <v>1860</v>
      </c>
      <c r="Q501" s="33">
        <f t="shared" si="7"/>
        <v>0.50793650793650791</v>
      </c>
    </row>
    <row r="502" spans="1:17" x14ac:dyDescent="0.3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  <c r="L502" t="str">
        <f>IFERROR(VLOOKUP(D502,Products!$A:$C,3,FALSE),"")</f>
        <v>Beauty</v>
      </c>
      <c r="M502" t="str">
        <f>IFERROR(VLOOKUP(C502,Customers!$A:$E,5,FALSE),"")</f>
        <v>Retail</v>
      </c>
      <c r="N502">
        <f>IFERROR(VLOOKUP(C502,Customers!$A:$E,3,FALSE),"")</f>
        <v>51</v>
      </c>
      <c r="O502" s="33" t="str">
        <f>IFERROR(VLOOKUP(E502,Sales_Reps!$A:$C,3,FALSE),"")</f>
        <v>East</v>
      </c>
      <c r="P502" s="33">
        <f>IFERROR(VLOOKUP(D502,Products!$A:$D,4,FALSE),"")</f>
        <v>647</v>
      </c>
      <c r="Q502" s="33">
        <f t="shared" si="7"/>
        <v>0.57987012987012987</v>
      </c>
    </row>
    <row r="503" spans="1:17" x14ac:dyDescent="0.3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  <c r="L503" t="str">
        <f>IFERROR(VLOOKUP(D503,Products!$A:$C,3,FALSE),"")</f>
        <v>Apparel</v>
      </c>
      <c r="M503" t="str">
        <f>IFERROR(VLOOKUP(C503,Customers!$A:$E,5,FALSE),"")</f>
        <v>Retail</v>
      </c>
      <c r="N503">
        <f>IFERROR(VLOOKUP(C503,Customers!$A:$E,3,FALSE),"")</f>
        <v>52</v>
      </c>
      <c r="O503" s="33" t="str">
        <f>IFERROR(VLOOKUP(E503,Sales_Reps!$A:$C,3,FALSE),"")</f>
        <v>North</v>
      </c>
      <c r="P503" s="33">
        <f>IFERROR(VLOOKUP(D503,Products!$A:$D,4,FALSE),"")</f>
        <v>1075</v>
      </c>
      <c r="Q503" s="33">
        <f t="shared" si="7"/>
        <v>0.57171314741035861</v>
      </c>
    </row>
    <row r="504" spans="1:17" x14ac:dyDescent="0.3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  <c r="L504" t="str">
        <f>IFERROR(VLOOKUP(D504,Products!$A:$C,3,FALSE),"")</f>
        <v>Grocery</v>
      </c>
      <c r="M504" t="str">
        <f>IFERROR(VLOOKUP(C504,Customers!$A:$E,5,FALSE),"")</f>
        <v>Retail</v>
      </c>
      <c r="N504">
        <f>IFERROR(VLOOKUP(C504,Customers!$A:$E,3,FALSE),"")</f>
        <v>44</v>
      </c>
      <c r="O504" s="33" t="str">
        <f>IFERROR(VLOOKUP(E504,Sales_Reps!$A:$C,3,FALSE),"")</f>
        <v>South</v>
      </c>
      <c r="P504" s="33">
        <f>IFERROR(VLOOKUP(D504,Products!$A:$D,4,FALSE),"")</f>
        <v>2911</v>
      </c>
      <c r="Q504" s="33">
        <f t="shared" si="7"/>
        <v>0.28300492610837441</v>
      </c>
    </row>
    <row r="505" spans="1:17" x14ac:dyDescent="0.3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  <c r="L505" t="str">
        <f>IFERROR(VLOOKUP(D505,Products!$A:$C,3,FALSE),"")</f>
        <v>Sports</v>
      </c>
      <c r="M505" t="str">
        <f>IFERROR(VLOOKUP(C505,Customers!$A:$E,5,FALSE),"")</f>
        <v>SMB</v>
      </c>
      <c r="N505">
        <f>IFERROR(VLOOKUP(C505,Customers!$A:$E,3,FALSE),"")</f>
        <v>28</v>
      </c>
      <c r="O505" s="33" t="str">
        <f>IFERROR(VLOOKUP(E505,Sales_Reps!$A:$C,3,FALSE),"")</f>
        <v>West</v>
      </c>
      <c r="P505" s="33">
        <f>IFERROR(VLOOKUP(D505,Products!$A:$D,4,FALSE),"")</f>
        <v>974</v>
      </c>
      <c r="Q505" s="33">
        <f t="shared" si="7"/>
        <v>0.59416666666666662</v>
      </c>
    </row>
    <row r="506" spans="1:17" x14ac:dyDescent="0.3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  <c r="L506" t="str">
        <f>IFERROR(VLOOKUP(D506,Products!$A:$C,3,FALSE),"")</f>
        <v>Beauty</v>
      </c>
      <c r="M506" t="str">
        <f>IFERROR(VLOOKUP(C506,Customers!$A:$E,5,FALSE),"")</f>
        <v>Corporate</v>
      </c>
      <c r="N506">
        <f>IFERROR(VLOOKUP(C506,Customers!$A:$E,3,FALSE),"")</f>
        <v>46</v>
      </c>
      <c r="O506" s="33" t="str">
        <f>IFERROR(VLOOKUP(E506,Sales_Reps!$A:$C,3,FALSE),"")</f>
        <v>East</v>
      </c>
      <c r="P506" s="33">
        <f>IFERROR(VLOOKUP(D506,Products!$A:$D,4,FALSE),"")</f>
        <v>2768</v>
      </c>
      <c r="Q506" s="33">
        <f t="shared" si="7"/>
        <v>0.43278688524590164</v>
      </c>
    </row>
    <row r="507" spans="1:17" x14ac:dyDescent="0.3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  <c r="L507" t="str">
        <f>IFERROR(VLOOKUP(D507,Products!$A:$C,3,FALSE),"")</f>
        <v>Beauty</v>
      </c>
      <c r="M507" t="str">
        <f>IFERROR(VLOOKUP(C507,Customers!$A:$E,5,FALSE),"")</f>
        <v>Retail</v>
      </c>
      <c r="N507">
        <f>IFERROR(VLOOKUP(C507,Customers!$A:$E,3,FALSE),"")</f>
        <v>44</v>
      </c>
      <c r="O507" s="33" t="str">
        <f>IFERROR(VLOOKUP(E507,Sales_Reps!$A:$C,3,FALSE),"")</f>
        <v>East</v>
      </c>
      <c r="P507" s="33">
        <f>IFERROR(VLOOKUP(D507,Products!$A:$D,4,FALSE),"")</f>
        <v>2237</v>
      </c>
      <c r="Q507" s="33">
        <f t="shared" si="7"/>
        <v>0.56137254901960787</v>
      </c>
    </row>
    <row r="508" spans="1:17" x14ac:dyDescent="0.3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  <c r="L508" t="str">
        <f>IFERROR(VLOOKUP(D508,Products!$A:$C,3,FALSE),"")</f>
        <v>Electronics</v>
      </c>
      <c r="M508" t="str">
        <f>IFERROR(VLOOKUP(C508,Customers!$A:$E,5,FALSE),"")</f>
        <v>SMB</v>
      </c>
      <c r="N508">
        <f>IFERROR(VLOOKUP(C508,Customers!$A:$E,3,FALSE),"")</f>
        <v>38</v>
      </c>
      <c r="O508" s="33" t="str">
        <f>IFERROR(VLOOKUP(E508,Sales_Reps!$A:$C,3,FALSE),"")</f>
        <v>West</v>
      </c>
      <c r="P508" s="33">
        <f>IFERROR(VLOOKUP(D508,Products!$A:$D,4,FALSE),"")</f>
        <v>128</v>
      </c>
      <c r="Q508" s="33">
        <f t="shared" si="7"/>
        <v>0.57333333333333336</v>
      </c>
    </row>
    <row r="509" spans="1:17" x14ac:dyDescent="0.3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  <c r="L509" t="str">
        <f>IFERROR(VLOOKUP(D509,Products!$A:$C,3,FALSE),"")</f>
        <v>Apparel</v>
      </c>
      <c r="M509" t="str">
        <f>IFERROR(VLOOKUP(C509,Customers!$A:$E,5,FALSE),"")</f>
        <v>Retail</v>
      </c>
      <c r="N509">
        <f>IFERROR(VLOOKUP(C509,Customers!$A:$E,3,FALSE),"")</f>
        <v>26</v>
      </c>
      <c r="O509" s="33" t="str">
        <f>IFERROR(VLOOKUP(E509,Sales_Reps!$A:$C,3,FALSE),"")</f>
        <v>South</v>
      </c>
      <c r="P509" s="33">
        <f>IFERROR(VLOOKUP(D509,Products!$A:$D,4,FALSE),"")</f>
        <v>1173</v>
      </c>
      <c r="Q509" s="33">
        <f t="shared" si="7"/>
        <v>0.52701612903225803</v>
      </c>
    </row>
    <row r="510" spans="1:17" x14ac:dyDescent="0.3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  <c r="L510" t="str">
        <f>IFERROR(VLOOKUP(D510,Products!$A:$C,3,FALSE),"")</f>
        <v>Beauty</v>
      </c>
      <c r="M510" t="str">
        <f>IFERROR(VLOOKUP(C510,Customers!$A:$E,5,FALSE),"")</f>
        <v>Retail</v>
      </c>
      <c r="N510">
        <f>IFERROR(VLOOKUP(C510,Customers!$A:$E,3,FALSE),"")</f>
        <v>36</v>
      </c>
      <c r="O510" s="33" t="str">
        <f>IFERROR(VLOOKUP(E510,Sales_Reps!$A:$C,3,FALSE),"")</f>
        <v>East</v>
      </c>
      <c r="P510" s="33">
        <f>IFERROR(VLOOKUP(D510,Products!$A:$D,4,FALSE),"")</f>
        <v>1222</v>
      </c>
      <c r="Q510" s="33">
        <f t="shared" si="7"/>
        <v>0.2593939393939394</v>
      </c>
    </row>
    <row r="511" spans="1:17" x14ac:dyDescent="0.3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  <c r="L511" t="str">
        <f>IFERROR(VLOOKUP(D511,Products!$A:$C,3,FALSE),"")</f>
        <v>Grocery</v>
      </c>
      <c r="M511" t="str">
        <f>IFERROR(VLOOKUP(C511,Customers!$A:$E,5,FALSE),"")</f>
        <v>Corporate</v>
      </c>
      <c r="N511">
        <f>IFERROR(VLOOKUP(C511,Customers!$A:$E,3,FALSE),"")</f>
        <v>54</v>
      </c>
      <c r="O511" s="33" t="str">
        <f>IFERROR(VLOOKUP(E511,Sales_Reps!$A:$C,3,FALSE),"")</f>
        <v>South</v>
      </c>
      <c r="P511" s="33">
        <f>IFERROR(VLOOKUP(D511,Products!$A:$D,4,FALSE),"")</f>
        <v>1010</v>
      </c>
      <c r="Q511" s="33">
        <f t="shared" si="7"/>
        <v>0.54298642533936647</v>
      </c>
    </row>
    <row r="512" spans="1:17" x14ac:dyDescent="0.3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  <c r="L512" t="str">
        <f>IFERROR(VLOOKUP(D512,Products!$A:$C,3,FALSE),"")</f>
        <v>Apparel</v>
      </c>
      <c r="M512" t="str">
        <f>IFERROR(VLOOKUP(C512,Customers!$A:$E,5,FALSE),"")</f>
        <v>Retail</v>
      </c>
      <c r="N512">
        <f>IFERROR(VLOOKUP(C512,Customers!$A:$E,3,FALSE),"")</f>
        <v>54</v>
      </c>
      <c r="O512" s="33" t="str">
        <f>IFERROR(VLOOKUP(E512,Sales_Reps!$A:$C,3,FALSE),"")</f>
        <v>North</v>
      </c>
      <c r="P512" s="33">
        <f>IFERROR(VLOOKUP(D512,Products!$A:$D,4,FALSE),"")</f>
        <v>1173</v>
      </c>
      <c r="Q512" s="33">
        <f t="shared" si="7"/>
        <v>0.52701612903225803</v>
      </c>
    </row>
    <row r="513" spans="1:17" x14ac:dyDescent="0.3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  <c r="L513" t="str">
        <f>IFERROR(VLOOKUP(D513,Products!$A:$C,3,FALSE),"")</f>
        <v>Electronics</v>
      </c>
      <c r="M513" t="str">
        <f>IFERROR(VLOOKUP(C513,Customers!$A:$E,5,FALSE),"")</f>
        <v>Corporate</v>
      </c>
      <c r="N513">
        <f>IFERROR(VLOOKUP(C513,Customers!$A:$E,3,FALSE),"")</f>
        <v>46</v>
      </c>
      <c r="O513" s="33" t="str">
        <f>IFERROR(VLOOKUP(E513,Sales_Reps!$A:$C,3,FALSE),"")</f>
        <v>East</v>
      </c>
      <c r="P513" s="33">
        <f>IFERROR(VLOOKUP(D513,Products!$A:$D,4,FALSE),"")</f>
        <v>2405</v>
      </c>
      <c r="Q513" s="33">
        <f t="shared" si="7"/>
        <v>0.54878048780487809</v>
      </c>
    </row>
    <row r="514" spans="1:17" x14ac:dyDescent="0.3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  <c r="L514" t="str">
        <f>IFERROR(VLOOKUP(D514,Products!$A:$C,3,FALSE),"")</f>
        <v>Grocery</v>
      </c>
      <c r="M514" t="str">
        <f>IFERROR(VLOOKUP(C514,Customers!$A:$E,5,FALSE),"")</f>
        <v>Retail</v>
      </c>
      <c r="N514">
        <f>IFERROR(VLOOKUP(C514,Customers!$A:$E,3,FALSE),"")</f>
        <v>65</v>
      </c>
      <c r="O514" s="33" t="str">
        <f>IFERROR(VLOOKUP(E514,Sales_Reps!$A:$C,3,FALSE),"")</f>
        <v>South</v>
      </c>
      <c r="P514" s="33">
        <f>IFERROR(VLOOKUP(D514,Products!$A:$D,4,FALSE),"")</f>
        <v>2027</v>
      </c>
      <c r="Q514" s="33">
        <f t="shared" si="7"/>
        <v>0.50196560196560192</v>
      </c>
    </row>
    <row r="515" spans="1:17" x14ac:dyDescent="0.3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  <c r="L515" t="str">
        <f>IFERROR(VLOOKUP(D515,Products!$A:$C,3,FALSE),"")</f>
        <v>Apparel</v>
      </c>
      <c r="M515" t="str">
        <f>IFERROR(VLOOKUP(C515,Customers!$A:$E,5,FALSE),"")</f>
        <v>Retail</v>
      </c>
      <c r="N515">
        <f>IFERROR(VLOOKUP(C515,Customers!$A:$E,3,FALSE),"")</f>
        <v>32</v>
      </c>
      <c r="O515" s="33" t="str">
        <f>IFERROR(VLOOKUP(E515,Sales_Reps!$A:$C,3,FALSE),"")</f>
        <v>North</v>
      </c>
      <c r="P515" s="33">
        <f>IFERROR(VLOOKUP(D515,Products!$A:$D,4,FALSE),"")</f>
        <v>1962</v>
      </c>
      <c r="Q515" s="33">
        <f t="shared" ref="Q515:Q578" si="8">IFERROR((G515-P515)/G515,"")</f>
        <v>0.2786764705882353</v>
      </c>
    </row>
    <row r="516" spans="1:17" x14ac:dyDescent="0.3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  <c r="L516" t="str">
        <f>IFERROR(VLOOKUP(D516,Products!$A:$C,3,FALSE),"")</f>
        <v>Sports</v>
      </c>
      <c r="M516" t="str">
        <f>IFERROR(VLOOKUP(C516,Customers!$A:$E,5,FALSE),"")</f>
        <v>Corporate</v>
      </c>
      <c r="N516">
        <f>IFERROR(VLOOKUP(C516,Customers!$A:$E,3,FALSE),"")</f>
        <v>43</v>
      </c>
      <c r="O516" s="33" t="str">
        <f>IFERROR(VLOOKUP(E516,Sales_Reps!$A:$C,3,FALSE),"")</f>
        <v>West</v>
      </c>
      <c r="P516" s="33">
        <f>IFERROR(VLOOKUP(D516,Products!$A:$D,4,FALSE),"")</f>
        <v>2028</v>
      </c>
      <c r="Q516" s="33">
        <f t="shared" si="8"/>
        <v>0.29090909090909089</v>
      </c>
    </row>
    <row r="517" spans="1:17" x14ac:dyDescent="0.3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  <c r="L517" t="str">
        <f>IFERROR(VLOOKUP(D517,Products!$A:$C,3,FALSE),"")</f>
        <v>Apparel</v>
      </c>
      <c r="M517" t="str">
        <f>IFERROR(VLOOKUP(C517,Customers!$A:$E,5,FALSE),"")</f>
        <v>Retail</v>
      </c>
      <c r="N517">
        <f>IFERROR(VLOOKUP(C517,Customers!$A:$E,3,FALSE),"")</f>
        <v>35</v>
      </c>
      <c r="O517" s="33" t="str">
        <f>IFERROR(VLOOKUP(E517,Sales_Reps!$A:$C,3,FALSE),"")</f>
        <v>South</v>
      </c>
      <c r="P517" s="33">
        <f>IFERROR(VLOOKUP(D517,Products!$A:$D,4,FALSE),"")</f>
        <v>2509</v>
      </c>
      <c r="Q517" s="33">
        <f t="shared" si="8"/>
        <v>0.3069060773480663</v>
      </c>
    </row>
    <row r="518" spans="1:17" x14ac:dyDescent="0.3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  <c r="L518" t="str">
        <f>IFERROR(VLOOKUP(D518,Products!$A:$C,3,FALSE),"")</f>
        <v>Beauty</v>
      </c>
      <c r="M518" t="str">
        <f>IFERROR(VLOOKUP(C518,Customers!$A:$E,5,FALSE),"")</f>
        <v>SMB</v>
      </c>
      <c r="N518">
        <f>IFERROR(VLOOKUP(C518,Customers!$A:$E,3,FALSE),"")</f>
        <v>46</v>
      </c>
      <c r="O518" s="33" t="str">
        <f>IFERROR(VLOOKUP(E518,Sales_Reps!$A:$C,3,FALSE),"")</f>
        <v>East</v>
      </c>
      <c r="P518" s="33">
        <f>IFERROR(VLOOKUP(D518,Products!$A:$D,4,FALSE),"")</f>
        <v>1222</v>
      </c>
      <c r="Q518" s="33">
        <f t="shared" si="8"/>
        <v>0.2593939393939394</v>
      </c>
    </row>
    <row r="519" spans="1:17" x14ac:dyDescent="0.3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  <c r="L519" t="str">
        <f>IFERROR(VLOOKUP(D519,Products!$A:$C,3,FALSE),"")</f>
        <v>Sports</v>
      </c>
      <c r="M519" t="str">
        <f>IFERROR(VLOOKUP(C519,Customers!$A:$E,5,FALSE),"")</f>
        <v>Retail</v>
      </c>
      <c r="N519">
        <f>IFERROR(VLOOKUP(C519,Customers!$A:$E,3,FALSE),"")</f>
        <v>25</v>
      </c>
      <c r="O519" s="33" t="str">
        <f>IFERROR(VLOOKUP(E519,Sales_Reps!$A:$C,3,FALSE),"")</f>
        <v>West</v>
      </c>
      <c r="P519" s="33">
        <f>IFERROR(VLOOKUP(D519,Products!$A:$D,4,FALSE),"")</f>
        <v>147</v>
      </c>
      <c r="Q519" s="33">
        <f t="shared" si="8"/>
        <v>0.22631578947368422</v>
      </c>
    </row>
    <row r="520" spans="1:17" x14ac:dyDescent="0.3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  <c r="L520" t="str">
        <f>IFERROR(VLOOKUP(D520,Products!$A:$C,3,FALSE),"")</f>
        <v>Beauty</v>
      </c>
      <c r="M520" t="str">
        <f>IFERROR(VLOOKUP(C520,Customers!$A:$E,5,FALSE),"")</f>
        <v>Retail</v>
      </c>
      <c r="N520">
        <f>IFERROR(VLOOKUP(C520,Customers!$A:$E,3,FALSE),"")</f>
        <v>49</v>
      </c>
      <c r="O520" s="33" t="str">
        <f>IFERROR(VLOOKUP(E520,Sales_Reps!$A:$C,3,FALSE),"")</f>
        <v>West</v>
      </c>
      <c r="P520" s="33">
        <f>IFERROR(VLOOKUP(D520,Products!$A:$D,4,FALSE),"")</f>
        <v>1219</v>
      </c>
      <c r="Q520" s="33">
        <f t="shared" si="8"/>
        <v>0.46768558951965067</v>
      </c>
    </row>
    <row r="521" spans="1:17" x14ac:dyDescent="0.3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  <c r="L521" t="str">
        <f>IFERROR(VLOOKUP(D521,Products!$A:$C,3,FALSE),"")</f>
        <v>Electronics</v>
      </c>
      <c r="M521" t="str">
        <f>IFERROR(VLOOKUP(C521,Customers!$A:$E,5,FALSE),"")</f>
        <v>SMB</v>
      </c>
      <c r="N521">
        <f>IFERROR(VLOOKUP(C521,Customers!$A:$E,3,FALSE),"")</f>
        <v>52</v>
      </c>
      <c r="O521" s="33" t="str">
        <f>IFERROR(VLOOKUP(E521,Sales_Reps!$A:$C,3,FALSE),"")</f>
        <v>East</v>
      </c>
      <c r="P521" s="33">
        <f>IFERROR(VLOOKUP(D521,Products!$A:$D,4,FALSE),"")</f>
        <v>2405</v>
      </c>
      <c r="Q521" s="33">
        <f t="shared" si="8"/>
        <v>0.54878048780487809</v>
      </c>
    </row>
    <row r="522" spans="1:17" x14ac:dyDescent="0.3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  <c r="L522" t="str">
        <f>IFERROR(VLOOKUP(D522,Products!$A:$C,3,FALSE),"")</f>
        <v>Electronics</v>
      </c>
      <c r="M522" t="str">
        <f>IFERROR(VLOOKUP(C522,Customers!$A:$E,5,FALSE),"")</f>
        <v>SMB</v>
      </c>
      <c r="N522">
        <f>IFERROR(VLOOKUP(C522,Customers!$A:$E,3,FALSE),"")</f>
        <v>65</v>
      </c>
      <c r="O522" s="33" t="str">
        <f>IFERROR(VLOOKUP(E522,Sales_Reps!$A:$C,3,FALSE),"")</f>
        <v>South</v>
      </c>
      <c r="P522" s="33">
        <f>IFERROR(VLOOKUP(D522,Products!$A:$D,4,FALSE),"")</f>
        <v>2405</v>
      </c>
      <c r="Q522" s="33">
        <f t="shared" si="8"/>
        <v>0.54878048780487809</v>
      </c>
    </row>
    <row r="523" spans="1:17" x14ac:dyDescent="0.3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  <c r="L523" t="str">
        <f>IFERROR(VLOOKUP(D523,Products!$A:$C,3,FALSE),"")</f>
        <v>Home</v>
      </c>
      <c r="M523" t="str">
        <f>IFERROR(VLOOKUP(C523,Customers!$A:$E,5,FALSE),"")</f>
        <v>Retail</v>
      </c>
      <c r="N523">
        <f>IFERROR(VLOOKUP(C523,Customers!$A:$E,3,FALSE),"")</f>
        <v>38</v>
      </c>
      <c r="O523" s="33" t="str">
        <f>IFERROR(VLOOKUP(E523,Sales_Reps!$A:$C,3,FALSE),"")</f>
        <v>North</v>
      </c>
      <c r="P523" s="33">
        <f>IFERROR(VLOOKUP(D523,Products!$A:$D,4,FALSE),"")</f>
        <v>2459</v>
      </c>
      <c r="Q523" s="33">
        <f t="shared" si="8"/>
        <v>0.51594488188976373</v>
      </c>
    </row>
    <row r="524" spans="1:17" x14ac:dyDescent="0.3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  <c r="L524" t="str">
        <f>IFERROR(VLOOKUP(D524,Products!$A:$C,3,FALSE),"")</f>
        <v>Home</v>
      </c>
      <c r="M524" t="str">
        <f>IFERROR(VLOOKUP(C524,Customers!$A:$E,5,FALSE),"")</f>
        <v>SMB</v>
      </c>
      <c r="N524">
        <f>IFERROR(VLOOKUP(C524,Customers!$A:$E,3,FALSE),"")</f>
        <v>49</v>
      </c>
      <c r="O524" s="33" t="str">
        <f>IFERROR(VLOOKUP(E524,Sales_Reps!$A:$C,3,FALSE),"")</f>
        <v>North</v>
      </c>
      <c r="P524" s="33">
        <f>IFERROR(VLOOKUP(D524,Products!$A:$D,4,FALSE),"")</f>
        <v>288</v>
      </c>
      <c r="Q524" s="33">
        <f t="shared" si="8"/>
        <v>0.22162162162162163</v>
      </c>
    </row>
    <row r="525" spans="1:17" x14ac:dyDescent="0.3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  <c r="L525" t="str">
        <f>IFERROR(VLOOKUP(D525,Products!$A:$C,3,FALSE),"")</f>
        <v>Sports</v>
      </c>
      <c r="M525" t="str">
        <f>IFERROR(VLOOKUP(C525,Customers!$A:$E,5,FALSE),"")</f>
        <v>Retail</v>
      </c>
      <c r="N525">
        <f>IFERROR(VLOOKUP(C525,Customers!$A:$E,3,FALSE),"")</f>
        <v>31</v>
      </c>
      <c r="O525" s="33" t="str">
        <f>IFERROR(VLOOKUP(E525,Sales_Reps!$A:$C,3,FALSE),"")</f>
        <v>South</v>
      </c>
      <c r="P525" s="33">
        <f>IFERROR(VLOOKUP(D525,Products!$A:$D,4,FALSE),"")</f>
        <v>302</v>
      </c>
      <c r="Q525" s="33">
        <f t="shared" si="8"/>
        <v>0.35744680851063831</v>
      </c>
    </row>
    <row r="526" spans="1:17" x14ac:dyDescent="0.3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  <c r="L526" t="str">
        <f>IFERROR(VLOOKUP(D526,Products!$A:$C,3,FALSE),"")</f>
        <v>Sports</v>
      </c>
      <c r="M526" t="str">
        <f>IFERROR(VLOOKUP(C526,Customers!$A:$E,5,FALSE),"")</f>
        <v>SMB</v>
      </c>
      <c r="N526">
        <f>IFERROR(VLOOKUP(C526,Customers!$A:$E,3,FALSE),"")</f>
        <v>27</v>
      </c>
      <c r="O526" s="33" t="str">
        <f>IFERROR(VLOOKUP(E526,Sales_Reps!$A:$C,3,FALSE),"")</f>
        <v>West</v>
      </c>
      <c r="P526" s="33">
        <f>IFERROR(VLOOKUP(D526,Products!$A:$D,4,FALSE),"")</f>
        <v>2265</v>
      </c>
      <c r="Q526" s="33">
        <f t="shared" si="8"/>
        <v>0.58133086876155271</v>
      </c>
    </row>
    <row r="527" spans="1:17" x14ac:dyDescent="0.3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  <c r="L527" t="str">
        <f>IFERROR(VLOOKUP(D527,Products!$A:$C,3,FALSE),"")</f>
        <v>Apparel</v>
      </c>
      <c r="M527" t="str">
        <f>IFERROR(VLOOKUP(C527,Customers!$A:$E,5,FALSE),"")</f>
        <v>SMB</v>
      </c>
      <c r="N527">
        <f>IFERROR(VLOOKUP(C527,Customers!$A:$E,3,FALSE),"")</f>
        <v>31</v>
      </c>
      <c r="O527" s="33" t="str">
        <f>IFERROR(VLOOKUP(E527,Sales_Reps!$A:$C,3,FALSE),"")</f>
        <v>North</v>
      </c>
      <c r="P527" s="33">
        <f>IFERROR(VLOOKUP(D527,Products!$A:$D,4,FALSE),"")</f>
        <v>2509</v>
      </c>
      <c r="Q527" s="33">
        <f t="shared" si="8"/>
        <v>0.3069060773480663</v>
      </c>
    </row>
    <row r="528" spans="1:17" x14ac:dyDescent="0.3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  <c r="L528" t="str">
        <f>IFERROR(VLOOKUP(D528,Products!$A:$C,3,FALSE),"")</f>
        <v>Grocery</v>
      </c>
      <c r="M528" t="str">
        <f>IFERROR(VLOOKUP(C528,Customers!$A:$E,5,FALSE),"")</f>
        <v>Retail</v>
      </c>
      <c r="N528">
        <f>IFERROR(VLOOKUP(C528,Customers!$A:$E,3,FALSE),"")</f>
        <v>47</v>
      </c>
      <c r="O528" s="33" t="str">
        <f>IFERROR(VLOOKUP(E528,Sales_Reps!$A:$C,3,FALSE),"")</f>
        <v>West</v>
      </c>
      <c r="P528" s="33">
        <f>IFERROR(VLOOKUP(D528,Products!$A:$D,4,FALSE),"")</f>
        <v>1435</v>
      </c>
      <c r="Q528" s="33">
        <f t="shared" si="8"/>
        <v>0.48007246376811596</v>
      </c>
    </row>
    <row r="529" spans="1:17" x14ac:dyDescent="0.3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  <c r="L529" t="str">
        <f>IFERROR(VLOOKUP(D529,Products!$A:$C,3,FALSE),"")</f>
        <v>Beauty</v>
      </c>
      <c r="M529" t="str">
        <f>IFERROR(VLOOKUP(C529,Customers!$A:$E,5,FALSE),"")</f>
        <v>Retail</v>
      </c>
      <c r="N529">
        <f>IFERROR(VLOOKUP(C529,Customers!$A:$E,3,FALSE),"")</f>
        <v>40</v>
      </c>
      <c r="O529" s="33" t="str">
        <f>IFERROR(VLOOKUP(E529,Sales_Reps!$A:$C,3,FALSE),"")</f>
        <v>North</v>
      </c>
      <c r="P529" s="33">
        <f>IFERROR(VLOOKUP(D529,Products!$A:$D,4,FALSE),"")</f>
        <v>2420</v>
      </c>
      <c r="Q529" s="33">
        <f t="shared" si="8"/>
        <v>0.29855072463768118</v>
      </c>
    </row>
    <row r="530" spans="1:17" x14ac:dyDescent="0.3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  <c r="L530" t="str">
        <f>IFERROR(VLOOKUP(D530,Products!$A:$C,3,FALSE),"")</f>
        <v>Grocery</v>
      </c>
      <c r="M530" t="str">
        <f>IFERROR(VLOOKUP(C530,Customers!$A:$E,5,FALSE),"")</f>
        <v>SMB</v>
      </c>
      <c r="N530">
        <f>IFERROR(VLOOKUP(C530,Customers!$A:$E,3,FALSE),"")</f>
        <v>29</v>
      </c>
      <c r="O530" s="33" t="str">
        <f>IFERROR(VLOOKUP(E530,Sales_Reps!$A:$C,3,FALSE),"")</f>
        <v>West</v>
      </c>
      <c r="P530" s="33">
        <f>IFERROR(VLOOKUP(D530,Products!$A:$D,4,FALSE),"")</f>
        <v>2214</v>
      </c>
      <c r="Q530" s="33">
        <f t="shared" si="8"/>
        <v>0.39508196721311473</v>
      </c>
    </row>
    <row r="531" spans="1:17" x14ac:dyDescent="0.3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  <c r="L531" t="str">
        <f>IFERROR(VLOOKUP(D531,Products!$A:$C,3,FALSE),"")</f>
        <v>Electronics</v>
      </c>
      <c r="M531" t="str">
        <f>IFERROR(VLOOKUP(C531,Customers!$A:$E,5,FALSE),"")</f>
        <v>Corporate</v>
      </c>
      <c r="N531">
        <f>IFERROR(VLOOKUP(C531,Customers!$A:$E,3,FALSE),"")</f>
        <v>55</v>
      </c>
      <c r="O531" s="33" t="str">
        <f>IFERROR(VLOOKUP(E531,Sales_Reps!$A:$C,3,FALSE),"")</f>
        <v>West</v>
      </c>
      <c r="P531" s="33">
        <f>IFERROR(VLOOKUP(D531,Products!$A:$D,4,FALSE),"")</f>
        <v>1665</v>
      </c>
      <c r="Q531" s="33">
        <f t="shared" si="8"/>
        <v>0.53361344537815125</v>
      </c>
    </row>
    <row r="532" spans="1:17" x14ac:dyDescent="0.3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  <c r="L532" t="str">
        <f>IFERROR(VLOOKUP(D532,Products!$A:$C,3,FALSE),"")</f>
        <v>Home</v>
      </c>
      <c r="M532" t="str">
        <f>IFERROR(VLOOKUP(C532,Customers!$A:$E,5,FALSE),"")</f>
        <v>Retail</v>
      </c>
      <c r="N532">
        <f>IFERROR(VLOOKUP(C532,Customers!$A:$E,3,FALSE),"")</f>
        <v>44</v>
      </c>
      <c r="O532" s="33" t="str">
        <f>IFERROR(VLOOKUP(E532,Sales_Reps!$A:$C,3,FALSE),"")</f>
        <v>South</v>
      </c>
      <c r="P532" s="33">
        <f>IFERROR(VLOOKUP(D532,Products!$A:$D,4,FALSE),"")</f>
        <v>464</v>
      </c>
      <c r="Q532" s="33">
        <f t="shared" si="8"/>
        <v>0.57431192660550456</v>
      </c>
    </row>
    <row r="533" spans="1:17" x14ac:dyDescent="0.3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  <c r="L533" t="str">
        <f>IFERROR(VLOOKUP(D533,Products!$A:$C,3,FALSE),"")</f>
        <v>Apparel</v>
      </c>
      <c r="M533" t="str">
        <f>IFERROR(VLOOKUP(C533,Customers!$A:$E,5,FALSE),"")</f>
        <v>Retail</v>
      </c>
      <c r="N533">
        <f>IFERROR(VLOOKUP(C533,Customers!$A:$E,3,FALSE),"")</f>
        <v>29</v>
      </c>
      <c r="O533" s="33" t="str">
        <f>IFERROR(VLOOKUP(E533,Sales_Reps!$A:$C,3,FALSE),"")</f>
        <v>East</v>
      </c>
      <c r="P533" s="33">
        <f>IFERROR(VLOOKUP(D533,Products!$A:$D,4,FALSE),"")</f>
        <v>2509</v>
      </c>
      <c r="Q533" s="33">
        <f t="shared" si="8"/>
        <v>0.3069060773480663</v>
      </c>
    </row>
    <row r="534" spans="1:17" x14ac:dyDescent="0.3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  <c r="L534" t="str">
        <f>IFERROR(VLOOKUP(D534,Products!$A:$C,3,FALSE),"")</f>
        <v>Beauty</v>
      </c>
      <c r="M534" t="str">
        <f>IFERROR(VLOOKUP(C534,Customers!$A:$E,5,FALSE),"")</f>
        <v>Retail</v>
      </c>
      <c r="N534">
        <f>IFERROR(VLOOKUP(C534,Customers!$A:$E,3,FALSE),"")</f>
        <v>35</v>
      </c>
      <c r="O534" s="33" t="str">
        <f>IFERROR(VLOOKUP(E534,Sales_Reps!$A:$C,3,FALSE),"")</f>
        <v>South</v>
      </c>
      <c r="P534" s="33">
        <f>IFERROR(VLOOKUP(D534,Products!$A:$D,4,FALSE),"")</f>
        <v>2768</v>
      </c>
      <c r="Q534" s="33">
        <f t="shared" si="8"/>
        <v>0.43278688524590164</v>
      </c>
    </row>
    <row r="535" spans="1:17" x14ac:dyDescent="0.3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  <c r="L535" t="str">
        <f>IFERROR(VLOOKUP(D535,Products!$A:$C,3,FALSE),"")</f>
        <v>Sports</v>
      </c>
      <c r="M535" t="str">
        <f>IFERROR(VLOOKUP(C535,Customers!$A:$E,5,FALSE),"")</f>
        <v>Corporate</v>
      </c>
      <c r="N535">
        <f>IFERROR(VLOOKUP(C535,Customers!$A:$E,3,FALSE),"")</f>
        <v>29</v>
      </c>
      <c r="O535" s="33" t="str">
        <f>IFERROR(VLOOKUP(E535,Sales_Reps!$A:$C,3,FALSE),"")</f>
        <v>West</v>
      </c>
      <c r="P535" s="33">
        <f>IFERROR(VLOOKUP(D535,Products!$A:$D,4,FALSE),"")</f>
        <v>302</v>
      </c>
      <c r="Q535" s="33">
        <f t="shared" si="8"/>
        <v>0.35744680851063831</v>
      </c>
    </row>
    <row r="536" spans="1:17" x14ac:dyDescent="0.3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  <c r="L536" t="str">
        <f>IFERROR(VLOOKUP(D536,Products!$A:$C,3,FALSE),"")</f>
        <v>Beauty</v>
      </c>
      <c r="M536" t="str">
        <f>IFERROR(VLOOKUP(C536,Customers!$A:$E,5,FALSE),"")</f>
        <v>Retail</v>
      </c>
      <c r="N536">
        <f>IFERROR(VLOOKUP(C536,Customers!$A:$E,3,FALSE),"")</f>
        <v>52</v>
      </c>
      <c r="O536" s="33" t="str">
        <f>IFERROR(VLOOKUP(E536,Sales_Reps!$A:$C,3,FALSE),"")</f>
        <v>East</v>
      </c>
      <c r="P536" s="33">
        <f>IFERROR(VLOOKUP(D536,Products!$A:$D,4,FALSE),"")</f>
        <v>1219</v>
      </c>
      <c r="Q536" s="33">
        <f t="shared" si="8"/>
        <v>0.46768558951965067</v>
      </c>
    </row>
    <row r="537" spans="1:17" x14ac:dyDescent="0.3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  <c r="L537" t="str">
        <f>IFERROR(VLOOKUP(D537,Products!$A:$C,3,FALSE),"")</f>
        <v>Grocery</v>
      </c>
      <c r="M537" t="str">
        <f>IFERROR(VLOOKUP(C537,Customers!$A:$E,5,FALSE),"")</f>
        <v>Corporate</v>
      </c>
      <c r="N537">
        <f>IFERROR(VLOOKUP(C537,Customers!$A:$E,3,FALSE),"")</f>
        <v>37</v>
      </c>
      <c r="O537" s="33" t="str">
        <f>IFERROR(VLOOKUP(E537,Sales_Reps!$A:$C,3,FALSE),"")</f>
        <v>South</v>
      </c>
      <c r="P537" s="33">
        <f>IFERROR(VLOOKUP(D537,Products!$A:$D,4,FALSE),"")</f>
        <v>1182</v>
      </c>
      <c r="Q537" s="33">
        <f t="shared" si="8"/>
        <v>0.50336134453781511</v>
      </c>
    </row>
    <row r="538" spans="1:17" x14ac:dyDescent="0.3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  <c r="L538" t="str">
        <f>IFERROR(VLOOKUP(D538,Products!$A:$C,3,FALSE),"")</f>
        <v>Grocery</v>
      </c>
      <c r="M538" t="str">
        <f>IFERROR(VLOOKUP(C538,Customers!$A:$E,5,FALSE),"")</f>
        <v>Retail</v>
      </c>
      <c r="N538">
        <f>IFERROR(VLOOKUP(C538,Customers!$A:$E,3,FALSE),"")</f>
        <v>56</v>
      </c>
      <c r="O538" s="33" t="str">
        <f>IFERROR(VLOOKUP(E538,Sales_Reps!$A:$C,3,FALSE),"")</f>
        <v>North</v>
      </c>
      <c r="P538" s="33">
        <f>IFERROR(VLOOKUP(D538,Products!$A:$D,4,FALSE),"")</f>
        <v>1182</v>
      </c>
      <c r="Q538" s="33">
        <f t="shared" si="8"/>
        <v>0.50336134453781511</v>
      </c>
    </row>
    <row r="539" spans="1:17" x14ac:dyDescent="0.3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  <c r="L539" t="str">
        <f>IFERROR(VLOOKUP(D539,Products!$A:$C,3,FALSE),"")</f>
        <v>Sports</v>
      </c>
      <c r="M539" t="str">
        <f>IFERROR(VLOOKUP(C539,Customers!$A:$E,5,FALSE),"")</f>
        <v>Corporate</v>
      </c>
      <c r="N539">
        <f>IFERROR(VLOOKUP(C539,Customers!$A:$E,3,FALSE),"")</f>
        <v>41</v>
      </c>
      <c r="O539" s="33" t="str">
        <f>IFERROR(VLOOKUP(E539,Sales_Reps!$A:$C,3,FALSE),"")</f>
        <v>South</v>
      </c>
      <c r="P539" s="33">
        <f>IFERROR(VLOOKUP(D539,Products!$A:$D,4,FALSE),"")</f>
        <v>2265</v>
      </c>
      <c r="Q539" s="33">
        <f t="shared" si="8"/>
        <v>0.58133086876155271</v>
      </c>
    </row>
    <row r="540" spans="1:17" x14ac:dyDescent="0.3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  <c r="L540" t="str">
        <f>IFERROR(VLOOKUP(D540,Products!$A:$C,3,FALSE),"")</f>
        <v>Electronics</v>
      </c>
      <c r="M540" t="str">
        <f>IFERROR(VLOOKUP(C540,Customers!$A:$E,5,FALSE),"")</f>
        <v>SMB</v>
      </c>
      <c r="N540">
        <f>IFERROR(VLOOKUP(C540,Customers!$A:$E,3,FALSE),"")</f>
        <v>36</v>
      </c>
      <c r="O540" s="33" t="str">
        <f>IFERROR(VLOOKUP(E540,Sales_Reps!$A:$C,3,FALSE),"")</f>
        <v>North</v>
      </c>
      <c r="P540" s="33">
        <f>IFERROR(VLOOKUP(D540,Products!$A:$D,4,FALSE),"")</f>
        <v>861</v>
      </c>
      <c r="Q540" s="33">
        <f t="shared" si="8"/>
        <v>0.39790209790209791</v>
      </c>
    </row>
    <row r="541" spans="1:17" x14ac:dyDescent="0.3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  <c r="L541" t="str">
        <f>IFERROR(VLOOKUP(D541,Products!$A:$C,3,FALSE),"")</f>
        <v>Sports</v>
      </c>
      <c r="M541" t="str">
        <f>IFERROR(VLOOKUP(C541,Customers!$A:$E,5,FALSE),"")</f>
        <v>Retail</v>
      </c>
      <c r="N541">
        <f>IFERROR(VLOOKUP(C541,Customers!$A:$E,3,FALSE),"")</f>
        <v>47</v>
      </c>
      <c r="O541" s="33" t="str">
        <f>IFERROR(VLOOKUP(E541,Sales_Reps!$A:$C,3,FALSE),"")</f>
        <v>West</v>
      </c>
      <c r="P541" s="33">
        <f>IFERROR(VLOOKUP(D541,Products!$A:$D,4,FALSE),"")</f>
        <v>974</v>
      </c>
      <c r="Q541" s="33">
        <f t="shared" si="8"/>
        <v>0.59416666666666662</v>
      </c>
    </row>
    <row r="542" spans="1:17" x14ac:dyDescent="0.3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  <c r="L542" t="str">
        <f>IFERROR(VLOOKUP(D542,Products!$A:$C,3,FALSE),"")</f>
        <v>Grocery</v>
      </c>
      <c r="M542" t="str">
        <f>IFERROR(VLOOKUP(C542,Customers!$A:$E,5,FALSE),"")</f>
        <v>Corporate</v>
      </c>
      <c r="N542">
        <f>IFERROR(VLOOKUP(C542,Customers!$A:$E,3,FALSE),"")</f>
        <v>52</v>
      </c>
      <c r="O542" s="33" t="str">
        <f>IFERROR(VLOOKUP(E542,Sales_Reps!$A:$C,3,FALSE),"")</f>
        <v>North</v>
      </c>
      <c r="P542" s="33">
        <f>IFERROR(VLOOKUP(D542,Products!$A:$D,4,FALSE),"")</f>
        <v>2436</v>
      </c>
      <c r="Q542" s="33">
        <f t="shared" si="8"/>
        <v>0.35555555555555557</v>
      </c>
    </row>
    <row r="543" spans="1:17" x14ac:dyDescent="0.3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  <c r="L543" t="str">
        <f>IFERROR(VLOOKUP(D543,Products!$A:$C,3,FALSE),"")</f>
        <v>Apparel</v>
      </c>
      <c r="M543" t="str">
        <f>IFERROR(VLOOKUP(C543,Customers!$A:$E,5,FALSE),"")</f>
        <v>Corporate</v>
      </c>
      <c r="N543">
        <f>IFERROR(VLOOKUP(C543,Customers!$A:$E,3,FALSE),"")</f>
        <v>62</v>
      </c>
      <c r="O543" s="33" t="str">
        <f>IFERROR(VLOOKUP(E543,Sales_Reps!$A:$C,3,FALSE),"")</f>
        <v>East</v>
      </c>
      <c r="P543" s="33">
        <f>IFERROR(VLOOKUP(D543,Products!$A:$D,4,FALSE),"")</f>
        <v>396</v>
      </c>
      <c r="Q543" s="33">
        <f t="shared" si="8"/>
        <v>0.36129032258064514</v>
      </c>
    </row>
    <row r="544" spans="1:17" x14ac:dyDescent="0.3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  <c r="L544" t="str">
        <f>IFERROR(VLOOKUP(D544,Products!$A:$C,3,FALSE),"")</f>
        <v>Sports</v>
      </c>
      <c r="M544" t="str">
        <f>IFERROR(VLOOKUP(C544,Customers!$A:$E,5,FALSE),"")</f>
        <v>Retail</v>
      </c>
      <c r="N544">
        <f>IFERROR(VLOOKUP(C544,Customers!$A:$E,3,FALSE),"")</f>
        <v>43</v>
      </c>
      <c r="O544" s="33" t="str">
        <f>IFERROR(VLOOKUP(E544,Sales_Reps!$A:$C,3,FALSE),"")</f>
        <v>North</v>
      </c>
      <c r="P544" s="33">
        <f>IFERROR(VLOOKUP(D544,Products!$A:$D,4,FALSE),"")</f>
        <v>147</v>
      </c>
      <c r="Q544" s="33">
        <f t="shared" si="8"/>
        <v>0.22631578947368422</v>
      </c>
    </row>
    <row r="545" spans="1:17" x14ac:dyDescent="0.3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  <c r="L545" t="str">
        <f>IFERROR(VLOOKUP(D545,Products!$A:$C,3,FALSE),"")</f>
        <v>Apparel</v>
      </c>
      <c r="M545" t="str">
        <f>IFERROR(VLOOKUP(C545,Customers!$A:$E,5,FALSE),"")</f>
        <v>Retail</v>
      </c>
      <c r="N545">
        <f>IFERROR(VLOOKUP(C545,Customers!$A:$E,3,FALSE),"")</f>
        <v>61</v>
      </c>
      <c r="O545" s="33" t="str">
        <f>IFERROR(VLOOKUP(E545,Sales_Reps!$A:$C,3,FALSE),"")</f>
        <v>East</v>
      </c>
      <c r="P545" s="33">
        <f>IFERROR(VLOOKUP(D545,Products!$A:$D,4,FALSE),"")</f>
        <v>2509</v>
      </c>
      <c r="Q545" s="33">
        <f t="shared" si="8"/>
        <v>0.3069060773480663</v>
      </c>
    </row>
    <row r="546" spans="1:17" x14ac:dyDescent="0.3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  <c r="L546" t="str">
        <f>IFERROR(VLOOKUP(D546,Products!$A:$C,3,FALSE),"")</f>
        <v>Sports</v>
      </c>
      <c r="M546" t="str">
        <f>IFERROR(VLOOKUP(C546,Customers!$A:$E,5,FALSE),"")</f>
        <v>Corporate</v>
      </c>
      <c r="N546">
        <f>IFERROR(VLOOKUP(C546,Customers!$A:$E,3,FALSE),"")</f>
        <v>56</v>
      </c>
      <c r="O546" s="33" t="str">
        <f>IFERROR(VLOOKUP(E546,Sales_Reps!$A:$C,3,FALSE),"")</f>
        <v>East</v>
      </c>
      <c r="P546" s="33">
        <f>IFERROR(VLOOKUP(D546,Products!$A:$D,4,FALSE),"")</f>
        <v>2028</v>
      </c>
      <c r="Q546" s="33">
        <f t="shared" si="8"/>
        <v>0.29090909090909089</v>
      </c>
    </row>
    <row r="547" spans="1:17" x14ac:dyDescent="0.3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  <c r="L547" t="str">
        <f>IFERROR(VLOOKUP(D547,Products!$A:$C,3,FALSE),"")</f>
        <v>Sports</v>
      </c>
      <c r="M547" t="str">
        <f>IFERROR(VLOOKUP(C547,Customers!$A:$E,5,FALSE),"")</f>
        <v>Retail</v>
      </c>
      <c r="N547">
        <f>IFERROR(VLOOKUP(C547,Customers!$A:$E,3,FALSE),"")</f>
        <v>55</v>
      </c>
      <c r="O547" s="33" t="str">
        <f>IFERROR(VLOOKUP(E547,Sales_Reps!$A:$C,3,FALSE),"")</f>
        <v>East</v>
      </c>
      <c r="P547" s="33">
        <f>IFERROR(VLOOKUP(D547,Products!$A:$D,4,FALSE),"")</f>
        <v>974</v>
      </c>
      <c r="Q547" s="33">
        <f t="shared" si="8"/>
        <v>0.59416666666666662</v>
      </c>
    </row>
    <row r="548" spans="1:17" x14ac:dyDescent="0.3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  <c r="L548" t="str">
        <f>IFERROR(VLOOKUP(D548,Products!$A:$C,3,FALSE),"")</f>
        <v>Home</v>
      </c>
      <c r="M548" t="str">
        <f>IFERROR(VLOOKUP(C548,Customers!$A:$E,5,FALSE),"")</f>
        <v>SMB</v>
      </c>
      <c r="N548">
        <f>IFERROR(VLOOKUP(C548,Customers!$A:$E,3,FALSE),"")</f>
        <v>42</v>
      </c>
      <c r="O548" s="33" t="str">
        <f>IFERROR(VLOOKUP(E548,Sales_Reps!$A:$C,3,FALSE),"")</f>
        <v>South</v>
      </c>
      <c r="P548" s="33">
        <f>IFERROR(VLOOKUP(D548,Products!$A:$D,4,FALSE),"")</f>
        <v>2459</v>
      </c>
      <c r="Q548" s="33">
        <f t="shared" si="8"/>
        <v>0.51594488188976373</v>
      </c>
    </row>
    <row r="549" spans="1:17" x14ac:dyDescent="0.3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  <c r="L549" t="str">
        <f>IFERROR(VLOOKUP(D549,Products!$A:$C,3,FALSE),"")</f>
        <v>Home</v>
      </c>
      <c r="M549" t="str">
        <f>IFERROR(VLOOKUP(C549,Customers!$A:$E,5,FALSE),"")</f>
        <v>Corporate</v>
      </c>
      <c r="N549">
        <f>IFERROR(VLOOKUP(C549,Customers!$A:$E,3,FALSE),"")</f>
        <v>32</v>
      </c>
      <c r="O549" s="33" t="str">
        <f>IFERROR(VLOOKUP(E549,Sales_Reps!$A:$C,3,FALSE),"")</f>
        <v>South</v>
      </c>
      <c r="P549" s="33">
        <f>IFERROR(VLOOKUP(D549,Products!$A:$D,4,FALSE),"")</f>
        <v>2459</v>
      </c>
      <c r="Q549" s="33">
        <f t="shared" si="8"/>
        <v>0.51594488188976373</v>
      </c>
    </row>
    <row r="550" spans="1:17" x14ac:dyDescent="0.3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  <c r="L550" t="str">
        <f>IFERROR(VLOOKUP(D550,Products!$A:$C,3,FALSE),"")</f>
        <v>Sports</v>
      </c>
      <c r="M550" t="str">
        <f>IFERROR(VLOOKUP(C550,Customers!$A:$E,5,FALSE),"")</f>
        <v>SMB</v>
      </c>
      <c r="N550">
        <f>IFERROR(VLOOKUP(C550,Customers!$A:$E,3,FALSE),"")</f>
        <v>65</v>
      </c>
      <c r="O550" s="33" t="str">
        <f>IFERROR(VLOOKUP(E550,Sales_Reps!$A:$C,3,FALSE),"")</f>
        <v>North</v>
      </c>
      <c r="P550" s="33">
        <f>IFERROR(VLOOKUP(D550,Products!$A:$D,4,FALSE),"")</f>
        <v>705</v>
      </c>
      <c r="Q550" s="33">
        <f t="shared" si="8"/>
        <v>0.265625</v>
      </c>
    </row>
    <row r="551" spans="1:17" x14ac:dyDescent="0.3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  <c r="L551" t="str">
        <f>IFERROR(VLOOKUP(D551,Products!$A:$C,3,FALSE),"")</f>
        <v>Grocery</v>
      </c>
      <c r="M551" t="str">
        <f>IFERROR(VLOOKUP(C551,Customers!$A:$E,5,FALSE),"")</f>
        <v>Corporate</v>
      </c>
      <c r="N551">
        <f>IFERROR(VLOOKUP(C551,Customers!$A:$E,3,FALSE),"")</f>
        <v>55</v>
      </c>
      <c r="O551" s="33" t="str">
        <f>IFERROR(VLOOKUP(E551,Sales_Reps!$A:$C,3,FALSE),"")</f>
        <v>West</v>
      </c>
      <c r="P551" s="33">
        <f>IFERROR(VLOOKUP(D551,Products!$A:$D,4,FALSE),"")</f>
        <v>2214</v>
      </c>
      <c r="Q551" s="33">
        <f t="shared" si="8"/>
        <v>0.39508196721311473</v>
      </c>
    </row>
    <row r="552" spans="1:17" x14ac:dyDescent="0.3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  <c r="L552" t="str">
        <f>IFERROR(VLOOKUP(D552,Products!$A:$C,3,FALSE),"")</f>
        <v>Electronics</v>
      </c>
      <c r="M552" t="str">
        <f>IFERROR(VLOOKUP(C552,Customers!$A:$E,5,FALSE),"")</f>
        <v>Corporate</v>
      </c>
      <c r="N552">
        <f>IFERROR(VLOOKUP(C552,Customers!$A:$E,3,FALSE),"")</f>
        <v>47</v>
      </c>
      <c r="O552" s="33" t="str">
        <f>IFERROR(VLOOKUP(E552,Sales_Reps!$A:$C,3,FALSE),"")</f>
        <v>South</v>
      </c>
      <c r="P552" s="33">
        <f>IFERROR(VLOOKUP(D552,Products!$A:$D,4,FALSE),"")</f>
        <v>1149</v>
      </c>
      <c r="Q552" s="33">
        <f t="shared" si="8"/>
        <v>0.56477272727272732</v>
      </c>
    </row>
    <row r="553" spans="1:17" x14ac:dyDescent="0.3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  <c r="L553" t="str">
        <f>IFERROR(VLOOKUP(D553,Products!$A:$C,3,FALSE),"")</f>
        <v>Electronics</v>
      </c>
      <c r="M553" t="str">
        <f>IFERROR(VLOOKUP(C553,Customers!$A:$E,5,FALSE),"")</f>
        <v>SMB</v>
      </c>
      <c r="N553">
        <f>IFERROR(VLOOKUP(C553,Customers!$A:$E,3,FALSE),"")</f>
        <v>64</v>
      </c>
      <c r="O553" s="33" t="str">
        <f>IFERROR(VLOOKUP(E553,Sales_Reps!$A:$C,3,FALSE),"")</f>
        <v>South</v>
      </c>
      <c r="P553" s="33">
        <f>IFERROR(VLOOKUP(D553,Products!$A:$D,4,FALSE),"")</f>
        <v>517</v>
      </c>
      <c r="Q553" s="33">
        <f t="shared" si="8"/>
        <v>0.57622950819672136</v>
      </c>
    </row>
    <row r="554" spans="1:17" x14ac:dyDescent="0.3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  <c r="L554" t="str">
        <f>IFERROR(VLOOKUP(D554,Products!$A:$C,3,FALSE),"")</f>
        <v>Electronics</v>
      </c>
      <c r="M554" t="str">
        <f>IFERROR(VLOOKUP(C554,Customers!$A:$E,5,FALSE),"")</f>
        <v>Retail</v>
      </c>
      <c r="N554">
        <f>IFERROR(VLOOKUP(C554,Customers!$A:$E,3,FALSE),"")</f>
        <v>27</v>
      </c>
      <c r="O554" s="33" t="str">
        <f>IFERROR(VLOOKUP(E554,Sales_Reps!$A:$C,3,FALSE),"")</f>
        <v>South</v>
      </c>
      <c r="P554" s="33">
        <f>IFERROR(VLOOKUP(D554,Products!$A:$D,4,FALSE),"")</f>
        <v>128</v>
      </c>
      <c r="Q554" s="33">
        <f t="shared" si="8"/>
        <v>0.57333333333333336</v>
      </c>
    </row>
    <row r="555" spans="1:17" x14ac:dyDescent="0.3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  <c r="L555" t="str">
        <f>IFERROR(VLOOKUP(D555,Products!$A:$C,3,FALSE),"")</f>
        <v>Sports</v>
      </c>
      <c r="M555" t="str">
        <f>IFERROR(VLOOKUP(C555,Customers!$A:$E,5,FALSE),"")</f>
        <v>Retail</v>
      </c>
      <c r="N555">
        <f>IFERROR(VLOOKUP(C555,Customers!$A:$E,3,FALSE),"")</f>
        <v>65</v>
      </c>
      <c r="O555" s="33" t="str">
        <f>IFERROR(VLOOKUP(E555,Sales_Reps!$A:$C,3,FALSE),"")</f>
        <v>East</v>
      </c>
      <c r="P555" s="33">
        <f>IFERROR(VLOOKUP(D555,Products!$A:$D,4,FALSE),"")</f>
        <v>516</v>
      </c>
      <c r="Q555" s="33">
        <f t="shared" si="8"/>
        <v>0.4891089108910891</v>
      </c>
    </row>
    <row r="556" spans="1:17" x14ac:dyDescent="0.3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  <c r="L556" t="str">
        <f>IFERROR(VLOOKUP(D556,Products!$A:$C,3,FALSE),"")</f>
        <v>Electronics</v>
      </c>
      <c r="M556" t="str">
        <f>IFERROR(VLOOKUP(C556,Customers!$A:$E,5,FALSE),"")</f>
        <v>SMB</v>
      </c>
      <c r="N556">
        <f>IFERROR(VLOOKUP(C556,Customers!$A:$E,3,FALSE),"")</f>
        <v>45</v>
      </c>
      <c r="O556" s="33" t="str">
        <f>IFERROR(VLOOKUP(E556,Sales_Reps!$A:$C,3,FALSE),"")</f>
        <v>South</v>
      </c>
      <c r="P556" s="33">
        <f>IFERROR(VLOOKUP(D556,Products!$A:$D,4,FALSE),"")</f>
        <v>1052</v>
      </c>
      <c r="Q556" s="33">
        <f t="shared" si="8"/>
        <v>0.5953846153846154</v>
      </c>
    </row>
    <row r="557" spans="1:17" x14ac:dyDescent="0.3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  <c r="L557" t="str">
        <f>IFERROR(VLOOKUP(D557,Products!$A:$C,3,FALSE),"")</f>
        <v>Sports</v>
      </c>
      <c r="M557" t="str">
        <f>IFERROR(VLOOKUP(C557,Customers!$A:$E,5,FALSE),"")</f>
        <v>Retail</v>
      </c>
      <c r="N557">
        <f>IFERROR(VLOOKUP(C557,Customers!$A:$E,3,FALSE),"")</f>
        <v>37</v>
      </c>
      <c r="O557" s="33" t="str">
        <f>IFERROR(VLOOKUP(E557,Sales_Reps!$A:$C,3,FALSE),"")</f>
        <v>West</v>
      </c>
      <c r="P557" s="33">
        <f>IFERROR(VLOOKUP(D557,Products!$A:$D,4,FALSE),"")</f>
        <v>2827</v>
      </c>
      <c r="Q557" s="33">
        <f t="shared" si="8"/>
        <v>0.5926512968299712</v>
      </c>
    </row>
    <row r="558" spans="1:17" x14ac:dyDescent="0.3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  <c r="L558" t="str">
        <f>IFERROR(VLOOKUP(D558,Products!$A:$C,3,FALSE),"")</f>
        <v>Home</v>
      </c>
      <c r="M558" t="str">
        <f>IFERROR(VLOOKUP(C558,Customers!$A:$E,5,FALSE),"")</f>
        <v>SMB</v>
      </c>
      <c r="N558">
        <f>IFERROR(VLOOKUP(C558,Customers!$A:$E,3,FALSE),"")</f>
        <v>44</v>
      </c>
      <c r="O558" s="33" t="str">
        <f>IFERROR(VLOOKUP(E558,Sales_Reps!$A:$C,3,FALSE),"")</f>
        <v>South</v>
      </c>
      <c r="P558" s="33">
        <f>IFERROR(VLOOKUP(D558,Products!$A:$D,4,FALSE),"")</f>
        <v>288</v>
      </c>
      <c r="Q558" s="33">
        <f t="shared" si="8"/>
        <v>0.22162162162162163</v>
      </c>
    </row>
    <row r="559" spans="1:17" x14ac:dyDescent="0.3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  <c r="L559" t="str">
        <f>IFERROR(VLOOKUP(D559,Products!$A:$C,3,FALSE),"")</f>
        <v>Grocery</v>
      </c>
      <c r="M559" t="str">
        <f>IFERROR(VLOOKUP(C559,Customers!$A:$E,5,FALSE),"")</f>
        <v>Retail</v>
      </c>
      <c r="N559">
        <f>IFERROR(VLOOKUP(C559,Customers!$A:$E,3,FALSE),"")</f>
        <v>39</v>
      </c>
      <c r="O559" s="33" t="str">
        <f>IFERROR(VLOOKUP(E559,Sales_Reps!$A:$C,3,FALSE),"")</f>
        <v>West</v>
      </c>
      <c r="P559" s="33">
        <f>IFERROR(VLOOKUP(D559,Products!$A:$D,4,FALSE),"")</f>
        <v>2436</v>
      </c>
      <c r="Q559" s="33">
        <f t="shared" si="8"/>
        <v>0.35555555555555557</v>
      </c>
    </row>
    <row r="560" spans="1:17" x14ac:dyDescent="0.3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  <c r="L560" t="str">
        <f>IFERROR(VLOOKUP(D560,Products!$A:$C,3,FALSE),"")</f>
        <v>Grocery</v>
      </c>
      <c r="M560" t="str">
        <f>IFERROR(VLOOKUP(C560,Customers!$A:$E,5,FALSE),"")</f>
        <v>SMB</v>
      </c>
      <c r="N560">
        <f>IFERROR(VLOOKUP(C560,Customers!$A:$E,3,FALSE),"")</f>
        <v>49</v>
      </c>
      <c r="O560" s="33" t="str">
        <f>IFERROR(VLOOKUP(E560,Sales_Reps!$A:$C,3,FALSE),"")</f>
        <v>East</v>
      </c>
      <c r="P560" s="33">
        <f>IFERROR(VLOOKUP(D560,Products!$A:$D,4,FALSE),"")</f>
        <v>434</v>
      </c>
      <c r="Q560" s="33">
        <f t="shared" si="8"/>
        <v>0.5525773195876289</v>
      </c>
    </row>
    <row r="561" spans="1:17" x14ac:dyDescent="0.3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  <c r="L561" t="str">
        <f>IFERROR(VLOOKUP(D561,Products!$A:$C,3,FALSE),"")</f>
        <v>Grocery</v>
      </c>
      <c r="M561" t="str">
        <f>IFERROR(VLOOKUP(C561,Customers!$A:$E,5,FALSE),"")</f>
        <v>Retail</v>
      </c>
      <c r="N561">
        <f>IFERROR(VLOOKUP(C561,Customers!$A:$E,3,FALSE),"")</f>
        <v>31</v>
      </c>
      <c r="O561" s="33" t="str">
        <f>IFERROR(VLOOKUP(E561,Sales_Reps!$A:$C,3,FALSE),"")</f>
        <v>North</v>
      </c>
      <c r="P561" s="33">
        <f>IFERROR(VLOOKUP(D561,Products!$A:$D,4,FALSE),"")</f>
        <v>1412</v>
      </c>
      <c r="Q561" s="33">
        <f t="shared" si="8"/>
        <v>0.37797356828193834</v>
      </c>
    </row>
    <row r="562" spans="1:17" x14ac:dyDescent="0.3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  <c r="L562" t="str">
        <f>IFERROR(VLOOKUP(D562,Products!$A:$C,3,FALSE),"")</f>
        <v>Beauty</v>
      </c>
      <c r="M562" t="str">
        <f>IFERROR(VLOOKUP(C562,Customers!$A:$E,5,FALSE),"")</f>
        <v>SMB</v>
      </c>
      <c r="N562">
        <f>IFERROR(VLOOKUP(C562,Customers!$A:$E,3,FALSE),"")</f>
        <v>46</v>
      </c>
      <c r="O562" s="33" t="str">
        <f>IFERROR(VLOOKUP(E562,Sales_Reps!$A:$C,3,FALSE),"")</f>
        <v>West</v>
      </c>
      <c r="P562" s="33">
        <f>IFERROR(VLOOKUP(D562,Products!$A:$D,4,FALSE),"")</f>
        <v>647</v>
      </c>
      <c r="Q562" s="33">
        <f t="shared" si="8"/>
        <v>0.57987012987012987</v>
      </c>
    </row>
    <row r="563" spans="1:17" x14ac:dyDescent="0.3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  <c r="L563" t="str">
        <f>IFERROR(VLOOKUP(D563,Products!$A:$C,3,FALSE),"")</f>
        <v>Grocery</v>
      </c>
      <c r="M563" t="str">
        <f>IFERROR(VLOOKUP(C563,Customers!$A:$E,5,FALSE),"")</f>
        <v>Retail</v>
      </c>
      <c r="N563">
        <f>IFERROR(VLOOKUP(C563,Customers!$A:$E,3,FALSE),"")</f>
        <v>36</v>
      </c>
      <c r="O563" s="33" t="str">
        <f>IFERROR(VLOOKUP(E563,Sales_Reps!$A:$C,3,FALSE),"")</f>
        <v>East</v>
      </c>
      <c r="P563" s="33">
        <f>IFERROR(VLOOKUP(D563,Products!$A:$D,4,FALSE),"")</f>
        <v>1435</v>
      </c>
      <c r="Q563" s="33">
        <f t="shared" si="8"/>
        <v>0.48007246376811596</v>
      </c>
    </row>
    <row r="564" spans="1:17" x14ac:dyDescent="0.3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  <c r="L564" t="str">
        <f>IFERROR(VLOOKUP(D564,Products!$A:$C,3,FALSE),"")</f>
        <v>Grocery</v>
      </c>
      <c r="M564" t="str">
        <f>IFERROR(VLOOKUP(C564,Customers!$A:$E,5,FALSE),"")</f>
        <v>Retail</v>
      </c>
      <c r="N564">
        <f>IFERROR(VLOOKUP(C564,Customers!$A:$E,3,FALSE),"")</f>
        <v>23</v>
      </c>
      <c r="O564" s="33" t="str">
        <f>IFERROR(VLOOKUP(E564,Sales_Reps!$A:$C,3,FALSE),"")</f>
        <v>West</v>
      </c>
      <c r="P564" s="33">
        <f>IFERROR(VLOOKUP(D564,Products!$A:$D,4,FALSE),"")</f>
        <v>1203</v>
      </c>
      <c r="Q564" s="33">
        <f t="shared" si="8"/>
        <v>0.47004405286343615</v>
      </c>
    </row>
    <row r="565" spans="1:17" x14ac:dyDescent="0.3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  <c r="L565" t="str">
        <f>IFERROR(VLOOKUP(D565,Products!$A:$C,3,FALSE),"")</f>
        <v>Beauty</v>
      </c>
      <c r="M565" t="str">
        <f>IFERROR(VLOOKUP(C565,Customers!$A:$E,5,FALSE),"")</f>
        <v>Corporate</v>
      </c>
      <c r="N565">
        <f>IFERROR(VLOOKUP(C565,Customers!$A:$E,3,FALSE),"")</f>
        <v>41</v>
      </c>
      <c r="O565" s="33" t="str">
        <f>IFERROR(VLOOKUP(E565,Sales_Reps!$A:$C,3,FALSE),"")</f>
        <v>South</v>
      </c>
      <c r="P565" s="33">
        <f>IFERROR(VLOOKUP(D565,Products!$A:$D,4,FALSE),"")</f>
        <v>1626</v>
      </c>
      <c r="Q565" s="33">
        <f t="shared" si="8"/>
        <v>0.46158940397350995</v>
      </c>
    </row>
    <row r="566" spans="1:17" x14ac:dyDescent="0.3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  <c r="L566" t="str">
        <f>IFERROR(VLOOKUP(D566,Products!$A:$C,3,FALSE),"")</f>
        <v>Grocery</v>
      </c>
      <c r="M566" t="str">
        <f>IFERROR(VLOOKUP(C566,Customers!$A:$E,5,FALSE),"")</f>
        <v>Retail</v>
      </c>
      <c r="N566">
        <f>IFERROR(VLOOKUP(C566,Customers!$A:$E,3,FALSE),"")</f>
        <v>62</v>
      </c>
      <c r="O566" s="33" t="str">
        <f>IFERROR(VLOOKUP(E566,Sales_Reps!$A:$C,3,FALSE),"")</f>
        <v>East</v>
      </c>
      <c r="P566" s="33">
        <f>IFERROR(VLOOKUP(D566,Products!$A:$D,4,FALSE),"")</f>
        <v>1182</v>
      </c>
      <c r="Q566" s="33">
        <f t="shared" si="8"/>
        <v>0.50336134453781511</v>
      </c>
    </row>
    <row r="567" spans="1:17" x14ac:dyDescent="0.3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  <c r="L567" t="str">
        <f>IFERROR(VLOOKUP(D567,Products!$A:$C,3,FALSE),"")</f>
        <v>Sports</v>
      </c>
      <c r="M567" t="str">
        <f>IFERROR(VLOOKUP(C567,Customers!$A:$E,5,FALSE),"")</f>
        <v>SMB</v>
      </c>
      <c r="N567">
        <f>IFERROR(VLOOKUP(C567,Customers!$A:$E,3,FALSE),"")</f>
        <v>49</v>
      </c>
      <c r="O567" s="33" t="str">
        <f>IFERROR(VLOOKUP(E567,Sales_Reps!$A:$C,3,FALSE),"")</f>
        <v>West</v>
      </c>
      <c r="P567" s="33">
        <f>IFERROR(VLOOKUP(D567,Products!$A:$D,4,FALSE),"")</f>
        <v>2827</v>
      </c>
      <c r="Q567" s="33">
        <f t="shared" si="8"/>
        <v>0.5926512968299712</v>
      </c>
    </row>
    <row r="568" spans="1:17" x14ac:dyDescent="0.3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  <c r="L568" t="str">
        <f>IFERROR(VLOOKUP(D568,Products!$A:$C,3,FALSE),"")</f>
        <v>Electronics</v>
      </c>
      <c r="M568" t="str">
        <f>IFERROR(VLOOKUP(C568,Customers!$A:$E,5,FALSE),"")</f>
        <v>Retail</v>
      </c>
      <c r="N568">
        <f>IFERROR(VLOOKUP(C568,Customers!$A:$E,3,FALSE),"")</f>
        <v>35</v>
      </c>
      <c r="O568" s="33" t="str">
        <f>IFERROR(VLOOKUP(E568,Sales_Reps!$A:$C,3,FALSE),"")</f>
        <v>South</v>
      </c>
      <c r="P568" s="33">
        <f>IFERROR(VLOOKUP(D568,Products!$A:$D,4,FALSE),"")</f>
        <v>1259</v>
      </c>
      <c r="Q568" s="33">
        <f t="shared" si="8"/>
        <v>0.52669172932330832</v>
      </c>
    </row>
    <row r="569" spans="1:17" x14ac:dyDescent="0.3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  <c r="L569" t="str">
        <f>IFERROR(VLOOKUP(D569,Products!$A:$C,3,FALSE),"")</f>
        <v>Grocery</v>
      </c>
      <c r="M569" t="str">
        <f>IFERROR(VLOOKUP(C569,Customers!$A:$E,5,FALSE),"")</f>
        <v>Retail</v>
      </c>
      <c r="N569">
        <f>IFERROR(VLOOKUP(C569,Customers!$A:$E,3,FALSE),"")</f>
        <v>35</v>
      </c>
      <c r="O569" s="33" t="str">
        <f>IFERROR(VLOOKUP(E569,Sales_Reps!$A:$C,3,FALSE),"")</f>
        <v>South</v>
      </c>
      <c r="P569" s="33">
        <f>IFERROR(VLOOKUP(D569,Products!$A:$D,4,FALSE),"")</f>
        <v>434</v>
      </c>
      <c r="Q569" s="33">
        <f t="shared" si="8"/>
        <v>0.5525773195876289</v>
      </c>
    </row>
    <row r="570" spans="1:17" x14ac:dyDescent="0.3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  <c r="L570" t="str">
        <f>IFERROR(VLOOKUP(D570,Products!$A:$C,3,FALSE),"")</f>
        <v>Grocery</v>
      </c>
      <c r="M570" t="str">
        <f>IFERROR(VLOOKUP(C570,Customers!$A:$E,5,FALSE),"")</f>
        <v>Retail</v>
      </c>
      <c r="N570">
        <f>IFERROR(VLOOKUP(C570,Customers!$A:$E,3,FALSE),"")</f>
        <v>61</v>
      </c>
      <c r="O570" s="33" t="str">
        <f>IFERROR(VLOOKUP(E570,Sales_Reps!$A:$C,3,FALSE),"")</f>
        <v>North</v>
      </c>
      <c r="P570" s="33">
        <f>IFERROR(VLOOKUP(D570,Products!$A:$D,4,FALSE),"")</f>
        <v>1412</v>
      </c>
      <c r="Q570" s="33">
        <f t="shared" si="8"/>
        <v>0.37797356828193834</v>
      </c>
    </row>
    <row r="571" spans="1:17" x14ac:dyDescent="0.3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  <c r="L571" t="str">
        <f>IFERROR(VLOOKUP(D571,Products!$A:$C,3,FALSE),"")</f>
        <v>Sports</v>
      </c>
      <c r="M571" t="str">
        <f>IFERROR(VLOOKUP(C571,Customers!$A:$E,5,FALSE),"")</f>
        <v>Retail</v>
      </c>
      <c r="N571">
        <f>IFERROR(VLOOKUP(C571,Customers!$A:$E,3,FALSE),"")</f>
        <v>53</v>
      </c>
      <c r="O571" s="33" t="str">
        <f>IFERROR(VLOOKUP(E571,Sales_Reps!$A:$C,3,FALSE),"")</f>
        <v>South</v>
      </c>
      <c r="P571" s="33">
        <f>IFERROR(VLOOKUP(D571,Products!$A:$D,4,FALSE),"")</f>
        <v>516</v>
      </c>
      <c r="Q571" s="33">
        <f t="shared" si="8"/>
        <v>0.4891089108910891</v>
      </c>
    </row>
    <row r="572" spans="1:17" x14ac:dyDescent="0.3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  <c r="L572" t="str">
        <f>IFERROR(VLOOKUP(D572,Products!$A:$C,3,FALSE),"")</f>
        <v>Grocery</v>
      </c>
      <c r="M572" t="str">
        <f>IFERROR(VLOOKUP(C572,Customers!$A:$E,5,FALSE),"")</f>
        <v>Corporate</v>
      </c>
      <c r="N572">
        <f>IFERROR(VLOOKUP(C572,Customers!$A:$E,3,FALSE),"")</f>
        <v>37</v>
      </c>
      <c r="O572" s="33" t="str">
        <f>IFERROR(VLOOKUP(E572,Sales_Reps!$A:$C,3,FALSE),"")</f>
        <v>North</v>
      </c>
      <c r="P572" s="33">
        <f>IFERROR(VLOOKUP(D572,Products!$A:$D,4,FALSE),"")</f>
        <v>1182</v>
      </c>
      <c r="Q572" s="33">
        <f t="shared" si="8"/>
        <v>0.50336134453781511</v>
      </c>
    </row>
    <row r="573" spans="1:17" x14ac:dyDescent="0.3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  <c r="L573" t="str">
        <f>IFERROR(VLOOKUP(D573,Products!$A:$C,3,FALSE),"")</f>
        <v>Sports</v>
      </c>
      <c r="M573" t="str">
        <f>IFERROR(VLOOKUP(C573,Customers!$A:$E,5,FALSE),"")</f>
        <v>SMB</v>
      </c>
      <c r="N573">
        <f>IFERROR(VLOOKUP(C573,Customers!$A:$E,3,FALSE),"")</f>
        <v>36</v>
      </c>
      <c r="O573" s="33" t="str">
        <f>IFERROR(VLOOKUP(E573,Sales_Reps!$A:$C,3,FALSE),"")</f>
        <v>East</v>
      </c>
      <c r="P573" s="33">
        <f>IFERROR(VLOOKUP(D573,Products!$A:$D,4,FALSE),"")</f>
        <v>302</v>
      </c>
      <c r="Q573" s="33">
        <f t="shared" si="8"/>
        <v>0.35744680851063831</v>
      </c>
    </row>
    <row r="574" spans="1:17" x14ac:dyDescent="0.3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  <c r="L574" t="str">
        <f>IFERROR(VLOOKUP(D574,Products!$A:$C,3,FALSE),"")</f>
        <v>Beauty</v>
      </c>
      <c r="M574" t="str">
        <f>IFERROR(VLOOKUP(C574,Customers!$A:$E,5,FALSE),"")</f>
        <v>SMB</v>
      </c>
      <c r="N574">
        <f>IFERROR(VLOOKUP(C574,Customers!$A:$E,3,FALSE),"")</f>
        <v>34</v>
      </c>
      <c r="O574" s="33" t="str">
        <f>IFERROR(VLOOKUP(E574,Sales_Reps!$A:$C,3,FALSE),"")</f>
        <v>West</v>
      </c>
      <c r="P574" s="33">
        <f>IFERROR(VLOOKUP(D574,Products!$A:$D,4,FALSE),"")</f>
        <v>2237</v>
      </c>
      <c r="Q574" s="33">
        <f t="shared" si="8"/>
        <v>0.56137254901960787</v>
      </c>
    </row>
    <row r="575" spans="1:17" x14ac:dyDescent="0.3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  <c r="L575" t="str">
        <f>IFERROR(VLOOKUP(D575,Products!$A:$C,3,FALSE),"")</f>
        <v>Beauty</v>
      </c>
      <c r="M575" t="str">
        <f>IFERROR(VLOOKUP(C575,Customers!$A:$E,5,FALSE),"")</f>
        <v>Retail</v>
      </c>
      <c r="N575">
        <f>IFERROR(VLOOKUP(C575,Customers!$A:$E,3,FALSE),"")</f>
        <v>32</v>
      </c>
      <c r="O575" s="33" t="str">
        <f>IFERROR(VLOOKUP(E575,Sales_Reps!$A:$C,3,FALSE),"")</f>
        <v>West</v>
      </c>
      <c r="P575" s="33">
        <f>IFERROR(VLOOKUP(D575,Products!$A:$D,4,FALSE),"")</f>
        <v>675</v>
      </c>
      <c r="Q575" s="33">
        <f t="shared" si="8"/>
        <v>0.296875</v>
      </c>
    </row>
    <row r="576" spans="1:17" x14ac:dyDescent="0.3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  <c r="L576" t="str">
        <f>IFERROR(VLOOKUP(D576,Products!$A:$C,3,FALSE),"")</f>
        <v>Grocery</v>
      </c>
      <c r="M576" t="str">
        <f>IFERROR(VLOOKUP(C576,Customers!$A:$E,5,FALSE),"")</f>
        <v>SMB</v>
      </c>
      <c r="N576">
        <f>IFERROR(VLOOKUP(C576,Customers!$A:$E,3,FALSE),"")</f>
        <v>40</v>
      </c>
      <c r="O576" s="33" t="str">
        <f>IFERROR(VLOOKUP(E576,Sales_Reps!$A:$C,3,FALSE),"")</f>
        <v>North</v>
      </c>
      <c r="P576" s="33">
        <f>IFERROR(VLOOKUP(D576,Products!$A:$D,4,FALSE),"")</f>
        <v>2027</v>
      </c>
      <c r="Q576" s="33">
        <f t="shared" si="8"/>
        <v>0.50196560196560192</v>
      </c>
    </row>
    <row r="577" spans="1:17" x14ac:dyDescent="0.3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  <c r="L577" t="str">
        <f>IFERROR(VLOOKUP(D577,Products!$A:$C,3,FALSE),"")</f>
        <v>Home</v>
      </c>
      <c r="M577" t="str">
        <f>IFERROR(VLOOKUP(C577,Customers!$A:$E,5,FALSE),"")</f>
        <v>SMB</v>
      </c>
      <c r="N577">
        <f>IFERROR(VLOOKUP(C577,Customers!$A:$E,3,FALSE),"")</f>
        <v>47</v>
      </c>
      <c r="O577" s="33" t="str">
        <f>IFERROR(VLOOKUP(E577,Sales_Reps!$A:$C,3,FALSE),"")</f>
        <v>East</v>
      </c>
      <c r="P577" s="33">
        <f>IFERROR(VLOOKUP(D577,Products!$A:$D,4,FALSE),"")</f>
        <v>2135</v>
      </c>
      <c r="Q577" s="33">
        <f t="shared" si="8"/>
        <v>0.42761394101876676</v>
      </c>
    </row>
    <row r="578" spans="1:17" x14ac:dyDescent="0.3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  <c r="L578" t="str">
        <f>IFERROR(VLOOKUP(D578,Products!$A:$C,3,FALSE),"")</f>
        <v>Sports</v>
      </c>
      <c r="M578" t="str">
        <f>IFERROR(VLOOKUP(C578,Customers!$A:$E,5,FALSE),"")</f>
        <v>Corporate</v>
      </c>
      <c r="N578">
        <f>IFERROR(VLOOKUP(C578,Customers!$A:$E,3,FALSE),"")</f>
        <v>46</v>
      </c>
      <c r="O578" s="33" t="str">
        <f>IFERROR(VLOOKUP(E578,Sales_Reps!$A:$C,3,FALSE),"")</f>
        <v>East</v>
      </c>
      <c r="P578" s="33">
        <f>IFERROR(VLOOKUP(D578,Products!$A:$D,4,FALSE),"")</f>
        <v>2028</v>
      </c>
      <c r="Q578" s="33">
        <f t="shared" si="8"/>
        <v>0.29090909090909089</v>
      </c>
    </row>
    <row r="579" spans="1:17" x14ac:dyDescent="0.3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  <c r="L579" t="str">
        <f>IFERROR(VLOOKUP(D579,Products!$A:$C,3,FALSE),"")</f>
        <v>Beauty</v>
      </c>
      <c r="M579" t="str">
        <f>IFERROR(VLOOKUP(C579,Customers!$A:$E,5,FALSE),"")</f>
        <v>SMB</v>
      </c>
      <c r="N579">
        <f>IFERROR(VLOOKUP(C579,Customers!$A:$E,3,FALSE),"")</f>
        <v>39</v>
      </c>
      <c r="O579" s="33" t="str">
        <f>IFERROR(VLOOKUP(E579,Sales_Reps!$A:$C,3,FALSE),"")</f>
        <v>East</v>
      </c>
      <c r="P579" s="33">
        <f>IFERROR(VLOOKUP(D579,Products!$A:$D,4,FALSE),"")</f>
        <v>2768</v>
      </c>
      <c r="Q579" s="33">
        <f t="shared" ref="Q579:Q642" si="9">IFERROR((G579-P579)/G579,"")</f>
        <v>0.43278688524590164</v>
      </c>
    </row>
    <row r="580" spans="1:17" x14ac:dyDescent="0.3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  <c r="L580" t="str">
        <f>IFERROR(VLOOKUP(D580,Products!$A:$C,3,FALSE),"")</f>
        <v>Grocery</v>
      </c>
      <c r="M580" t="str">
        <f>IFERROR(VLOOKUP(C580,Customers!$A:$E,5,FALSE),"")</f>
        <v>Retail</v>
      </c>
      <c r="N580">
        <f>IFERROR(VLOOKUP(C580,Customers!$A:$E,3,FALSE),"")</f>
        <v>32</v>
      </c>
      <c r="O580" s="33" t="str">
        <f>IFERROR(VLOOKUP(E580,Sales_Reps!$A:$C,3,FALSE),"")</f>
        <v>East</v>
      </c>
      <c r="P580" s="33">
        <f>IFERROR(VLOOKUP(D580,Products!$A:$D,4,FALSE),"")</f>
        <v>1412</v>
      </c>
      <c r="Q580" s="33">
        <f t="shared" si="9"/>
        <v>0.37797356828193834</v>
      </c>
    </row>
    <row r="581" spans="1:17" x14ac:dyDescent="0.3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  <c r="L581" t="str">
        <f>IFERROR(VLOOKUP(D581,Products!$A:$C,3,FALSE),"")</f>
        <v>Grocery</v>
      </c>
      <c r="M581" t="str">
        <f>IFERROR(VLOOKUP(C581,Customers!$A:$E,5,FALSE),"")</f>
        <v>Retail</v>
      </c>
      <c r="N581">
        <f>IFERROR(VLOOKUP(C581,Customers!$A:$E,3,FALSE),"")</f>
        <v>65</v>
      </c>
      <c r="O581" s="33" t="str">
        <f>IFERROR(VLOOKUP(E581,Sales_Reps!$A:$C,3,FALSE),"")</f>
        <v>North</v>
      </c>
      <c r="P581" s="33">
        <f>IFERROR(VLOOKUP(D581,Products!$A:$D,4,FALSE),"")</f>
        <v>2911</v>
      </c>
      <c r="Q581" s="33">
        <f t="shared" si="9"/>
        <v>0.28300492610837441</v>
      </c>
    </row>
    <row r="582" spans="1:17" x14ac:dyDescent="0.3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  <c r="L582" t="str">
        <f>IFERROR(VLOOKUP(D582,Products!$A:$C,3,FALSE),"")</f>
        <v>Electronics</v>
      </c>
      <c r="M582" t="str">
        <f>IFERROR(VLOOKUP(C582,Customers!$A:$E,5,FALSE),"")</f>
        <v>Retail</v>
      </c>
      <c r="N582">
        <f>IFERROR(VLOOKUP(C582,Customers!$A:$E,3,FALSE),"")</f>
        <v>53</v>
      </c>
      <c r="O582" s="33" t="str">
        <f>IFERROR(VLOOKUP(E582,Sales_Reps!$A:$C,3,FALSE),"")</f>
        <v>North</v>
      </c>
      <c r="P582" s="33">
        <f>IFERROR(VLOOKUP(D582,Products!$A:$D,4,FALSE),"")</f>
        <v>1149</v>
      </c>
      <c r="Q582" s="33">
        <f t="shared" si="9"/>
        <v>0.56477272727272732</v>
      </c>
    </row>
    <row r="583" spans="1:17" x14ac:dyDescent="0.3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  <c r="L583" t="str">
        <f>IFERROR(VLOOKUP(D583,Products!$A:$C,3,FALSE),"")</f>
        <v>Home</v>
      </c>
      <c r="M583" t="str">
        <f>IFERROR(VLOOKUP(C583,Customers!$A:$E,5,FALSE),"")</f>
        <v>Retail</v>
      </c>
      <c r="N583">
        <f>IFERROR(VLOOKUP(C583,Customers!$A:$E,3,FALSE),"")</f>
        <v>59</v>
      </c>
      <c r="O583" s="33" t="str">
        <f>IFERROR(VLOOKUP(E583,Sales_Reps!$A:$C,3,FALSE),"")</f>
        <v>South</v>
      </c>
      <c r="P583" s="33">
        <f>IFERROR(VLOOKUP(D583,Products!$A:$D,4,FALSE),"")</f>
        <v>2135</v>
      </c>
      <c r="Q583" s="33">
        <f t="shared" si="9"/>
        <v>0.42761394101876676</v>
      </c>
    </row>
    <row r="584" spans="1:17" x14ac:dyDescent="0.3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  <c r="L584" t="str">
        <f>IFERROR(VLOOKUP(D584,Products!$A:$C,3,FALSE),"")</f>
        <v>Electronics</v>
      </c>
      <c r="M584" t="str">
        <f>IFERROR(VLOOKUP(C584,Customers!$A:$E,5,FALSE),"")</f>
        <v>Retail</v>
      </c>
      <c r="N584">
        <f>IFERROR(VLOOKUP(C584,Customers!$A:$E,3,FALSE),"")</f>
        <v>59</v>
      </c>
      <c r="O584" s="33" t="str">
        <f>IFERROR(VLOOKUP(E584,Sales_Reps!$A:$C,3,FALSE),"")</f>
        <v>North</v>
      </c>
      <c r="P584" s="33">
        <f>IFERROR(VLOOKUP(D584,Products!$A:$D,4,FALSE),"")</f>
        <v>2405</v>
      </c>
      <c r="Q584" s="33">
        <f t="shared" si="9"/>
        <v>0.54878048780487809</v>
      </c>
    </row>
    <row r="585" spans="1:17" x14ac:dyDescent="0.3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  <c r="L585" t="str">
        <f>IFERROR(VLOOKUP(D585,Products!$A:$C,3,FALSE),"")</f>
        <v>Apparel</v>
      </c>
      <c r="M585" t="str">
        <f>IFERROR(VLOOKUP(C585,Customers!$A:$E,5,FALSE),"")</f>
        <v>Retail</v>
      </c>
      <c r="N585">
        <f>IFERROR(VLOOKUP(C585,Customers!$A:$E,3,FALSE),"")</f>
        <v>33</v>
      </c>
      <c r="O585" s="33" t="str">
        <f>IFERROR(VLOOKUP(E585,Sales_Reps!$A:$C,3,FALSE),"")</f>
        <v>West</v>
      </c>
      <c r="P585" s="33">
        <f>IFERROR(VLOOKUP(D585,Products!$A:$D,4,FALSE),"")</f>
        <v>1748</v>
      </c>
      <c r="Q585" s="33">
        <f t="shared" si="9"/>
        <v>0.49333333333333335</v>
      </c>
    </row>
    <row r="586" spans="1:17" x14ac:dyDescent="0.3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  <c r="L586" t="str">
        <f>IFERROR(VLOOKUP(D586,Products!$A:$C,3,FALSE),"")</f>
        <v>Beauty</v>
      </c>
      <c r="M586" t="str">
        <f>IFERROR(VLOOKUP(C586,Customers!$A:$E,5,FALSE),"")</f>
        <v>Corporate</v>
      </c>
      <c r="N586">
        <f>IFERROR(VLOOKUP(C586,Customers!$A:$E,3,FALSE),"")</f>
        <v>55</v>
      </c>
      <c r="O586" s="33" t="str">
        <f>IFERROR(VLOOKUP(E586,Sales_Reps!$A:$C,3,FALSE),"")</f>
        <v>East</v>
      </c>
      <c r="P586" s="33">
        <f>IFERROR(VLOOKUP(D586,Products!$A:$D,4,FALSE),"")</f>
        <v>2617</v>
      </c>
      <c r="Q586" s="33">
        <f t="shared" si="9"/>
        <v>0.56957236842105263</v>
      </c>
    </row>
    <row r="587" spans="1:17" x14ac:dyDescent="0.3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  <c r="L587" t="str">
        <f>IFERROR(VLOOKUP(D587,Products!$A:$C,3,FALSE),"")</f>
        <v>Home</v>
      </c>
      <c r="M587" t="str">
        <f>IFERROR(VLOOKUP(C587,Customers!$A:$E,5,FALSE),"")</f>
        <v>Retail</v>
      </c>
      <c r="N587">
        <f>IFERROR(VLOOKUP(C587,Customers!$A:$E,3,FALSE),"")</f>
        <v>42</v>
      </c>
      <c r="O587" s="33" t="str">
        <f>IFERROR(VLOOKUP(E587,Sales_Reps!$A:$C,3,FALSE),"")</f>
        <v>North</v>
      </c>
      <c r="P587" s="33">
        <f>IFERROR(VLOOKUP(D587,Products!$A:$D,4,FALSE),"")</f>
        <v>2135</v>
      </c>
      <c r="Q587" s="33">
        <f t="shared" si="9"/>
        <v>0.42761394101876676</v>
      </c>
    </row>
    <row r="588" spans="1:17" x14ac:dyDescent="0.3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  <c r="L588" t="str">
        <f>IFERROR(VLOOKUP(D588,Products!$A:$C,3,FALSE),"")</f>
        <v>Electronics</v>
      </c>
      <c r="M588" t="str">
        <f>IFERROR(VLOOKUP(C588,Customers!$A:$E,5,FALSE),"")</f>
        <v>Retail</v>
      </c>
      <c r="N588">
        <f>IFERROR(VLOOKUP(C588,Customers!$A:$E,3,FALSE),"")</f>
        <v>41</v>
      </c>
      <c r="O588" s="33" t="str">
        <f>IFERROR(VLOOKUP(E588,Sales_Reps!$A:$C,3,FALSE),"")</f>
        <v>East</v>
      </c>
      <c r="P588" s="33">
        <f>IFERROR(VLOOKUP(D588,Products!$A:$D,4,FALSE),"")</f>
        <v>1259</v>
      </c>
      <c r="Q588" s="33">
        <f t="shared" si="9"/>
        <v>0.52669172932330832</v>
      </c>
    </row>
    <row r="589" spans="1:17" x14ac:dyDescent="0.3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  <c r="L589" t="str">
        <f>IFERROR(VLOOKUP(D589,Products!$A:$C,3,FALSE),"")</f>
        <v>Grocery</v>
      </c>
      <c r="M589" t="str">
        <f>IFERROR(VLOOKUP(C589,Customers!$A:$E,5,FALSE),"")</f>
        <v>SMB</v>
      </c>
      <c r="N589">
        <f>IFERROR(VLOOKUP(C589,Customers!$A:$E,3,FALSE),"")</f>
        <v>40</v>
      </c>
      <c r="O589" s="33" t="str">
        <f>IFERROR(VLOOKUP(E589,Sales_Reps!$A:$C,3,FALSE),"")</f>
        <v>East</v>
      </c>
      <c r="P589" s="33">
        <f>IFERROR(VLOOKUP(D589,Products!$A:$D,4,FALSE),"")</f>
        <v>1010</v>
      </c>
      <c r="Q589" s="33">
        <f t="shared" si="9"/>
        <v>0.54298642533936647</v>
      </c>
    </row>
    <row r="590" spans="1:17" x14ac:dyDescent="0.3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  <c r="L590" t="str">
        <f>IFERROR(VLOOKUP(D590,Products!$A:$C,3,FALSE),"")</f>
        <v>Sports</v>
      </c>
      <c r="M590" t="str">
        <f>IFERROR(VLOOKUP(C590,Customers!$A:$E,5,FALSE),"")</f>
        <v>SMB</v>
      </c>
      <c r="N590">
        <f>IFERROR(VLOOKUP(C590,Customers!$A:$E,3,FALSE),"")</f>
        <v>44</v>
      </c>
      <c r="O590" s="33" t="str">
        <f>IFERROR(VLOOKUP(E590,Sales_Reps!$A:$C,3,FALSE),"")</f>
        <v>South</v>
      </c>
      <c r="P590" s="33">
        <f>IFERROR(VLOOKUP(D590,Products!$A:$D,4,FALSE),"")</f>
        <v>1860</v>
      </c>
      <c r="Q590" s="33">
        <f t="shared" si="9"/>
        <v>0.50793650793650791</v>
      </c>
    </row>
    <row r="591" spans="1:17" x14ac:dyDescent="0.3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  <c r="L591" t="str">
        <f>IFERROR(VLOOKUP(D591,Products!$A:$C,3,FALSE),"")</f>
        <v>Home</v>
      </c>
      <c r="M591" t="str">
        <f>IFERROR(VLOOKUP(C591,Customers!$A:$E,5,FALSE),"")</f>
        <v>Retail</v>
      </c>
      <c r="N591">
        <f>IFERROR(VLOOKUP(C591,Customers!$A:$E,3,FALSE),"")</f>
        <v>31</v>
      </c>
      <c r="O591" s="33" t="str">
        <f>IFERROR(VLOOKUP(E591,Sales_Reps!$A:$C,3,FALSE),"")</f>
        <v>West</v>
      </c>
      <c r="P591" s="33">
        <f>IFERROR(VLOOKUP(D591,Products!$A:$D,4,FALSE),"")</f>
        <v>2549</v>
      </c>
      <c r="Q591" s="33">
        <f t="shared" si="9"/>
        <v>0.53570127504553733</v>
      </c>
    </row>
    <row r="592" spans="1:17" x14ac:dyDescent="0.3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  <c r="L592" t="str">
        <f>IFERROR(VLOOKUP(D592,Products!$A:$C,3,FALSE),"")</f>
        <v>Electronics</v>
      </c>
      <c r="M592" t="str">
        <f>IFERROR(VLOOKUP(C592,Customers!$A:$E,5,FALSE),"")</f>
        <v>SMB</v>
      </c>
      <c r="N592">
        <f>IFERROR(VLOOKUP(C592,Customers!$A:$E,3,FALSE),"")</f>
        <v>39</v>
      </c>
      <c r="O592" s="33" t="str">
        <f>IFERROR(VLOOKUP(E592,Sales_Reps!$A:$C,3,FALSE),"")</f>
        <v>South</v>
      </c>
      <c r="P592" s="33">
        <f>IFERROR(VLOOKUP(D592,Products!$A:$D,4,FALSE),"")</f>
        <v>1259</v>
      </c>
      <c r="Q592" s="33">
        <f t="shared" si="9"/>
        <v>0.52669172932330832</v>
      </c>
    </row>
    <row r="593" spans="1:17" x14ac:dyDescent="0.3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  <c r="L593" t="str">
        <f>IFERROR(VLOOKUP(D593,Products!$A:$C,3,FALSE),"")</f>
        <v>Sports</v>
      </c>
      <c r="M593" t="str">
        <f>IFERROR(VLOOKUP(C593,Customers!$A:$E,5,FALSE),"")</f>
        <v>Retail</v>
      </c>
      <c r="N593">
        <f>IFERROR(VLOOKUP(C593,Customers!$A:$E,3,FALSE),"")</f>
        <v>59</v>
      </c>
      <c r="O593" s="33" t="str">
        <f>IFERROR(VLOOKUP(E593,Sales_Reps!$A:$C,3,FALSE),"")</f>
        <v>West</v>
      </c>
      <c r="P593" s="33">
        <f>IFERROR(VLOOKUP(D593,Products!$A:$D,4,FALSE),"")</f>
        <v>2827</v>
      </c>
      <c r="Q593" s="33">
        <f t="shared" si="9"/>
        <v>0.5926512968299712</v>
      </c>
    </row>
    <row r="594" spans="1:17" x14ac:dyDescent="0.3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  <c r="L594" t="str">
        <f>IFERROR(VLOOKUP(D594,Products!$A:$C,3,FALSE),"")</f>
        <v>Electronics</v>
      </c>
      <c r="M594" t="str">
        <f>IFERROR(VLOOKUP(C594,Customers!$A:$E,5,FALSE),"")</f>
        <v>Corporate</v>
      </c>
      <c r="N594">
        <f>IFERROR(VLOOKUP(C594,Customers!$A:$E,3,FALSE),"")</f>
        <v>47</v>
      </c>
      <c r="O594" s="33" t="str">
        <f>IFERROR(VLOOKUP(E594,Sales_Reps!$A:$C,3,FALSE),"")</f>
        <v>North</v>
      </c>
      <c r="P594" s="33">
        <f>IFERROR(VLOOKUP(D594,Products!$A:$D,4,FALSE),"")</f>
        <v>1559</v>
      </c>
      <c r="Q594" s="33">
        <f t="shared" si="9"/>
        <v>0.59715762273901807</v>
      </c>
    </row>
    <row r="595" spans="1:17" x14ac:dyDescent="0.3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  <c r="L595" t="str">
        <f>IFERROR(VLOOKUP(D595,Products!$A:$C,3,FALSE),"")</f>
        <v>Home</v>
      </c>
      <c r="M595" t="str">
        <f>IFERROR(VLOOKUP(C595,Customers!$A:$E,5,FALSE),"")</f>
        <v>Retail</v>
      </c>
      <c r="N595">
        <f>IFERROR(VLOOKUP(C595,Customers!$A:$E,3,FALSE),"")</f>
        <v>41</v>
      </c>
      <c r="O595" s="33" t="str">
        <f>IFERROR(VLOOKUP(E595,Sales_Reps!$A:$C,3,FALSE),"")</f>
        <v>North</v>
      </c>
      <c r="P595" s="33">
        <f>IFERROR(VLOOKUP(D595,Products!$A:$D,4,FALSE),"")</f>
        <v>464</v>
      </c>
      <c r="Q595" s="33">
        <f t="shared" si="9"/>
        <v>0.57431192660550456</v>
      </c>
    </row>
    <row r="596" spans="1:17" x14ac:dyDescent="0.3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  <c r="L596" t="str">
        <f>IFERROR(VLOOKUP(D596,Products!$A:$C,3,FALSE),"")</f>
        <v>Electronics</v>
      </c>
      <c r="M596" t="str">
        <f>IFERROR(VLOOKUP(C596,Customers!$A:$E,5,FALSE),"")</f>
        <v>Retail</v>
      </c>
      <c r="N596">
        <f>IFERROR(VLOOKUP(C596,Customers!$A:$E,3,FALSE),"")</f>
        <v>61</v>
      </c>
      <c r="O596" s="33" t="str">
        <f>IFERROR(VLOOKUP(E596,Sales_Reps!$A:$C,3,FALSE),"")</f>
        <v>North</v>
      </c>
      <c r="P596" s="33">
        <f>IFERROR(VLOOKUP(D596,Products!$A:$D,4,FALSE),"")</f>
        <v>1052</v>
      </c>
      <c r="Q596" s="33">
        <f t="shared" si="9"/>
        <v>0.5953846153846154</v>
      </c>
    </row>
    <row r="597" spans="1:17" x14ac:dyDescent="0.3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  <c r="L597" t="str">
        <f>IFERROR(VLOOKUP(D597,Products!$A:$C,3,FALSE),"")</f>
        <v>Sports</v>
      </c>
      <c r="M597" t="str">
        <f>IFERROR(VLOOKUP(C597,Customers!$A:$E,5,FALSE),"")</f>
        <v>SMB</v>
      </c>
      <c r="N597">
        <f>IFERROR(VLOOKUP(C597,Customers!$A:$E,3,FALSE),"")</f>
        <v>59</v>
      </c>
      <c r="O597" s="33" t="str">
        <f>IFERROR(VLOOKUP(E597,Sales_Reps!$A:$C,3,FALSE),"")</f>
        <v>East</v>
      </c>
      <c r="P597" s="33">
        <f>IFERROR(VLOOKUP(D597,Products!$A:$D,4,FALSE),"")</f>
        <v>705</v>
      </c>
      <c r="Q597" s="33">
        <f t="shared" si="9"/>
        <v>0.265625</v>
      </c>
    </row>
    <row r="598" spans="1:17" x14ac:dyDescent="0.3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  <c r="L598" t="str">
        <f>IFERROR(VLOOKUP(D598,Products!$A:$C,3,FALSE),"")</f>
        <v>Home</v>
      </c>
      <c r="M598" t="str">
        <f>IFERROR(VLOOKUP(C598,Customers!$A:$E,5,FALSE),"")</f>
        <v>Retail</v>
      </c>
      <c r="N598">
        <f>IFERROR(VLOOKUP(C598,Customers!$A:$E,3,FALSE),"")</f>
        <v>54</v>
      </c>
      <c r="O598" s="33" t="str">
        <f>IFERROR(VLOOKUP(E598,Sales_Reps!$A:$C,3,FALSE),"")</f>
        <v>West</v>
      </c>
      <c r="P598" s="33">
        <f>IFERROR(VLOOKUP(D598,Products!$A:$D,4,FALSE),"")</f>
        <v>288</v>
      </c>
      <c r="Q598" s="33">
        <f t="shared" si="9"/>
        <v>0.22162162162162163</v>
      </c>
    </row>
    <row r="599" spans="1:17" x14ac:dyDescent="0.3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  <c r="L599" t="str">
        <f>IFERROR(VLOOKUP(D599,Products!$A:$C,3,FALSE),"")</f>
        <v>Home</v>
      </c>
      <c r="M599" t="str">
        <f>IFERROR(VLOOKUP(C599,Customers!$A:$E,5,FALSE),"")</f>
        <v>SMB</v>
      </c>
      <c r="N599">
        <f>IFERROR(VLOOKUP(C599,Customers!$A:$E,3,FALSE),"")</f>
        <v>34</v>
      </c>
      <c r="O599" s="33" t="str">
        <f>IFERROR(VLOOKUP(E599,Sales_Reps!$A:$C,3,FALSE),"")</f>
        <v>North</v>
      </c>
      <c r="P599" s="33">
        <f>IFERROR(VLOOKUP(D599,Products!$A:$D,4,FALSE),"")</f>
        <v>2459</v>
      </c>
      <c r="Q599" s="33">
        <f t="shared" si="9"/>
        <v>0.51594488188976373</v>
      </c>
    </row>
    <row r="600" spans="1:17" x14ac:dyDescent="0.3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  <c r="L600" t="str">
        <f>IFERROR(VLOOKUP(D600,Products!$A:$C,3,FALSE),"")</f>
        <v>Beauty</v>
      </c>
      <c r="M600" t="str">
        <f>IFERROR(VLOOKUP(C600,Customers!$A:$E,5,FALSE),"")</f>
        <v>Retail</v>
      </c>
      <c r="N600">
        <f>IFERROR(VLOOKUP(C600,Customers!$A:$E,3,FALSE),"")</f>
        <v>62</v>
      </c>
      <c r="O600" s="33" t="str">
        <f>IFERROR(VLOOKUP(E600,Sales_Reps!$A:$C,3,FALSE),"")</f>
        <v>North</v>
      </c>
      <c r="P600" s="33">
        <f>IFERROR(VLOOKUP(D600,Products!$A:$D,4,FALSE),"")</f>
        <v>647</v>
      </c>
      <c r="Q600" s="33">
        <f t="shared" si="9"/>
        <v>0.57987012987012987</v>
      </c>
    </row>
    <row r="601" spans="1:17" x14ac:dyDescent="0.3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  <c r="L601" t="str">
        <f>IFERROR(VLOOKUP(D601,Products!$A:$C,3,FALSE),"")</f>
        <v>Grocery</v>
      </c>
      <c r="M601" t="str">
        <f>IFERROR(VLOOKUP(C601,Customers!$A:$E,5,FALSE),"")</f>
        <v>Retail</v>
      </c>
      <c r="N601">
        <f>IFERROR(VLOOKUP(C601,Customers!$A:$E,3,FALSE),"")</f>
        <v>37</v>
      </c>
      <c r="O601" s="33" t="str">
        <f>IFERROR(VLOOKUP(E601,Sales_Reps!$A:$C,3,FALSE),"")</f>
        <v>South</v>
      </c>
      <c r="P601" s="33">
        <f>IFERROR(VLOOKUP(D601,Products!$A:$D,4,FALSE),"")</f>
        <v>1203</v>
      </c>
      <c r="Q601" s="33">
        <f t="shared" si="9"/>
        <v>0.47004405286343615</v>
      </c>
    </row>
    <row r="602" spans="1:17" x14ac:dyDescent="0.3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  <c r="L602" t="str">
        <f>IFERROR(VLOOKUP(D602,Products!$A:$C,3,FALSE),"")</f>
        <v>Sports</v>
      </c>
      <c r="M602" t="str">
        <f>IFERROR(VLOOKUP(C602,Customers!$A:$E,5,FALSE),"")</f>
        <v>Retail</v>
      </c>
      <c r="N602">
        <f>IFERROR(VLOOKUP(C602,Customers!$A:$E,3,FALSE),"")</f>
        <v>52</v>
      </c>
      <c r="O602" s="33" t="str">
        <f>IFERROR(VLOOKUP(E602,Sales_Reps!$A:$C,3,FALSE),"")</f>
        <v>South</v>
      </c>
      <c r="P602" s="33">
        <f>IFERROR(VLOOKUP(D602,Products!$A:$D,4,FALSE),"")</f>
        <v>705</v>
      </c>
      <c r="Q602" s="33">
        <f t="shared" si="9"/>
        <v>0.265625</v>
      </c>
    </row>
    <row r="603" spans="1:17" x14ac:dyDescent="0.3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  <c r="L603" t="str">
        <f>IFERROR(VLOOKUP(D603,Products!$A:$C,3,FALSE),"")</f>
        <v>Electronics</v>
      </c>
      <c r="M603" t="str">
        <f>IFERROR(VLOOKUP(C603,Customers!$A:$E,5,FALSE),"")</f>
        <v>SMB</v>
      </c>
      <c r="N603">
        <f>IFERROR(VLOOKUP(C603,Customers!$A:$E,3,FALSE),"")</f>
        <v>53</v>
      </c>
      <c r="O603" s="33" t="str">
        <f>IFERROR(VLOOKUP(E603,Sales_Reps!$A:$C,3,FALSE),"")</f>
        <v>West</v>
      </c>
      <c r="P603" s="33">
        <f>IFERROR(VLOOKUP(D603,Products!$A:$D,4,FALSE),"")</f>
        <v>861</v>
      </c>
      <c r="Q603" s="33">
        <f t="shared" si="9"/>
        <v>0.39790209790209791</v>
      </c>
    </row>
    <row r="604" spans="1:17" x14ac:dyDescent="0.3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  <c r="L604" t="str">
        <f>IFERROR(VLOOKUP(D604,Products!$A:$C,3,FALSE),"")</f>
        <v>Beauty</v>
      </c>
      <c r="M604" t="str">
        <f>IFERROR(VLOOKUP(C604,Customers!$A:$E,5,FALSE),"")</f>
        <v>Retail</v>
      </c>
      <c r="N604">
        <f>IFERROR(VLOOKUP(C604,Customers!$A:$E,3,FALSE),"")</f>
        <v>29</v>
      </c>
      <c r="O604" s="33" t="str">
        <f>IFERROR(VLOOKUP(E604,Sales_Reps!$A:$C,3,FALSE),"")</f>
        <v>North</v>
      </c>
      <c r="P604" s="33">
        <f>IFERROR(VLOOKUP(D604,Products!$A:$D,4,FALSE),"")</f>
        <v>2420</v>
      </c>
      <c r="Q604" s="33">
        <f t="shared" si="9"/>
        <v>0.29855072463768118</v>
      </c>
    </row>
    <row r="605" spans="1:17" x14ac:dyDescent="0.3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  <c r="L605" t="str">
        <f>IFERROR(VLOOKUP(D605,Products!$A:$C,3,FALSE),"")</f>
        <v>Electronics</v>
      </c>
      <c r="M605" t="str">
        <f>IFERROR(VLOOKUP(C605,Customers!$A:$E,5,FALSE),"")</f>
        <v>SMB</v>
      </c>
      <c r="N605">
        <f>IFERROR(VLOOKUP(C605,Customers!$A:$E,3,FALSE),"")</f>
        <v>30</v>
      </c>
      <c r="O605" s="33" t="str">
        <f>IFERROR(VLOOKUP(E605,Sales_Reps!$A:$C,3,FALSE),"")</f>
        <v>West</v>
      </c>
      <c r="P605" s="33">
        <f>IFERROR(VLOOKUP(D605,Products!$A:$D,4,FALSE),"")</f>
        <v>517</v>
      </c>
      <c r="Q605" s="33">
        <f t="shared" si="9"/>
        <v>0.57622950819672136</v>
      </c>
    </row>
    <row r="606" spans="1:17" x14ac:dyDescent="0.3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  <c r="L606" t="str">
        <f>IFERROR(VLOOKUP(D606,Products!$A:$C,3,FALSE),"")</f>
        <v>Grocery</v>
      </c>
      <c r="M606" t="str">
        <f>IFERROR(VLOOKUP(C606,Customers!$A:$E,5,FALSE),"")</f>
        <v>Retail</v>
      </c>
      <c r="N606">
        <f>IFERROR(VLOOKUP(C606,Customers!$A:$E,3,FALSE),"")</f>
        <v>47</v>
      </c>
      <c r="O606" s="33" t="str">
        <f>IFERROR(VLOOKUP(E606,Sales_Reps!$A:$C,3,FALSE),"")</f>
        <v>East</v>
      </c>
      <c r="P606" s="33">
        <f>IFERROR(VLOOKUP(D606,Products!$A:$D,4,FALSE),"")</f>
        <v>1435</v>
      </c>
      <c r="Q606" s="33">
        <f t="shared" si="9"/>
        <v>0.48007246376811596</v>
      </c>
    </row>
    <row r="607" spans="1:17" x14ac:dyDescent="0.3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  <c r="L607" t="str">
        <f>IFERROR(VLOOKUP(D607,Products!$A:$C,3,FALSE),"")</f>
        <v>Beauty</v>
      </c>
      <c r="M607" t="str">
        <f>IFERROR(VLOOKUP(C607,Customers!$A:$E,5,FALSE),"")</f>
        <v>SMB</v>
      </c>
      <c r="N607">
        <f>IFERROR(VLOOKUP(C607,Customers!$A:$E,3,FALSE),"")</f>
        <v>54</v>
      </c>
      <c r="O607" s="33" t="str">
        <f>IFERROR(VLOOKUP(E607,Sales_Reps!$A:$C,3,FALSE),"")</f>
        <v>East</v>
      </c>
      <c r="P607" s="33">
        <f>IFERROR(VLOOKUP(D607,Products!$A:$D,4,FALSE),"")</f>
        <v>1728</v>
      </c>
      <c r="Q607" s="33">
        <f t="shared" si="9"/>
        <v>0.48417910447761192</v>
      </c>
    </row>
    <row r="608" spans="1:17" x14ac:dyDescent="0.3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  <c r="L608" t="str">
        <f>IFERROR(VLOOKUP(D608,Products!$A:$C,3,FALSE),"")</f>
        <v>Beauty</v>
      </c>
      <c r="M608" t="str">
        <f>IFERROR(VLOOKUP(C608,Customers!$A:$E,5,FALSE),"")</f>
        <v>SMB</v>
      </c>
      <c r="N608">
        <f>IFERROR(VLOOKUP(C608,Customers!$A:$E,3,FALSE),"")</f>
        <v>34</v>
      </c>
      <c r="O608" s="33" t="str">
        <f>IFERROR(VLOOKUP(E608,Sales_Reps!$A:$C,3,FALSE),"")</f>
        <v>South</v>
      </c>
      <c r="P608" s="33">
        <f>IFERROR(VLOOKUP(D608,Products!$A:$D,4,FALSE),"")</f>
        <v>2237</v>
      </c>
      <c r="Q608" s="33">
        <f t="shared" si="9"/>
        <v>0.56137254901960787</v>
      </c>
    </row>
    <row r="609" spans="1:17" x14ac:dyDescent="0.3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  <c r="L609" t="str">
        <f>IFERROR(VLOOKUP(D609,Products!$A:$C,3,FALSE),"")</f>
        <v>Electronics</v>
      </c>
      <c r="M609" t="str">
        <f>IFERROR(VLOOKUP(C609,Customers!$A:$E,5,FALSE),"")</f>
        <v>Retail</v>
      </c>
      <c r="N609">
        <f>IFERROR(VLOOKUP(C609,Customers!$A:$E,3,FALSE),"")</f>
        <v>49</v>
      </c>
      <c r="O609" s="33" t="str">
        <f>IFERROR(VLOOKUP(E609,Sales_Reps!$A:$C,3,FALSE),"")</f>
        <v>West</v>
      </c>
      <c r="P609" s="33">
        <f>IFERROR(VLOOKUP(D609,Products!$A:$D,4,FALSE),"")</f>
        <v>1149</v>
      </c>
      <c r="Q609" s="33">
        <f t="shared" si="9"/>
        <v>0.56477272727272732</v>
      </c>
    </row>
    <row r="610" spans="1:17" x14ac:dyDescent="0.3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  <c r="L610" t="str">
        <f>IFERROR(VLOOKUP(D610,Products!$A:$C,3,FALSE),"")</f>
        <v>Grocery</v>
      </c>
      <c r="M610" t="str">
        <f>IFERROR(VLOOKUP(C610,Customers!$A:$E,5,FALSE),"")</f>
        <v>Retail</v>
      </c>
      <c r="N610">
        <f>IFERROR(VLOOKUP(C610,Customers!$A:$E,3,FALSE),"")</f>
        <v>39</v>
      </c>
      <c r="O610" s="33" t="str">
        <f>IFERROR(VLOOKUP(E610,Sales_Reps!$A:$C,3,FALSE),"")</f>
        <v>South</v>
      </c>
      <c r="P610" s="33">
        <f>IFERROR(VLOOKUP(D610,Products!$A:$D,4,FALSE),"")</f>
        <v>2214</v>
      </c>
      <c r="Q610" s="33">
        <f t="shared" si="9"/>
        <v>0.39508196721311473</v>
      </c>
    </row>
    <row r="611" spans="1:17" x14ac:dyDescent="0.3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  <c r="L611" t="str">
        <f>IFERROR(VLOOKUP(D611,Products!$A:$C,3,FALSE),"")</f>
        <v>Home</v>
      </c>
      <c r="M611" t="str">
        <f>IFERROR(VLOOKUP(C611,Customers!$A:$E,5,FALSE),"")</f>
        <v>Retail</v>
      </c>
      <c r="N611">
        <f>IFERROR(VLOOKUP(C611,Customers!$A:$E,3,FALSE),"")</f>
        <v>44</v>
      </c>
      <c r="O611" s="33" t="str">
        <f>IFERROR(VLOOKUP(E611,Sales_Reps!$A:$C,3,FALSE),"")</f>
        <v>West</v>
      </c>
      <c r="P611" s="33">
        <f>IFERROR(VLOOKUP(D611,Products!$A:$D,4,FALSE),"")</f>
        <v>288</v>
      </c>
      <c r="Q611" s="33">
        <f t="shared" si="9"/>
        <v>0.22162162162162163</v>
      </c>
    </row>
    <row r="612" spans="1:17" x14ac:dyDescent="0.3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  <c r="L612" t="str">
        <f>IFERROR(VLOOKUP(D612,Products!$A:$C,3,FALSE),"")</f>
        <v>Apparel</v>
      </c>
      <c r="M612" t="str">
        <f>IFERROR(VLOOKUP(C612,Customers!$A:$E,5,FALSE),"")</f>
        <v>SMB</v>
      </c>
      <c r="N612">
        <f>IFERROR(VLOOKUP(C612,Customers!$A:$E,3,FALSE),"")</f>
        <v>28</v>
      </c>
      <c r="O612" s="33" t="str">
        <f>IFERROR(VLOOKUP(E612,Sales_Reps!$A:$C,3,FALSE),"")</f>
        <v>West</v>
      </c>
      <c r="P612" s="33">
        <f>IFERROR(VLOOKUP(D612,Products!$A:$D,4,FALSE),"")</f>
        <v>396</v>
      </c>
      <c r="Q612" s="33">
        <f t="shared" si="9"/>
        <v>0.36129032258064514</v>
      </c>
    </row>
    <row r="613" spans="1:17" x14ac:dyDescent="0.3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  <c r="L613" t="str">
        <f>IFERROR(VLOOKUP(D613,Products!$A:$C,3,FALSE),"")</f>
        <v>Sports</v>
      </c>
      <c r="M613" t="str">
        <f>IFERROR(VLOOKUP(C613,Customers!$A:$E,5,FALSE),"")</f>
        <v>Retail</v>
      </c>
      <c r="N613">
        <f>IFERROR(VLOOKUP(C613,Customers!$A:$E,3,FALSE),"")</f>
        <v>65</v>
      </c>
      <c r="O613" s="33" t="str">
        <f>IFERROR(VLOOKUP(E613,Sales_Reps!$A:$C,3,FALSE),"")</f>
        <v>East</v>
      </c>
      <c r="P613" s="33">
        <f>IFERROR(VLOOKUP(D613,Products!$A:$D,4,FALSE),"")</f>
        <v>302</v>
      </c>
      <c r="Q613" s="33">
        <f t="shared" si="9"/>
        <v>0.35744680851063831</v>
      </c>
    </row>
    <row r="614" spans="1:17" x14ac:dyDescent="0.3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  <c r="L614" t="str">
        <f>IFERROR(VLOOKUP(D614,Products!$A:$C,3,FALSE),"")</f>
        <v>Beauty</v>
      </c>
      <c r="M614" t="str">
        <f>IFERROR(VLOOKUP(C614,Customers!$A:$E,5,FALSE),"")</f>
        <v>Retail</v>
      </c>
      <c r="N614">
        <f>IFERROR(VLOOKUP(C614,Customers!$A:$E,3,FALSE),"")</f>
        <v>40</v>
      </c>
      <c r="O614" s="33" t="str">
        <f>IFERROR(VLOOKUP(E614,Sales_Reps!$A:$C,3,FALSE),"")</f>
        <v>North</v>
      </c>
      <c r="P614" s="33">
        <f>IFERROR(VLOOKUP(D614,Products!$A:$D,4,FALSE),"")</f>
        <v>1219</v>
      </c>
      <c r="Q614" s="33">
        <f t="shared" si="9"/>
        <v>0.46768558951965067</v>
      </c>
    </row>
    <row r="615" spans="1:17" x14ac:dyDescent="0.3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  <c r="L615" t="str">
        <f>IFERROR(VLOOKUP(D615,Products!$A:$C,3,FALSE),"")</f>
        <v>Sports</v>
      </c>
      <c r="M615" t="str">
        <f>IFERROR(VLOOKUP(C615,Customers!$A:$E,5,FALSE),"")</f>
        <v>SMB</v>
      </c>
      <c r="N615">
        <f>IFERROR(VLOOKUP(C615,Customers!$A:$E,3,FALSE),"")</f>
        <v>53</v>
      </c>
      <c r="O615" s="33" t="str">
        <f>IFERROR(VLOOKUP(E615,Sales_Reps!$A:$C,3,FALSE),"")</f>
        <v>West</v>
      </c>
      <c r="P615" s="33">
        <f>IFERROR(VLOOKUP(D615,Products!$A:$D,4,FALSE),"")</f>
        <v>705</v>
      </c>
      <c r="Q615" s="33">
        <f t="shared" si="9"/>
        <v>0.265625</v>
      </c>
    </row>
    <row r="616" spans="1:17" x14ac:dyDescent="0.3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  <c r="L616" t="str">
        <f>IFERROR(VLOOKUP(D616,Products!$A:$C,3,FALSE),"")</f>
        <v>Grocery</v>
      </c>
      <c r="M616" t="str">
        <f>IFERROR(VLOOKUP(C616,Customers!$A:$E,5,FALSE),"")</f>
        <v>Retail</v>
      </c>
      <c r="N616">
        <f>IFERROR(VLOOKUP(C616,Customers!$A:$E,3,FALSE),"")</f>
        <v>65</v>
      </c>
      <c r="O616" s="33" t="str">
        <f>IFERROR(VLOOKUP(E616,Sales_Reps!$A:$C,3,FALSE),"")</f>
        <v>South</v>
      </c>
      <c r="P616" s="33">
        <f>IFERROR(VLOOKUP(D616,Products!$A:$D,4,FALSE),"")</f>
        <v>2214</v>
      </c>
      <c r="Q616" s="33">
        <f t="shared" si="9"/>
        <v>0.39508196721311473</v>
      </c>
    </row>
    <row r="617" spans="1:17" x14ac:dyDescent="0.3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  <c r="L617" t="str">
        <f>IFERROR(VLOOKUP(D617,Products!$A:$C,3,FALSE),"")</f>
        <v>Electronics</v>
      </c>
      <c r="M617" t="str">
        <f>IFERROR(VLOOKUP(C617,Customers!$A:$E,5,FALSE),"")</f>
        <v>SMB</v>
      </c>
      <c r="N617">
        <f>IFERROR(VLOOKUP(C617,Customers!$A:$E,3,FALSE),"")</f>
        <v>65</v>
      </c>
      <c r="O617" s="33" t="str">
        <f>IFERROR(VLOOKUP(E617,Sales_Reps!$A:$C,3,FALSE),"")</f>
        <v>East</v>
      </c>
      <c r="P617" s="33">
        <f>IFERROR(VLOOKUP(D617,Products!$A:$D,4,FALSE),"")</f>
        <v>1665</v>
      </c>
      <c r="Q617" s="33">
        <f t="shared" si="9"/>
        <v>0.53361344537815125</v>
      </c>
    </row>
    <row r="618" spans="1:17" x14ac:dyDescent="0.3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  <c r="L618" t="str">
        <f>IFERROR(VLOOKUP(D618,Products!$A:$C,3,FALSE),"")</f>
        <v>Home</v>
      </c>
      <c r="M618" t="str">
        <f>IFERROR(VLOOKUP(C618,Customers!$A:$E,5,FALSE),"")</f>
        <v>Retail</v>
      </c>
      <c r="N618">
        <f>IFERROR(VLOOKUP(C618,Customers!$A:$E,3,FALSE),"")</f>
        <v>36</v>
      </c>
      <c r="O618" s="33" t="str">
        <f>IFERROR(VLOOKUP(E618,Sales_Reps!$A:$C,3,FALSE),"")</f>
        <v>East</v>
      </c>
      <c r="P618" s="33">
        <f>IFERROR(VLOOKUP(D618,Products!$A:$D,4,FALSE),"")</f>
        <v>1143</v>
      </c>
      <c r="Q618" s="33">
        <f t="shared" si="9"/>
        <v>0.43694581280788175</v>
      </c>
    </row>
    <row r="619" spans="1:17" x14ac:dyDescent="0.3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  <c r="L619" t="str">
        <f>IFERROR(VLOOKUP(D619,Products!$A:$C,3,FALSE),"")</f>
        <v>Apparel</v>
      </c>
      <c r="M619" t="str">
        <f>IFERROR(VLOOKUP(C619,Customers!$A:$E,5,FALSE),"")</f>
        <v>SMB</v>
      </c>
      <c r="N619">
        <f>IFERROR(VLOOKUP(C619,Customers!$A:$E,3,FALSE),"")</f>
        <v>44</v>
      </c>
      <c r="O619" s="33" t="str">
        <f>IFERROR(VLOOKUP(E619,Sales_Reps!$A:$C,3,FALSE),"")</f>
        <v>West</v>
      </c>
      <c r="P619" s="33">
        <f>IFERROR(VLOOKUP(D619,Products!$A:$D,4,FALSE),"")</f>
        <v>1962</v>
      </c>
      <c r="Q619" s="33">
        <f t="shared" si="9"/>
        <v>0.2786764705882353</v>
      </c>
    </row>
    <row r="620" spans="1:17" x14ac:dyDescent="0.3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  <c r="L620" t="str">
        <f>IFERROR(VLOOKUP(D620,Products!$A:$C,3,FALSE),"")</f>
        <v>Electronics</v>
      </c>
      <c r="M620" t="str">
        <f>IFERROR(VLOOKUP(C620,Customers!$A:$E,5,FALSE),"")</f>
        <v>Retail</v>
      </c>
      <c r="N620">
        <f>IFERROR(VLOOKUP(C620,Customers!$A:$E,3,FALSE),"")</f>
        <v>56</v>
      </c>
      <c r="O620" s="33" t="str">
        <f>IFERROR(VLOOKUP(E620,Sales_Reps!$A:$C,3,FALSE),"")</f>
        <v>North</v>
      </c>
      <c r="P620" s="33">
        <f>IFERROR(VLOOKUP(D620,Products!$A:$D,4,FALSE),"")</f>
        <v>1665</v>
      </c>
      <c r="Q620" s="33">
        <f t="shared" si="9"/>
        <v>0.53361344537815125</v>
      </c>
    </row>
    <row r="621" spans="1:17" x14ac:dyDescent="0.3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  <c r="L621" t="str">
        <f>IFERROR(VLOOKUP(D621,Products!$A:$C,3,FALSE),"")</f>
        <v>Sports</v>
      </c>
      <c r="M621" t="str">
        <f>IFERROR(VLOOKUP(C621,Customers!$A:$E,5,FALSE),"")</f>
        <v>Retail</v>
      </c>
      <c r="N621">
        <f>IFERROR(VLOOKUP(C621,Customers!$A:$E,3,FALSE),"")</f>
        <v>36</v>
      </c>
      <c r="O621" s="33" t="str">
        <f>IFERROR(VLOOKUP(E621,Sales_Reps!$A:$C,3,FALSE),"")</f>
        <v>North</v>
      </c>
      <c r="P621" s="33">
        <f>IFERROR(VLOOKUP(D621,Products!$A:$D,4,FALSE),"")</f>
        <v>974</v>
      </c>
      <c r="Q621" s="33">
        <f t="shared" si="9"/>
        <v>0.59416666666666662</v>
      </c>
    </row>
    <row r="622" spans="1:17" x14ac:dyDescent="0.3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  <c r="L622" t="str">
        <f>IFERROR(VLOOKUP(D622,Products!$A:$C,3,FALSE),"")</f>
        <v>Grocery</v>
      </c>
      <c r="M622" t="str">
        <f>IFERROR(VLOOKUP(C622,Customers!$A:$E,5,FALSE),"")</f>
        <v>SMB</v>
      </c>
      <c r="N622">
        <f>IFERROR(VLOOKUP(C622,Customers!$A:$E,3,FALSE),"")</f>
        <v>53</v>
      </c>
      <c r="O622" s="33" t="str">
        <f>IFERROR(VLOOKUP(E622,Sales_Reps!$A:$C,3,FALSE),"")</f>
        <v>North</v>
      </c>
      <c r="P622" s="33">
        <f>IFERROR(VLOOKUP(D622,Products!$A:$D,4,FALSE),"")</f>
        <v>1203</v>
      </c>
      <c r="Q622" s="33">
        <f t="shared" si="9"/>
        <v>0.47004405286343615</v>
      </c>
    </row>
    <row r="623" spans="1:17" x14ac:dyDescent="0.3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  <c r="L623" t="str">
        <f>IFERROR(VLOOKUP(D623,Products!$A:$C,3,FALSE),"")</f>
        <v>Grocery</v>
      </c>
      <c r="M623" t="str">
        <f>IFERROR(VLOOKUP(C623,Customers!$A:$E,5,FALSE),"")</f>
        <v>Corporate</v>
      </c>
      <c r="N623">
        <f>IFERROR(VLOOKUP(C623,Customers!$A:$E,3,FALSE),"")</f>
        <v>46</v>
      </c>
      <c r="O623" s="33" t="str">
        <f>IFERROR(VLOOKUP(E623,Sales_Reps!$A:$C,3,FALSE),"")</f>
        <v>South</v>
      </c>
      <c r="P623" s="33">
        <f>IFERROR(VLOOKUP(D623,Products!$A:$D,4,FALSE),"")</f>
        <v>434</v>
      </c>
      <c r="Q623" s="33">
        <f t="shared" si="9"/>
        <v>0.5525773195876289</v>
      </c>
    </row>
    <row r="624" spans="1:17" x14ac:dyDescent="0.3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  <c r="L624" t="str">
        <f>IFERROR(VLOOKUP(D624,Products!$A:$C,3,FALSE),"")</f>
        <v>Sports</v>
      </c>
      <c r="M624" t="str">
        <f>IFERROR(VLOOKUP(C624,Customers!$A:$E,5,FALSE),"")</f>
        <v>SMB</v>
      </c>
      <c r="N624">
        <f>IFERROR(VLOOKUP(C624,Customers!$A:$E,3,FALSE),"")</f>
        <v>43</v>
      </c>
      <c r="O624" s="33" t="str">
        <f>IFERROR(VLOOKUP(E624,Sales_Reps!$A:$C,3,FALSE),"")</f>
        <v>East</v>
      </c>
      <c r="P624" s="33">
        <f>IFERROR(VLOOKUP(D624,Products!$A:$D,4,FALSE),"")</f>
        <v>2827</v>
      </c>
      <c r="Q624" s="33">
        <f t="shared" si="9"/>
        <v>0.5926512968299712</v>
      </c>
    </row>
    <row r="625" spans="1:17" x14ac:dyDescent="0.3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  <c r="L625" t="str">
        <f>IFERROR(VLOOKUP(D625,Products!$A:$C,3,FALSE),"")</f>
        <v>Sports</v>
      </c>
      <c r="M625" t="str">
        <f>IFERROR(VLOOKUP(C625,Customers!$A:$E,5,FALSE),"")</f>
        <v>Retail</v>
      </c>
      <c r="N625">
        <f>IFERROR(VLOOKUP(C625,Customers!$A:$E,3,FALSE),"")</f>
        <v>53</v>
      </c>
      <c r="O625" s="33" t="str">
        <f>IFERROR(VLOOKUP(E625,Sales_Reps!$A:$C,3,FALSE),"")</f>
        <v>South</v>
      </c>
      <c r="P625" s="33">
        <f>IFERROR(VLOOKUP(D625,Products!$A:$D,4,FALSE),"")</f>
        <v>2827</v>
      </c>
      <c r="Q625" s="33">
        <f t="shared" si="9"/>
        <v>0.5926512968299712</v>
      </c>
    </row>
    <row r="626" spans="1:17" x14ac:dyDescent="0.3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  <c r="L626" t="str">
        <f>IFERROR(VLOOKUP(D626,Products!$A:$C,3,FALSE),"")</f>
        <v>Sports</v>
      </c>
      <c r="M626" t="str">
        <f>IFERROR(VLOOKUP(C626,Customers!$A:$E,5,FALSE),"")</f>
        <v>Retail</v>
      </c>
      <c r="N626">
        <f>IFERROR(VLOOKUP(C626,Customers!$A:$E,3,FALSE),"")</f>
        <v>25</v>
      </c>
      <c r="O626" s="33" t="str">
        <f>IFERROR(VLOOKUP(E626,Sales_Reps!$A:$C,3,FALSE),"")</f>
        <v>North</v>
      </c>
      <c r="P626" s="33">
        <f>IFERROR(VLOOKUP(D626,Products!$A:$D,4,FALSE),"")</f>
        <v>516</v>
      </c>
      <c r="Q626" s="33">
        <f t="shared" si="9"/>
        <v>0.4891089108910891</v>
      </c>
    </row>
    <row r="627" spans="1:17" x14ac:dyDescent="0.3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  <c r="L627" t="str">
        <f>IFERROR(VLOOKUP(D627,Products!$A:$C,3,FALSE),"")</f>
        <v>Electronics</v>
      </c>
      <c r="M627" t="str">
        <f>IFERROR(VLOOKUP(C627,Customers!$A:$E,5,FALSE),"")</f>
        <v>Retail</v>
      </c>
      <c r="N627">
        <f>IFERROR(VLOOKUP(C627,Customers!$A:$E,3,FALSE),"")</f>
        <v>35</v>
      </c>
      <c r="O627" s="33" t="str">
        <f>IFERROR(VLOOKUP(E627,Sales_Reps!$A:$C,3,FALSE),"")</f>
        <v>North</v>
      </c>
      <c r="P627" s="33">
        <f>IFERROR(VLOOKUP(D627,Products!$A:$D,4,FALSE),"")</f>
        <v>1559</v>
      </c>
      <c r="Q627" s="33">
        <f t="shared" si="9"/>
        <v>0.59715762273901807</v>
      </c>
    </row>
    <row r="628" spans="1:17" x14ac:dyDescent="0.3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  <c r="L628" t="str">
        <f>IFERROR(VLOOKUP(D628,Products!$A:$C,3,FALSE),"")</f>
        <v>Beauty</v>
      </c>
      <c r="M628" t="str">
        <f>IFERROR(VLOOKUP(C628,Customers!$A:$E,5,FALSE),"")</f>
        <v>SMB</v>
      </c>
      <c r="N628">
        <f>IFERROR(VLOOKUP(C628,Customers!$A:$E,3,FALSE),"")</f>
        <v>48</v>
      </c>
      <c r="O628" s="33" t="str">
        <f>IFERROR(VLOOKUP(E628,Sales_Reps!$A:$C,3,FALSE),"")</f>
        <v>South</v>
      </c>
      <c r="P628" s="33">
        <f>IFERROR(VLOOKUP(D628,Products!$A:$D,4,FALSE),"")</f>
        <v>2237</v>
      </c>
      <c r="Q628" s="33">
        <f t="shared" si="9"/>
        <v>0.56137254901960787</v>
      </c>
    </row>
    <row r="629" spans="1:17" x14ac:dyDescent="0.3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  <c r="L629" t="str">
        <f>IFERROR(VLOOKUP(D629,Products!$A:$C,3,FALSE),"")</f>
        <v>Apparel</v>
      </c>
      <c r="M629" t="str">
        <f>IFERROR(VLOOKUP(C629,Customers!$A:$E,5,FALSE),"")</f>
        <v>Retail</v>
      </c>
      <c r="N629">
        <f>IFERROR(VLOOKUP(C629,Customers!$A:$E,3,FALSE),"")</f>
        <v>65</v>
      </c>
      <c r="O629" s="33" t="str">
        <f>IFERROR(VLOOKUP(E629,Sales_Reps!$A:$C,3,FALSE),"")</f>
        <v>North</v>
      </c>
      <c r="P629" s="33">
        <f>IFERROR(VLOOKUP(D629,Products!$A:$D,4,FALSE),"")</f>
        <v>1886</v>
      </c>
      <c r="Q629" s="33">
        <f t="shared" si="9"/>
        <v>0.4031645569620253</v>
      </c>
    </row>
    <row r="630" spans="1:17" x14ac:dyDescent="0.3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  <c r="L630" t="str">
        <f>IFERROR(VLOOKUP(D630,Products!$A:$C,3,FALSE),"")</f>
        <v>Grocery</v>
      </c>
      <c r="M630" t="str">
        <f>IFERROR(VLOOKUP(C630,Customers!$A:$E,5,FALSE),"")</f>
        <v>SMB</v>
      </c>
      <c r="N630">
        <f>IFERROR(VLOOKUP(C630,Customers!$A:$E,3,FALSE),"")</f>
        <v>47</v>
      </c>
      <c r="O630" s="33" t="str">
        <f>IFERROR(VLOOKUP(E630,Sales_Reps!$A:$C,3,FALSE),"")</f>
        <v>South</v>
      </c>
      <c r="P630" s="33">
        <f>IFERROR(VLOOKUP(D630,Products!$A:$D,4,FALSE),"")</f>
        <v>1010</v>
      </c>
      <c r="Q630" s="33">
        <f t="shared" si="9"/>
        <v>0.54298642533936647</v>
      </c>
    </row>
    <row r="631" spans="1:17" x14ac:dyDescent="0.3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  <c r="L631" t="str">
        <f>IFERROR(VLOOKUP(D631,Products!$A:$C,3,FALSE),"")</f>
        <v>Apparel</v>
      </c>
      <c r="M631" t="str">
        <f>IFERROR(VLOOKUP(C631,Customers!$A:$E,5,FALSE),"")</f>
        <v>SMB</v>
      </c>
      <c r="N631">
        <f>IFERROR(VLOOKUP(C631,Customers!$A:$E,3,FALSE),"")</f>
        <v>53</v>
      </c>
      <c r="O631" s="33" t="str">
        <f>IFERROR(VLOOKUP(E631,Sales_Reps!$A:$C,3,FALSE),"")</f>
        <v>West</v>
      </c>
      <c r="P631" s="33">
        <f>IFERROR(VLOOKUP(D631,Products!$A:$D,4,FALSE),"")</f>
        <v>2629</v>
      </c>
      <c r="Q631" s="33">
        <f t="shared" si="9"/>
        <v>0.26151685393258428</v>
      </c>
    </row>
    <row r="632" spans="1:17" x14ac:dyDescent="0.3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  <c r="L632" t="str">
        <f>IFERROR(VLOOKUP(D632,Products!$A:$C,3,FALSE),"")</f>
        <v>Apparel</v>
      </c>
      <c r="M632" t="str">
        <f>IFERROR(VLOOKUP(C632,Customers!$A:$E,5,FALSE),"")</f>
        <v>Retail</v>
      </c>
      <c r="N632">
        <f>IFERROR(VLOOKUP(C632,Customers!$A:$E,3,FALSE),"")</f>
        <v>27</v>
      </c>
      <c r="O632" s="33" t="str">
        <f>IFERROR(VLOOKUP(E632,Sales_Reps!$A:$C,3,FALSE),"")</f>
        <v>South</v>
      </c>
      <c r="P632" s="33">
        <f>IFERROR(VLOOKUP(D632,Products!$A:$D,4,FALSE),"")</f>
        <v>396</v>
      </c>
      <c r="Q632" s="33">
        <f t="shared" si="9"/>
        <v>0.36129032258064514</v>
      </c>
    </row>
    <row r="633" spans="1:17" x14ac:dyDescent="0.3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  <c r="L633" t="str">
        <f>IFERROR(VLOOKUP(D633,Products!$A:$C,3,FALSE),"")</f>
        <v>Grocery</v>
      </c>
      <c r="M633" t="str">
        <f>IFERROR(VLOOKUP(C633,Customers!$A:$E,5,FALSE),"")</f>
        <v>Retail</v>
      </c>
      <c r="N633">
        <f>IFERROR(VLOOKUP(C633,Customers!$A:$E,3,FALSE),"")</f>
        <v>65</v>
      </c>
      <c r="O633" s="33" t="str">
        <f>IFERROR(VLOOKUP(E633,Sales_Reps!$A:$C,3,FALSE),"")</f>
        <v>North</v>
      </c>
      <c r="P633" s="33">
        <f>IFERROR(VLOOKUP(D633,Products!$A:$D,4,FALSE),"")</f>
        <v>1435</v>
      </c>
      <c r="Q633" s="33">
        <f t="shared" si="9"/>
        <v>0.48007246376811596</v>
      </c>
    </row>
    <row r="634" spans="1:17" x14ac:dyDescent="0.3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  <c r="L634" t="str">
        <f>IFERROR(VLOOKUP(D634,Products!$A:$C,3,FALSE),"")</f>
        <v>Sports</v>
      </c>
      <c r="M634" t="str">
        <f>IFERROR(VLOOKUP(C634,Customers!$A:$E,5,FALSE),"")</f>
        <v>SMB</v>
      </c>
      <c r="N634">
        <f>IFERROR(VLOOKUP(C634,Customers!$A:$E,3,FALSE),"")</f>
        <v>50</v>
      </c>
      <c r="O634" s="33" t="str">
        <f>IFERROR(VLOOKUP(E634,Sales_Reps!$A:$C,3,FALSE),"")</f>
        <v>North</v>
      </c>
      <c r="P634" s="33">
        <f>IFERROR(VLOOKUP(D634,Products!$A:$D,4,FALSE),"")</f>
        <v>516</v>
      </c>
      <c r="Q634" s="33">
        <f t="shared" si="9"/>
        <v>0.4891089108910891</v>
      </c>
    </row>
    <row r="635" spans="1:17" x14ac:dyDescent="0.3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  <c r="L635" t="str">
        <f>IFERROR(VLOOKUP(D635,Products!$A:$C,3,FALSE),"")</f>
        <v>Apparel</v>
      </c>
      <c r="M635" t="str">
        <f>IFERROR(VLOOKUP(C635,Customers!$A:$E,5,FALSE),"")</f>
        <v>SMB</v>
      </c>
      <c r="N635">
        <f>IFERROR(VLOOKUP(C635,Customers!$A:$E,3,FALSE),"")</f>
        <v>40</v>
      </c>
      <c r="O635" s="33" t="str">
        <f>IFERROR(VLOOKUP(E635,Sales_Reps!$A:$C,3,FALSE),"")</f>
        <v>North</v>
      </c>
      <c r="P635" s="33">
        <f>IFERROR(VLOOKUP(D635,Products!$A:$D,4,FALSE),"")</f>
        <v>2611</v>
      </c>
      <c r="Q635" s="33">
        <f t="shared" si="9"/>
        <v>0.28269230769230769</v>
      </c>
    </row>
    <row r="636" spans="1:17" x14ac:dyDescent="0.3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  <c r="L636" t="str">
        <f>IFERROR(VLOOKUP(D636,Products!$A:$C,3,FALSE),"")</f>
        <v>Apparel</v>
      </c>
      <c r="M636" t="str">
        <f>IFERROR(VLOOKUP(C636,Customers!$A:$E,5,FALSE),"")</f>
        <v>SMB</v>
      </c>
      <c r="N636">
        <f>IFERROR(VLOOKUP(C636,Customers!$A:$E,3,FALSE),"")</f>
        <v>52</v>
      </c>
      <c r="O636" s="33" t="str">
        <f>IFERROR(VLOOKUP(E636,Sales_Reps!$A:$C,3,FALSE),"")</f>
        <v>South</v>
      </c>
      <c r="P636" s="33">
        <f>IFERROR(VLOOKUP(D636,Products!$A:$D,4,FALSE),"")</f>
        <v>391</v>
      </c>
      <c r="Q636" s="33">
        <f t="shared" si="9"/>
        <v>0.52317073170731709</v>
      </c>
    </row>
    <row r="637" spans="1:17" x14ac:dyDescent="0.3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  <c r="L637" t="str">
        <f>IFERROR(VLOOKUP(D637,Products!$A:$C,3,FALSE),"")</f>
        <v>Apparel</v>
      </c>
      <c r="M637" t="str">
        <f>IFERROR(VLOOKUP(C637,Customers!$A:$E,5,FALSE),"")</f>
        <v>Retail</v>
      </c>
      <c r="N637">
        <f>IFERROR(VLOOKUP(C637,Customers!$A:$E,3,FALSE),"")</f>
        <v>49</v>
      </c>
      <c r="O637" s="33" t="str">
        <f>IFERROR(VLOOKUP(E637,Sales_Reps!$A:$C,3,FALSE),"")</f>
        <v>South</v>
      </c>
      <c r="P637" s="33">
        <f>IFERROR(VLOOKUP(D637,Products!$A:$D,4,FALSE),"")</f>
        <v>2611</v>
      </c>
      <c r="Q637" s="33">
        <f t="shared" si="9"/>
        <v>0.28269230769230769</v>
      </c>
    </row>
    <row r="638" spans="1:17" x14ac:dyDescent="0.3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  <c r="L638" t="str">
        <f>IFERROR(VLOOKUP(D638,Products!$A:$C,3,FALSE),"")</f>
        <v>Grocery</v>
      </c>
      <c r="M638" t="str">
        <f>IFERROR(VLOOKUP(C638,Customers!$A:$E,5,FALSE),"")</f>
        <v>Corporate</v>
      </c>
      <c r="N638">
        <f>IFERROR(VLOOKUP(C638,Customers!$A:$E,3,FALSE),"")</f>
        <v>42</v>
      </c>
      <c r="O638" s="33" t="str">
        <f>IFERROR(VLOOKUP(E638,Sales_Reps!$A:$C,3,FALSE),"")</f>
        <v>North</v>
      </c>
      <c r="P638" s="33">
        <f>IFERROR(VLOOKUP(D638,Products!$A:$D,4,FALSE),"")</f>
        <v>1182</v>
      </c>
      <c r="Q638" s="33">
        <f t="shared" si="9"/>
        <v>0.50336134453781511</v>
      </c>
    </row>
    <row r="639" spans="1:17" x14ac:dyDescent="0.3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  <c r="L639" t="str">
        <f>IFERROR(VLOOKUP(D639,Products!$A:$C,3,FALSE),"")</f>
        <v>Home</v>
      </c>
      <c r="M639" t="str">
        <f>IFERROR(VLOOKUP(C639,Customers!$A:$E,5,FALSE),"")</f>
        <v>Retail</v>
      </c>
      <c r="N639">
        <f>IFERROR(VLOOKUP(C639,Customers!$A:$E,3,FALSE),"")</f>
        <v>36</v>
      </c>
      <c r="O639" s="33" t="str">
        <f>IFERROR(VLOOKUP(E639,Sales_Reps!$A:$C,3,FALSE),"")</f>
        <v>North</v>
      </c>
      <c r="P639" s="33">
        <f>IFERROR(VLOOKUP(D639,Products!$A:$D,4,FALSE),"")</f>
        <v>329</v>
      </c>
      <c r="Q639" s="33">
        <f t="shared" si="9"/>
        <v>0.50151515151515147</v>
      </c>
    </row>
    <row r="640" spans="1:17" x14ac:dyDescent="0.3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  <c r="L640" t="str">
        <f>IFERROR(VLOOKUP(D640,Products!$A:$C,3,FALSE),"")</f>
        <v>Electronics</v>
      </c>
      <c r="M640" t="str">
        <f>IFERROR(VLOOKUP(C640,Customers!$A:$E,5,FALSE),"")</f>
        <v>Retail</v>
      </c>
      <c r="N640">
        <f>IFERROR(VLOOKUP(C640,Customers!$A:$E,3,FALSE),"")</f>
        <v>35</v>
      </c>
      <c r="O640" s="33" t="str">
        <f>IFERROR(VLOOKUP(E640,Sales_Reps!$A:$C,3,FALSE),"")</f>
        <v>East</v>
      </c>
      <c r="P640" s="33">
        <f>IFERROR(VLOOKUP(D640,Products!$A:$D,4,FALSE),"")</f>
        <v>1559</v>
      </c>
      <c r="Q640" s="33">
        <f t="shared" si="9"/>
        <v>0.59715762273901807</v>
      </c>
    </row>
    <row r="641" spans="1:17" x14ac:dyDescent="0.3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  <c r="L641" t="str">
        <f>IFERROR(VLOOKUP(D641,Products!$A:$C,3,FALSE),"")</f>
        <v>Home</v>
      </c>
      <c r="M641" t="str">
        <f>IFERROR(VLOOKUP(C641,Customers!$A:$E,5,FALSE),"")</f>
        <v>Retail</v>
      </c>
      <c r="N641">
        <f>IFERROR(VLOOKUP(C641,Customers!$A:$E,3,FALSE),"")</f>
        <v>24</v>
      </c>
      <c r="O641" s="33" t="str">
        <f>IFERROR(VLOOKUP(E641,Sales_Reps!$A:$C,3,FALSE),"")</f>
        <v>South</v>
      </c>
      <c r="P641" s="33">
        <f>IFERROR(VLOOKUP(D641,Products!$A:$D,4,FALSE),"")</f>
        <v>288</v>
      </c>
      <c r="Q641" s="33">
        <f t="shared" si="9"/>
        <v>0.22162162162162163</v>
      </c>
    </row>
    <row r="642" spans="1:17" x14ac:dyDescent="0.3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  <c r="L642" t="str">
        <f>IFERROR(VLOOKUP(D642,Products!$A:$C,3,FALSE),"")</f>
        <v>Apparel</v>
      </c>
      <c r="M642" t="str">
        <f>IFERROR(VLOOKUP(C642,Customers!$A:$E,5,FALSE),"")</f>
        <v>SMB</v>
      </c>
      <c r="N642">
        <f>IFERROR(VLOOKUP(C642,Customers!$A:$E,3,FALSE),"")</f>
        <v>40</v>
      </c>
      <c r="O642" s="33" t="str">
        <f>IFERROR(VLOOKUP(E642,Sales_Reps!$A:$C,3,FALSE),"")</f>
        <v>East</v>
      </c>
      <c r="P642" s="33">
        <f>IFERROR(VLOOKUP(D642,Products!$A:$D,4,FALSE),"")</f>
        <v>2509</v>
      </c>
      <c r="Q642" s="33">
        <f t="shared" si="9"/>
        <v>0.3069060773480663</v>
      </c>
    </row>
    <row r="643" spans="1:17" x14ac:dyDescent="0.3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  <c r="L643" t="str">
        <f>IFERROR(VLOOKUP(D643,Products!$A:$C,3,FALSE),"")</f>
        <v>Electronics</v>
      </c>
      <c r="M643" t="str">
        <f>IFERROR(VLOOKUP(C643,Customers!$A:$E,5,FALSE),"")</f>
        <v>Retail</v>
      </c>
      <c r="N643">
        <f>IFERROR(VLOOKUP(C643,Customers!$A:$E,3,FALSE),"")</f>
        <v>55</v>
      </c>
      <c r="O643" s="33" t="str">
        <f>IFERROR(VLOOKUP(E643,Sales_Reps!$A:$C,3,FALSE),"")</f>
        <v>North</v>
      </c>
      <c r="P643" s="33">
        <f>IFERROR(VLOOKUP(D643,Products!$A:$D,4,FALSE),"")</f>
        <v>1259</v>
      </c>
      <c r="Q643" s="33">
        <f t="shared" ref="Q643:Q706" si="10">IFERROR((G643-P643)/G643,"")</f>
        <v>0.52669172932330832</v>
      </c>
    </row>
    <row r="644" spans="1:17" x14ac:dyDescent="0.3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  <c r="L644" t="str">
        <f>IFERROR(VLOOKUP(D644,Products!$A:$C,3,FALSE),"")</f>
        <v>Sports</v>
      </c>
      <c r="M644" t="str">
        <f>IFERROR(VLOOKUP(C644,Customers!$A:$E,5,FALSE),"")</f>
        <v>Corporate</v>
      </c>
      <c r="N644">
        <f>IFERROR(VLOOKUP(C644,Customers!$A:$E,3,FALSE),"")</f>
        <v>55</v>
      </c>
      <c r="O644" s="33" t="str">
        <f>IFERROR(VLOOKUP(E644,Sales_Reps!$A:$C,3,FALSE),"")</f>
        <v>South</v>
      </c>
      <c r="P644" s="33">
        <f>IFERROR(VLOOKUP(D644,Products!$A:$D,4,FALSE),"")</f>
        <v>2467</v>
      </c>
      <c r="Q644" s="33">
        <f t="shared" si="10"/>
        <v>0.28492753623188405</v>
      </c>
    </row>
    <row r="645" spans="1:17" x14ac:dyDescent="0.3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  <c r="L645" t="str">
        <f>IFERROR(VLOOKUP(D645,Products!$A:$C,3,FALSE),"")</f>
        <v>Grocery</v>
      </c>
      <c r="M645" t="str">
        <f>IFERROR(VLOOKUP(C645,Customers!$A:$E,5,FALSE),"")</f>
        <v>Corporate</v>
      </c>
      <c r="N645">
        <f>IFERROR(VLOOKUP(C645,Customers!$A:$E,3,FALSE),"")</f>
        <v>31</v>
      </c>
      <c r="O645" s="33" t="str">
        <f>IFERROR(VLOOKUP(E645,Sales_Reps!$A:$C,3,FALSE),"")</f>
        <v>South</v>
      </c>
      <c r="P645" s="33">
        <f>IFERROR(VLOOKUP(D645,Products!$A:$D,4,FALSE),"")</f>
        <v>2911</v>
      </c>
      <c r="Q645" s="33">
        <f t="shared" si="10"/>
        <v>0.28300492610837441</v>
      </c>
    </row>
    <row r="646" spans="1:17" x14ac:dyDescent="0.3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  <c r="L646" t="str">
        <f>IFERROR(VLOOKUP(D646,Products!$A:$C,3,FALSE),"")</f>
        <v>Sports</v>
      </c>
      <c r="M646" t="str">
        <f>IFERROR(VLOOKUP(C646,Customers!$A:$E,5,FALSE),"")</f>
        <v>Corporate</v>
      </c>
      <c r="N646">
        <f>IFERROR(VLOOKUP(C646,Customers!$A:$E,3,FALSE),"")</f>
        <v>55</v>
      </c>
      <c r="O646" s="33" t="str">
        <f>IFERROR(VLOOKUP(E646,Sales_Reps!$A:$C,3,FALSE),"")</f>
        <v>East</v>
      </c>
      <c r="P646" s="33">
        <f>IFERROR(VLOOKUP(D646,Products!$A:$D,4,FALSE),"")</f>
        <v>705</v>
      </c>
      <c r="Q646" s="33">
        <f t="shared" si="10"/>
        <v>0.265625</v>
      </c>
    </row>
    <row r="647" spans="1:17" x14ac:dyDescent="0.3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  <c r="L647" t="str">
        <f>IFERROR(VLOOKUP(D647,Products!$A:$C,3,FALSE),"")</f>
        <v>Electronics</v>
      </c>
      <c r="M647" t="str">
        <f>IFERROR(VLOOKUP(C647,Customers!$A:$E,5,FALSE),"")</f>
        <v>SMB</v>
      </c>
      <c r="N647">
        <f>IFERROR(VLOOKUP(C647,Customers!$A:$E,3,FALSE),"")</f>
        <v>43</v>
      </c>
      <c r="O647" s="33" t="str">
        <f>IFERROR(VLOOKUP(E647,Sales_Reps!$A:$C,3,FALSE),"")</f>
        <v>North</v>
      </c>
      <c r="P647" s="33">
        <f>IFERROR(VLOOKUP(D647,Products!$A:$D,4,FALSE),"")</f>
        <v>1259</v>
      </c>
      <c r="Q647" s="33">
        <f t="shared" si="10"/>
        <v>0.52669172932330832</v>
      </c>
    </row>
    <row r="648" spans="1:17" x14ac:dyDescent="0.3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  <c r="L648" t="str">
        <f>IFERROR(VLOOKUP(D648,Products!$A:$C,3,FALSE),"")</f>
        <v>Grocery</v>
      </c>
      <c r="M648" t="str">
        <f>IFERROR(VLOOKUP(C648,Customers!$A:$E,5,FALSE),"")</f>
        <v>SMB</v>
      </c>
      <c r="N648">
        <f>IFERROR(VLOOKUP(C648,Customers!$A:$E,3,FALSE),"")</f>
        <v>65</v>
      </c>
      <c r="O648" s="33" t="str">
        <f>IFERROR(VLOOKUP(E648,Sales_Reps!$A:$C,3,FALSE),"")</f>
        <v>East</v>
      </c>
      <c r="P648" s="33">
        <f>IFERROR(VLOOKUP(D648,Products!$A:$D,4,FALSE),"")</f>
        <v>1203</v>
      </c>
      <c r="Q648" s="33">
        <f t="shared" si="10"/>
        <v>0.47004405286343615</v>
      </c>
    </row>
    <row r="649" spans="1:17" x14ac:dyDescent="0.3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  <c r="L649" t="str">
        <f>IFERROR(VLOOKUP(D649,Products!$A:$C,3,FALSE),"")</f>
        <v>Grocery</v>
      </c>
      <c r="M649" t="str">
        <f>IFERROR(VLOOKUP(C649,Customers!$A:$E,5,FALSE),"")</f>
        <v>SMB</v>
      </c>
      <c r="N649">
        <f>IFERROR(VLOOKUP(C649,Customers!$A:$E,3,FALSE),"")</f>
        <v>28</v>
      </c>
      <c r="O649" s="33" t="str">
        <f>IFERROR(VLOOKUP(E649,Sales_Reps!$A:$C,3,FALSE),"")</f>
        <v>West</v>
      </c>
      <c r="P649" s="33">
        <f>IFERROR(VLOOKUP(D649,Products!$A:$D,4,FALSE),"")</f>
        <v>2436</v>
      </c>
      <c r="Q649" s="33">
        <f t="shared" si="10"/>
        <v>0.35555555555555557</v>
      </c>
    </row>
    <row r="650" spans="1:17" x14ac:dyDescent="0.3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  <c r="L650" t="str">
        <f>IFERROR(VLOOKUP(D650,Products!$A:$C,3,FALSE),"")</f>
        <v>Home</v>
      </c>
      <c r="M650" t="str">
        <f>IFERROR(VLOOKUP(C650,Customers!$A:$E,5,FALSE),"")</f>
        <v>Retail</v>
      </c>
      <c r="N650">
        <f>IFERROR(VLOOKUP(C650,Customers!$A:$E,3,FALSE),"")</f>
        <v>55</v>
      </c>
      <c r="O650" s="33" t="str">
        <f>IFERROR(VLOOKUP(E650,Sales_Reps!$A:$C,3,FALSE),"")</f>
        <v>East</v>
      </c>
      <c r="P650" s="33">
        <f>IFERROR(VLOOKUP(D650,Products!$A:$D,4,FALSE),"")</f>
        <v>329</v>
      </c>
      <c r="Q650" s="33">
        <f t="shared" si="10"/>
        <v>0.50151515151515147</v>
      </c>
    </row>
    <row r="651" spans="1:17" x14ac:dyDescent="0.3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  <c r="L651" t="str">
        <f>IFERROR(VLOOKUP(D651,Products!$A:$C,3,FALSE),"")</f>
        <v>Home</v>
      </c>
      <c r="M651" t="str">
        <f>IFERROR(VLOOKUP(C651,Customers!$A:$E,5,FALSE),"")</f>
        <v>Corporate</v>
      </c>
      <c r="N651">
        <f>IFERROR(VLOOKUP(C651,Customers!$A:$E,3,FALSE),"")</f>
        <v>40</v>
      </c>
      <c r="O651" s="33" t="str">
        <f>IFERROR(VLOOKUP(E651,Sales_Reps!$A:$C,3,FALSE),"")</f>
        <v>West</v>
      </c>
      <c r="P651" s="33">
        <f>IFERROR(VLOOKUP(D651,Products!$A:$D,4,FALSE),"")</f>
        <v>2135</v>
      </c>
      <c r="Q651" s="33">
        <f t="shared" si="10"/>
        <v>0.42761394101876676</v>
      </c>
    </row>
    <row r="652" spans="1:17" x14ac:dyDescent="0.3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  <c r="L652" t="str">
        <f>IFERROR(VLOOKUP(D652,Products!$A:$C,3,FALSE),"")</f>
        <v>Grocery</v>
      </c>
      <c r="M652" t="str">
        <f>IFERROR(VLOOKUP(C652,Customers!$A:$E,5,FALSE),"")</f>
        <v>SMB</v>
      </c>
      <c r="N652">
        <f>IFERROR(VLOOKUP(C652,Customers!$A:$E,3,FALSE),"")</f>
        <v>27</v>
      </c>
      <c r="O652" s="33" t="str">
        <f>IFERROR(VLOOKUP(E652,Sales_Reps!$A:$C,3,FALSE),"")</f>
        <v>East</v>
      </c>
      <c r="P652" s="33">
        <f>IFERROR(VLOOKUP(D652,Products!$A:$D,4,FALSE),"")</f>
        <v>2911</v>
      </c>
      <c r="Q652" s="33">
        <f t="shared" si="10"/>
        <v>0.28300492610837441</v>
      </c>
    </row>
    <row r="653" spans="1:17" x14ac:dyDescent="0.3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  <c r="L653" t="str">
        <f>IFERROR(VLOOKUP(D653,Products!$A:$C,3,FALSE),"")</f>
        <v>Grocery</v>
      </c>
      <c r="M653" t="str">
        <f>IFERROR(VLOOKUP(C653,Customers!$A:$E,5,FALSE),"")</f>
        <v>SMB</v>
      </c>
      <c r="N653">
        <f>IFERROR(VLOOKUP(C653,Customers!$A:$E,3,FALSE),"")</f>
        <v>36</v>
      </c>
      <c r="O653" s="33" t="str">
        <f>IFERROR(VLOOKUP(E653,Sales_Reps!$A:$C,3,FALSE),"")</f>
        <v>North</v>
      </c>
      <c r="P653" s="33">
        <f>IFERROR(VLOOKUP(D653,Products!$A:$D,4,FALSE),"")</f>
        <v>1203</v>
      </c>
      <c r="Q653" s="33">
        <f t="shared" si="10"/>
        <v>0.47004405286343615</v>
      </c>
    </row>
    <row r="654" spans="1:17" x14ac:dyDescent="0.3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  <c r="L654" t="str">
        <f>IFERROR(VLOOKUP(D654,Products!$A:$C,3,FALSE),"")</f>
        <v>Electronics</v>
      </c>
      <c r="M654" t="str">
        <f>IFERROR(VLOOKUP(C654,Customers!$A:$E,5,FALSE),"")</f>
        <v>SMB</v>
      </c>
      <c r="N654">
        <f>IFERROR(VLOOKUP(C654,Customers!$A:$E,3,FALSE),"")</f>
        <v>48</v>
      </c>
      <c r="O654" s="33" t="str">
        <f>IFERROR(VLOOKUP(E654,Sales_Reps!$A:$C,3,FALSE),"")</f>
        <v>West</v>
      </c>
      <c r="P654" s="33">
        <f>IFERROR(VLOOKUP(D654,Products!$A:$D,4,FALSE),"")</f>
        <v>1665</v>
      </c>
      <c r="Q654" s="33">
        <f t="shared" si="10"/>
        <v>0.53361344537815125</v>
      </c>
    </row>
    <row r="655" spans="1:17" x14ac:dyDescent="0.3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  <c r="L655" t="str">
        <f>IFERROR(VLOOKUP(D655,Products!$A:$C,3,FALSE),"")</f>
        <v>Grocery</v>
      </c>
      <c r="M655" t="str">
        <f>IFERROR(VLOOKUP(C655,Customers!$A:$E,5,FALSE),"")</f>
        <v>Retail</v>
      </c>
      <c r="N655">
        <f>IFERROR(VLOOKUP(C655,Customers!$A:$E,3,FALSE),"")</f>
        <v>52</v>
      </c>
      <c r="O655" s="33" t="str">
        <f>IFERROR(VLOOKUP(E655,Sales_Reps!$A:$C,3,FALSE),"")</f>
        <v>North</v>
      </c>
      <c r="P655" s="33">
        <f>IFERROR(VLOOKUP(D655,Products!$A:$D,4,FALSE),"")</f>
        <v>1010</v>
      </c>
      <c r="Q655" s="33">
        <f t="shared" si="10"/>
        <v>0.54298642533936647</v>
      </c>
    </row>
    <row r="656" spans="1:17" x14ac:dyDescent="0.3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  <c r="L656" t="str">
        <f>IFERROR(VLOOKUP(D656,Products!$A:$C,3,FALSE),"")</f>
        <v>Sports</v>
      </c>
      <c r="M656" t="str">
        <f>IFERROR(VLOOKUP(C656,Customers!$A:$E,5,FALSE),"")</f>
        <v>SMB</v>
      </c>
      <c r="N656">
        <f>IFERROR(VLOOKUP(C656,Customers!$A:$E,3,FALSE),"")</f>
        <v>43</v>
      </c>
      <c r="O656" s="33" t="str">
        <f>IFERROR(VLOOKUP(E656,Sales_Reps!$A:$C,3,FALSE),"")</f>
        <v>West</v>
      </c>
      <c r="P656" s="33">
        <f>IFERROR(VLOOKUP(D656,Products!$A:$D,4,FALSE),"")</f>
        <v>705</v>
      </c>
      <c r="Q656" s="33">
        <f t="shared" si="10"/>
        <v>0.265625</v>
      </c>
    </row>
    <row r="657" spans="1:17" x14ac:dyDescent="0.3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  <c r="L657" t="str">
        <f>IFERROR(VLOOKUP(D657,Products!$A:$C,3,FALSE),"")</f>
        <v>Sports</v>
      </c>
      <c r="M657" t="str">
        <f>IFERROR(VLOOKUP(C657,Customers!$A:$E,5,FALSE),"")</f>
        <v>Corporate</v>
      </c>
      <c r="N657">
        <f>IFERROR(VLOOKUP(C657,Customers!$A:$E,3,FALSE),"")</f>
        <v>22</v>
      </c>
      <c r="O657" s="33" t="str">
        <f>IFERROR(VLOOKUP(E657,Sales_Reps!$A:$C,3,FALSE),"")</f>
        <v>West</v>
      </c>
      <c r="P657" s="33">
        <f>IFERROR(VLOOKUP(D657,Products!$A:$D,4,FALSE),"")</f>
        <v>1860</v>
      </c>
      <c r="Q657" s="33">
        <f t="shared" si="10"/>
        <v>0.50793650793650791</v>
      </c>
    </row>
    <row r="658" spans="1:17" x14ac:dyDescent="0.3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  <c r="L658" t="str">
        <f>IFERROR(VLOOKUP(D658,Products!$A:$C,3,FALSE),"")</f>
        <v>Beauty</v>
      </c>
      <c r="M658" t="str">
        <f>IFERROR(VLOOKUP(C658,Customers!$A:$E,5,FALSE),"")</f>
        <v>Corporate</v>
      </c>
      <c r="N658">
        <f>IFERROR(VLOOKUP(C658,Customers!$A:$E,3,FALSE),"")</f>
        <v>44</v>
      </c>
      <c r="O658" s="33" t="str">
        <f>IFERROR(VLOOKUP(E658,Sales_Reps!$A:$C,3,FALSE),"")</f>
        <v>South</v>
      </c>
      <c r="P658" s="33">
        <f>IFERROR(VLOOKUP(D658,Products!$A:$D,4,FALSE),"")</f>
        <v>2237</v>
      </c>
      <c r="Q658" s="33">
        <f t="shared" si="10"/>
        <v>0.56137254901960787</v>
      </c>
    </row>
    <row r="659" spans="1:17" x14ac:dyDescent="0.3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  <c r="L659" t="str">
        <f>IFERROR(VLOOKUP(D659,Products!$A:$C,3,FALSE),"")</f>
        <v>Apparel</v>
      </c>
      <c r="M659" t="str">
        <f>IFERROR(VLOOKUP(C659,Customers!$A:$E,5,FALSE),"")</f>
        <v>SMB</v>
      </c>
      <c r="N659">
        <f>IFERROR(VLOOKUP(C659,Customers!$A:$E,3,FALSE),"")</f>
        <v>26</v>
      </c>
      <c r="O659" s="33" t="str">
        <f>IFERROR(VLOOKUP(E659,Sales_Reps!$A:$C,3,FALSE),"")</f>
        <v>East</v>
      </c>
      <c r="P659" s="33">
        <f>IFERROR(VLOOKUP(D659,Products!$A:$D,4,FALSE),"")</f>
        <v>1173</v>
      </c>
      <c r="Q659" s="33">
        <f t="shared" si="10"/>
        <v>0.52701612903225803</v>
      </c>
    </row>
    <row r="660" spans="1:17" x14ac:dyDescent="0.3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  <c r="L660" t="str">
        <f>IFERROR(VLOOKUP(D660,Products!$A:$C,3,FALSE),"")</f>
        <v>Home</v>
      </c>
      <c r="M660" t="str">
        <f>IFERROR(VLOOKUP(C660,Customers!$A:$E,5,FALSE),"")</f>
        <v>Corporate</v>
      </c>
      <c r="N660">
        <f>IFERROR(VLOOKUP(C660,Customers!$A:$E,3,FALSE),"")</f>
        <v>46</v>
      </c>
      <c r="O660" s="33" t="str">
        <f>IFERROR(VLOOKUP(E660,Sales_Reps!$A:$C,3,FALSE),"")</f>
        <v>East</v>
      </c>
      <c r="P660" s="33">
        <f>IFERROR(VLOOKUP(D660,Products!$A:$D,4,FALSE),"")</f>
        <v>519</v>
      </c>
      <c r="Q660" s="33">
        <f t="shared" si="10"/>
        <v>0.51944444444444449</v>
      </c>
    </row>
    <row r="661" spans="1:17" x14ac:dyDescent="0.3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  <c r="L661" t="str">
        <f>IFERROR(VLOOKUP(D661,Products!$A:$C,3,FALSE),"")</f>
        <v>Electronics</v>
      </c>
      <c r="M661" t="str">
        <f>IFERROR(VLOOKUP(C661,Customers!$A:$E,5,FALSE),"")</f>
        <v>Retail</v>
      </c>
      <c r="N661">
        <f>IFERROR(VLOOKUP(C661,Customers!$A:$E,3,FALSE),"")</f>
        <v>40</v>
      </c>
      <c r="O661" s="33" t="str">
        <f>IFERROR(VLOOKUP(E661,Sales_Reps!$A:$C,3,FALSE),"")</f>
        <v>West</v>
      </c>
      <c r="P661" s="33">
        <f>IFERROR(VLOOKUP(D661,Products!$A:$D,4,FALSE),"")</f>
        <v>1052</v>
      </c>
      <c r="Q661" s="33">
        <f t="shared" si="10"/>
        <v>0.5953846153846154</v>
      </c>
    </row>
    <row r="662" spans="1:17" x14ac:dyDescent="0.3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  <c r="L662" t="str">
        <f>IFERROR(VLOOKUP(D662,Products!$A:$C,3,FALSE),"")</f>
        <v>Electronics</v>
      </c>
      <c r="M662" t="str">
        <f>IFERROR(VLOOKUP(C662,Customers!$A:$E,5,FALSE),"")</f>
        <v>Retail</v>
      </c>
      <c r="N662">
        <f>IFERROR(VLOOKUP(C662,Customers!$A:$E,3,FALSE),"")</f>
        <v>36</v>
      </c>
      <c r="O662" s="33" t="str">
        <f>IFERROR(VLOOKUP(E662,Sales_Reps!$A:$C,3,FALSE),"")</f>
        <v>South</v>
      </c>
      <c r="P662" s="33">
        <f>IFERROR(VLOOKUP(D662,Products!$A:$D,4,FALSE),"")</f>
        <v>1052</v>
      </c>
      <c r="Q662" s="33">
        <f t="shared" si="10"/>
        <v>0.5953846153846154</v>
      </c>
    </row>
    <row r="663" spans="1:17" x14ac:dyDescent="0.3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  <c r="L663" t="str">
        <f>IFERROR(VLOOKUP(D663,Products!$A:$C,3,FALSE),"")</f>
        <v>Apparel</v>
      </c>
      <c r="M663" t="str">
        <f>IFERROR(VLOOKUP(C663,Customers!$A:$E,5,FALSE),"")</f>
        <v>SMB</v>
      </c>
      <c r="N663">
        <f>IFERROR(VLOOKUP(C663,Customers!$A:$E,3,FALSE),"")</f>
        <v>50</v>
      </c>
      <c r="O663" s="33" t="str">
        <f>IFERROR(VLOOKUP(E663,Sales_Reps!$A:$C,3,FALSE),"")</f>
        <v>East</v>
      </c>
      <c r="P663" s="33">
        <f>IFERROR(VLOOKUP(D663,Products!$A:$D,4,FALSE),"")</f>
        <v>391</v>
      </c>
      <c r="Q663" s="33">
        <f t="shared" si="10"/>
        <v>0.52317073170731709</v>
      </c>
    </row>
    <row r="664" spans="1:17" x14ac:dyDescent="0.3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  <c r="L664" t="str">
        <f>IFERROR(VLOOKUP(D664,Products!$A:$C,3,FALSE),"")</f>
        <v>Sports</v>
      </c>
      <c r="M664" t="str">
        <f>IFERROR(VLOOKUP(C664,Customers!$A:$E,5,FALSE),"")</f>
        <v>Retail</v>
      </c>
      <c r="N664">
        <f>IFERROR(VLOOKUP(C664,Customers!$A:$E,3,FALSE),"")</f>
        <v>49</v>
      </c>
      <c r="O664" s="33" t="str">
        <f>IFERROR(VLOOKUP(E664,Sales_Reps!$A:$C,3,FALSE),"")</f>
        <v>South</v>
      </c>
      <c r="P664" s="33">
        <f>IFERROR(VLOOKUP(D664,Products!$A:$D,4,FALSE),"")</f>
        <v>705</v>
      </c>
      <c r="Q664" s="33">
        <f t="shared" si="10"/>
        <v>0.265625</v>
      </c>
    </row>
    <row r="665" spans="1:17" x14ac:dyDescent="0.3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  <c r="L665" t="str">
        <f>IFERROR(VLOOKUP(D665,Products!$A:$C,3,FALSE),"")</f>
        <v>Beauty</v>
      </c>
      <c r="M665" t="str">
        <f>IFERROR(VLOOKUP(C665,Customers!$A:$E,5,FALSE),"")</f>
        <v>Corporate</v>
      </c>
      <c r="N665">
        <f>IFERROR(VLOOKUP(C665,Customers!$A:$E,3,FALSE),"")</f>
        <v>55</v>
      </c>
      <c r="O665" s="33" t="str">
        <f>IFERROR(VLOOKUP(E665,Sales_Reps!$A:$C,3,FALSE),"")</f>
        <v>East</v>
      </c>
      <c r="P665" s="33">
        <f>IFERROR(VLOOKUP(D665,Products!$A:$D,4,FALSE),"")</f>
        <v>647</v>
      </c>
      <c r="Q665" s="33">
        <f t="shared" si="10"/>
        <v>0.57987012987012987</v>
      </c>
    </row>
    <row r="666" spans="1:17" x14ac:dyDescent="0.3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  <c r="L666" t="str">
        <f>IFERROR(VLOOKUP(D666,Products!$A:$C,3,FALSE),"")</f>
        <v>Sports</v>
      </c>
      <c r="M666" t="str">
        <f>IFERROR(VLOOKUP(C666,Customers!$A:$E,5,FALSE),"")</f>
        <v>SMB</v>
      </c>
      <c r="N666">
        <f>IFERROR(VLOOKUP(C666,Customers!$A:$E,3,FALSE),"")</f>
        <v>44</v>
      </c>
      <c r="O666" s="33" t="str">
        <f>IFERROR(VLOOKUP(E666,Sales_Reps!$A:$C,3,FALSE),"")</f>
        <v>West</v>
      </c>
      <c r="P666" s="33">
        <f>IFERROR(VLOOKUP(D666,Products!$A:$D,4,FALSE),"")</f>
        <v>2827</v>
      </c>
      <c r="Q666" s="33">
        <f t="shared" si="10"/>
        <v>0.5926512968299712</v>
      </c>
    </row>
    <row r="667" spans="1:17" x14ac:dyDescent="0.3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  <c r="L667" t="str">
        <f>IFERROR(VLOOKUP(D667,Products!$A:$C,3,FALSE),"")</f>
        <v>Beauty</v>
      </c>
      <c r="M667" t="str">
        <f>IFERROR(VLOOKUP(C667,Customers!$A:$E,5,FALSE),"")</f>
        <v>SMB</v>
      </c>
      <c r="N667">
        <f>IFERROR(VLOOKUP(C667,Customers!$A:$E,3,FALSE),"")</f>
        <v>53</v>
      </c>
      <c r="O667" s="33" t="str">
        <f>IFERROR(VLOOKUP(E667,Sales_Reps!$A:$C,3,FALSE),"")</f>
        <v>South</v>
      </c>
      <c r="P667" s="33">
        <f>IFERROR(VLOOKUP(D667,Products!$A:$D,4,FALSE),"")</f>
        <v>647</v>
      </c>
      <c r="Q667" s="33">
        <f t="shared" si="10"/>
        <v>0.57987012987012987</v>
      </c>
    </row>
    <row r="668" spans="1:17" x14ac:dyDescent="0.3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  <c r="L668" t="str">
        <f>IFERROR(VLOOKUP(D668,Products!$A:$C,3,FALSE),"")</f>
        <v>Home</v>
      </c>
      <c r="M668" t="str">
        <f>IFERROR(VLOOKUP(C668,Customers!$A:$E,5,FALSE),"")</f>
        <v>Retail</v>
      </c>
      <c r="N668">
        <f>IFERROR(VLOOKUP(C668,Customers!$A:$E,3,FALSE),"")</f>
        <v>53</v>
      </c>
      <c r="O668" s="33" t="str">
        <f>IFERROR(VLOOKUP(E668,Sales_Reps!$A:$C,3,FALSE),"")</f>
        <v>South</v>
      </c>
      <c r="P668" s="33">
        <f>IFERROR(VLOOKUP(D668,Products!$A:$D,4,FALSE),"")</f>
        <v>2135</v>
      </c>
      <c r="Q668" s="33">
        <f t="shared" si="10"/>
        <v>0.42761394101876676</v>
      </c>
    </row>
    <row r="669" spans="1:17" x14ac:dyDescent="0.3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  <c r="L669" t="str">
        <f>IFERROR(VLOOKUP(D669,Products!$A:$C,3,FALSE),"")</f>
        <v>Grocery</v>
      </c>
      <c r="M669" t="str">
        <f>IFERROR(VLOOKUP(C669,Customers!$A:$E,5,FALSE),"")</f>
        <v>Retail</v>
      </c>
      <c r="N669">
        <f>IFERROR(VLOOKUP(C669,Customers!$A:$E,3,FALSE),"")</f>
        <v>34</v>
      </c>
      <c r="O669" s="33" t="str">
        <f>IFERROR(VLOOKUP(E669,Sales_Reps!$A:$C,3,FALSE),"")</f>
        <v>East</v>
      </c>
      <c r="P669" s="33">
        <f>IFERROR(VLOOKUP(D669,Products!$A:$D,4,FALSE),"")</f>
        <v>1435</v>
      </c>
      <c r="Q669" s="33">
        <f t="shared" si="10"/>
        <v>0.48007246376811596</v>
      </c>
    </row>
    <row r="670" spans="1:17" x14ac:dyDescent="0.3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  <c r="L670" t="str">
        <f>IFERROR(VLOOKUP(D670,Products!$A:$C,3,FALSE),"")</f>
        <v>Electronics</v>
      </c>
      <c r="M670" t="str">
        <f>IFERROR(VLOOKUP(C670,Customers!$A:$E,5,FALSE),"")</f>
        <v>Corporate</v>
      </c>
      <c r="N670">
        <f>IFERROR(VLOOKUP(C670,Customers!$A:$E,3,FALSE),"")</f>
        <v>51</v>
      </c>
      <c r="O670" s="33" t="str">
        <f>IFERROR(VLOOKUP(E670,Sales_Reps!$A:$C,3,FALSE),"")</f>
        <v>East</v>
      </c>
      <c r="P670" s="33">
        <f>IFERROR(VLOOKUP(D670,Products!$A:$D,4,FALSE),"")</f>
        <v>2865</v>
      </c>
      <c r="Q670" s="33">
        <f t="shared" si="10"/>
        <v>0.27833753148614609</v>
      </c>
    </row>
    <row r="671" spans="1:17" x14ac:dyDescent="0.3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  <c r="L671" t="str">
        <f>IFERROR(VLOOKUP(D671,Products!$A:$C,3,FALSE),"")</f>
        <v>Grocery</v>
      </c>
      <c r="M671" t="str">
        <f>IFERROR(VLOOKUP(C671,Customers!$A:$E,5,FALSE),"")</f>
        <v>SMB</v>
      </c>
      <c r="N671">
        <f>IFERROR(VLOOKUP(C671,Customers!$A:$E,3,FALSE),"")</f>
        <v>28</v>
      </c>
      <c r="O671" s="33" t="str">
        <f>IFERROR(VLOOKUP(E671,Sales_Reps!$A:$C,3,FALSE),"")</f>
        <v>East</v>
      </c>
      <c r="P671" s="33">
        <f>IFERROR(VLOOKUP(D671,Products!$A:$D,4,FALSE),"")</f>
        <v>2436</v>
      </c>
      <c r="Q671" s="33">
        <f t="shared" si="10"/>
        <v>0.35555555555555557</v>
      </c>
    </row>
    <row r="672" spans="1:17" x14ac:dyDescent="0.3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  <c r="L672" t="str">
        <f>IFERROR(VLOOKUP(D672,Products!$A:$C,3,FALSE),"")</f>
        <v>Apparel</v>
      </c>
      <c r="M672" t="str">
        <f>IFERROR(VLOOKUP(C672,Customers!$A:$E,5,FALSE),"")</f>
        <v>Retail</v>
      </c>
      <c r="N672">
        <f>IFERROR(VLOOKUP(C672,Customers!$A:$E,3,FALSE),"")</f>
        <v>52</v>
      </c>
      <c r="O672" s="33" t="str">
        <f>IFERROR(VLOOKUP(E672,Sales_Reps!$A:$C,3,FALSE),"")</f>
        <v>North</v>
      </c>
      <c r="P672" s="33">
        <f>IFERROR(VLOOKUP(D672,Products!$A:$D,4,FALSE),"")</f>
        <v>1962</v>
      </c>
      <c r="Q672" s="33">
        <f t="shared" si="10"/>
        <v>0.2786764705882353</v>
      </c>
    </row>
    <row r="673" spans="1:17" x14ac:dyDescent="0.3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  <c r="L673" t="str">
        <f>IFERROR(VLOOKUP(D673,Products!$A:$C,3,FALSE),"")</f>
        <v>Electronics</v>
      </c>
      <c r="M673" t="str">
        <f>IFERROR(VLOOKUP(C673,Customers!$A:$E,5,FALSE),"")</f>
        <v>Retail</v>
      </c>
      <c r="N673">
        <f>IFERROR(VLOOKUP(C673,Customers!$A:$E,3,FALSE),"")</f>
        <v>49</v>
      </c>
      <c r="O673" s="33" t="str">
        <f>IFERROR(VLOOKUP(E673,Sales_Reps!$A:$C,3,FALSE),"")</f>
        <v>East</v>
      </c>
      <c r="P673" s="33">
        <f>IFERROR(VLOOKUP(D673,Products!$A:$D,4,FALSE),"")</f>
        <v>2865</v>
      </c>
      <c r="Q673" s="33">
        <f t="shared" si="10"/>
        <v>0.27833753148614609</v>
      </c>
    </row>
    <row r="674" spans="1:17" x14ac:dyDescent="0.3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  <c r="L674" t="str">
        <f>IFERROR(VLOOKUP(D674,Products!$A:$C,3,FALSE),"")</f>
        <v>Apparel</v>
      </c>
      <c r="M674" t="str">
        <f>IFERROR(VLOOKUP(C674,Customers!$A:$E,5,FALSE),"")</f>
        <v>SMB</v>
      </c>
      <c r="N674">
        <f>IFERROR(VLOOKUP(C674,Customers!$A:$E,3,FALSE),"")</f>
        <v>39</v>
      </c>
      <c r="O674" s="33" t="str">
        <f>IFERROR(VLOOKUP(E674,Sales_Reps!$A:$C,3,FALSE),"")</f>
        <v>South</v>
      </c>
      <c r="P674" s="33">
        <f>IFERROR(VLOOKUP(D674,Products!$A:$D,4,FALSE),"")</f>
        <v>391</v>
      </c>
      <c r="Q674" s="33">
        <f t="shared" si="10"/>
        <v>0.52317073170731709</v>
      </c>
    </row>
    <row r="675" spans="1:17" x14ac:dyDescent="0.3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  <c r="L675" t="str">
        <f>IFERROR(VLOOKUP(D675,Products!$A:$C,3,FALSE),"")</f>
        <v>Apparel</v>
      </c>
      <c r="M675" t="str">
        <f>IFERROR(VLOOKUP(C675,Customers!$A:$E,5,FALSE),"")</f>
        <v>Retail</v>
      </c>
      <c r="N675">
        <f>IFERROR(VLOOKUP(C675,Customers!$A:$E,3,FALSE),"")</f>
        <v>37</v>
      </c>
      <c r="O675" s="33" t="str">
        <f>IFERROR(VLOOKUP(E675,Sales_Reps!$A:$C,3,FALSE),"")</f>
        <v>South</v>
      </c>
      <c r="P675" s="33">
        <f>IFERROR(VLOOKUP(D675,Products!$A:$D,4,FALSE),"")</f>
        <v>396</v>
      </c>
      <c r="Q675" s="33">
        <f t="shared" si="10"/>
        <v>0.36129032258064514</v>
      </c>
    </row>
    <row r="676" spans="1:17" x14ac:dyDescent="0.3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  <c r="L676" t="str">
        <f>IFERROR(VLOOKUP(D676,Products!$A:$C,3,FALSE),"")</f>
        <v>Beauty</v>
      </c>
      <c r="M676" t="str">
        <f>IFERROR(VLOOKUP(C676,Customers!$A:$E,5,FALSE),"")</f>
        <v>Retail</v>
      </c>
      <c r="N676">
        <f>IFERROR(VLOOKUP(C676,Customers!$A:$E,3,FALSE),"")</f>
        <v>31</v>
      </c>
      <c r="O676" s="33" t="str">
        <f>IFERROR(VLOOKUP(E676,Sales_Reps!$A:$C,3,FALSE),"")</f>
        <v>West</v>
      </c>
      <c r="P676" s="33">
        <f>IFERROR(VLOOKUP(D676,Products!$A:$D,4,FALSE),"")</f>
        <v>1219</v>
      </c>
      <c r="Q676" s="33">
        <f t="shared" si="10"/>
        <v>0.46768558951965067</v>
      </c>
    </row>
    <row r="677" spans="1:17" x14ac:dyDescent="0.3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  <c r="L677" t="str">
        <f>IFERROR(VLOOKUP(D677,Products!$A:$C,3,FALSE),"")</f>
        <v>Grocery</v>
      </c>
      <c r="M677" t="str">
        <f>IFERROR(VLOOKUP(C677,Customers!$A:$E,5,FALSE),"")</f>
        <v>Corporate</v>
      </c>
      <c r="N677">
        <f>IFERROR(VLOOKUP(C677,Customers!$A:$E,3,FALSE),"")</f>
        <v>41</v>
      </c>
      <c r="O677" s="33" t="str">
        <f>IFERROR(VLOOKUP(E677,Sales_Reps!$A:$C,3,FALSE),"")</f>
        <v>West</v>
      </c>
      <c r="P677" s="33">
        <f>IFERROR(VLOOKUP(D677,Products!$A:$D,4,FALSE),"")</f>
        <v>434</v>
      </c>
      <c r="Q677" s="33">
        <f t="shared" si="10"/>
        <v>0.5525773195876289</v>
      </c>
    </row>
    <row r="678" spans="1:17" x14ac:dyDescent="0.3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  <c r="L678" t="str">
        <f>IFERROR(VLOOKUP(D678,Products!$A:$C,3,FALSE),"")</f>
        <v>Home</v>
      </c>
      <c r="M678" t="str">
        <f>IFERROR(VLOOKUP(C678,Customers!$A:$E,5,FALSE),"")</f>
        <v>Retail</v>
      </c>
      <c r="N678">
        <f>IFERROR(VLOOKUP(C678,Customers!$A:$E,3,FALSE),"")</f>
        <v>47</v>
      </c>
      <c r="O678" s="33" t="str">
        <f>IFERROR(VLOOKUP(E678,Sales_Reps!$A:$C,3,FALSE),"")</f>
        <v>South</v>
      </c>
      <c r="P678" s="33">
        <f>IFERROR(VLOOKUP(D678,Products!$A:$D,4,FALSE),"")</f>
        <v>288</v>
      </c>
      <c r="Q678" s="33">
        <f t="shared" si="10"/>
        <v>0.22162162162162163</v>
      </c>
    </row>
    <row r="679" spans="1:17" x14ac:dyDescent="0.3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  <c r="L679" t="str">
        <f>IFERROR(VLOOKUP(D679,Products!$A:$C,3,FALSE),"")</f>
        <v>Electronics</v>
      </c>
      <c r="M679" t="str">
        <f>IFERROR(VLOOKUP(C679,Customers!$A:$E,5,FALSE),"")</f>
        <v>SMB</v>
      </c>
      <c r="N679">
        <f>IFERROR(VLOOKUP(C679,Customers!$A:$E,3,FALSE),"")</f>
        <v>26</v>
      </c>
      <c r="O679" s="33" t="str">
        <f>IFERROR(VLOOKUP(E679,Sales_Reps!$A:$C,3,FALSE),"")</f>
        <v>North</v>
      </c>
      <c r="P679" s="33">
        <f>IFERROR(VLOOKUP(D679,Products!$A:$D,4,FALSE),"")</f>
        <v>861</v>
      </c>
      <c r="Q679" s="33">
        <f t="shared" si="10"/>
        <v>0.39790209790209791</v>
      </c>
    </row>
    <row r="680" spans="1:17" x14ac:dyDescent="0.3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  <c r="L680" t="str">
        <f>IFERROR(VLOOKUP(D680,Products!$A:$C,3,FALSE),"")</f>
        <v>Sports</v>
      </c>
      <c r="M680" t="str">
        <f>IFERROR(VLOOKUP(C680,Customers!$A:$E,5,FALSE),"")</f>
        <v>Retail</v>
      </c>
      <c r="N680">
        <f>IFERROR(VLOOKUP(C680,Customers!$A:$E,3,FALSE),"")</f>
        <v>37</v>
      </c>
      <c r="O680" s="33" t="str">
        <f>IFERROR(VLOOKUP(E680,Sales_Reps!$A:$C,3,FALSE),"")</f>
        <v>West</v>
      </c>
      <c r="P680" s="33">
        <f>IFERROR(VLOOKUP(D680,Products!$A:$D,4,FALSE),"")</f>
        <v>974</v>
      </c>
      <c r="Q680" s="33">
        <f t="shared" si="10"/>
        <v>0.59416666666666662</v>
      </c>
    </row>
    <row r="681" spans="1:17" x14ac:dyDescent="0.3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  <c r="L681" t="str">
        <f>IFERROR(VLOOKUP(D681,Products!$A:$C,3,FALSE),"")</f>
        <v>Electronics</v>
      </c>
      <c r="M681" t="str">
        <f>IFERROR(VLOOKUP(C681,Customers!$A:$E,5,FALSE),"")</f>
        <v>SMB</v>
      </c>
      <c r="N681">
        <f>IFERROR(VLOOKUP(C681,Customers!$A:$E,3,FALSE),"")</f>
        <v>53</v>
      </c>
      <c r="O681" s="33" t="str">
        <f>IFERROR(VLOOKUP(E681,Sales_Reps!$A:$C,3,FALSE),"")</f>
        <v>South</v>
      </c>
      <c r="P681" s="33">
        <f>IFERROR(VLOOKUP(D681,Products!$A:$D,4,FALSE),"")</f>
        <v>861</v>
      </c>
      <c r="Q681" s="33">
        <f t="shared" si="10"/>
        <v>0.39790209790209791</v>
      </c>
    </row>
    <row r="682" spans="1:17" x14ac:dyDescent="0.3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  <c r="L682" t="str">
        <f>IFERROR(VLOOKUP(D682,Products!$A:$C,3,FALSE),"")</f>
        <v>Apparel</v>
      </c>
      <c r="M682" t="str">
        <f>IFERROR(VLOOKUP(C682,Customers!$A:$E,5,FALSE),"")</f>
        <v>SMB</v>
      </c>
      <c r="N682">
        <f>IFERROR(VLOOKUP(C682,Customers!$A:$E,3,FALSE),"")</f>
        <v>48</v>
      </c>
      <c r="O682" s="33" t="str">
        <f>IFERROR(VLOOKUP(E682,Sales_Reps!$A:$C,3,FALSE),"")</f>
        <v>North</v>
      </c>
      <c r="P682" s="33">
        <f>IFERROR(VLOOKUP(D682,Products!$A:$D,4,FALSE),"")</f>
        <v>1962</v>
      </c>
      <c r="Q682" s="33">
        <f t="shared" si="10"/>
        <v>0.2786764705882353</v>
      </c>
    </row>
    <row r="683" spans="1:17" x14ac:dyDescent="0.3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  <c r="L683" t="str">
        <f>IFERROR(VLOOKUP(D683,Products!$A:$C,3,FALSE),"")</f>
        <v>Sports</v>
      </c>
      <c r="M683" t="str">
        <f>IFERROR(VLOOKUP(C683,Customers!$A:$E,5,FALSE),"")</f>
        <v>Retail</v>
      </c>
      <c r="N683">
        <f>IFERROR(VLOOKUP(C683,Customers!$A:$E,3,FALSE),"")</f>
        <v>24</v>
      </c>
      <c r="O683" s="33" t="str">
        <f>IFERROR(VLOOKUP(E683,Sales_Reps!$A:$C,3,FALSE),"")</f>
        <v>West</v>
      </c>
      <c r="P683" s="33">
        <f>IFERROR(VLOOKUP(D683,Products!$A:$D,4,FALSE),"")</f>
        <v>2827</v>
      </c>
      <c r="Q683" s="33">
        <f t="shared" si="10"/>
        <v>0.5926512968299712</v>
      </c>
    </row>
    <row r="684" spans="1:17" x14ac:dyDescent="0.3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  <c r="L684" t="str">
        <f>IFERROR(VLOOKUP(D684,Products!$A:$C,3,FALSE),"")</f>
        <v>Apparel</v>
      </c>
      <c r="M684" t="str">
        <f>IFERROR(VLOOKUP(C684,Customers!$A:$E,5,FALSE),"")</f>
        <v>Corporate</v>
      </c>
      <c r="N684">
        <f>IFERROR(VLOOKUP(C684,Customers!$A:$E,3,FALSE),"")</f>
        <v>42</v>
      </c>
      <c r="O684" s="33" t="str">
        <f>IFERROR(VLOOKUP(E684,Sales_Reps!$A:$C,3,FALSE),"")</f>
        <v>North</v>
      </c>
      <c r="P684" s="33">
        <f>IFERROR(VLOOKUP(D684,Products!$A:$D,4,FALSE),"")</f>
        <v>2509</v>
      </c>
      <c r="Q684" s="33">
        <f t="shared" si="10"/>
        <v>0.3069060773480663</v>
      </c>
    </row>
    <row r="685" spans="1:17" x14ac:dyDescent="0.3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  <c r="L685" t="str">
        <f>IFERROR(VLOOKUP(D685,Products!$A:$C,3,FALSE),"")</f>
        <v>Electronics</v>
      </c>
      <c r="M685" t="str">
        <f>IFERROR(VLOOKUP(C685,Customers!$A:$E,5,FALSE),"")</f>
        <v>SMB</v>
      </c>
      <c r="N685">
        <f>IFERROR(VLOOKUP(C685,Customers!$A:$E,3,FALSE),"")</f>
        <v>53</v>
      </c>
      <c r="O685" s="33" t="str">
        <f>IFERROR(VLOOKUP(E685,Sales_Reps!$A:$C,3,FALSE),"")</f>
        <v>West</v>
      </c>
      <c r="P685" s="33">
        <f>IFERROR(VLOOKUP(D685,Products!$A:$D,4,FALSE),"")</f>
        <v>1149</v>
      </c>
      <c r="Q685" s="33">
        <f t="shared" si="10"/>
        <v>0.56477272727272732</v>
      </c>
    </row>
    <row r="686" spans="1:17" x14ac:dyDescent="0.3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  <c r="L686" t="str">
        <f>IFERROR(VLOOKUP(D686,Products!$A:$C,3,FALSE),"")</f>
        <v>Home</v>
      </c>
      <c r="M686" t="str">
        <f>IFERROR(VLOOKUP(C686,Customers!$A:$E,5,FALSE),"")</f>
        <v>Retail</v>
      </c>
      <c r="N686">
        <f>IFERROR(VLOOKUP(C686,Customers!$A:$E,3,FALSE),"")</f>
        <v>56</v>
      </c>
      <c r="O686" s="33" t="str">
        <f>IFERROR(VLOOKUP(E686,Sales_Reps!$A:$C,3,FALSE),"")</f>
        <v>North</v>
      </c>
      <c r="P686" s="33">
        <f>IFERROR(VLOOKUP(D686,Products!$A:$D,4,FALSE),"")</f>
        <v>2549</v>
      </c>
      <c r="Q686" s="33">
        <f t="shared" si="10"/>
        <v>0.53570127504553733</v>
      </c>
    </row>
    <row r="687" spans="1:17" x14ac:dyDescent="0.3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  <c r="L687" t="str">
        <f>IFERROR(VLOOKUP(D687,Products!$A:$C,3,FALSE),"")</f>
        <v>Home</v>
      </c>
      <c r="M687" t="str">
        <f>IFERROR(VLOOKUP(C687,Customers!$A:$E,5,FALSE),"")</f>
        <v>SMB</v>
      </c>
      <c r="N687">
        <f>IFERROR(VLOOKUP(C687,Customers!$A:$E,3,FALSE),"")</f>
        <v>39</v>
      </c>
      <c r="O687" s="33" t="str">
        <f>IFERROR(VLOOKUP(E687,Sales_Reps!$A:$C,3,FALSE),"")</f>
        <v>East</v>
      </c>
      <c r="P687" s="33">
        <f>IFERROR(VLOOKUP(D687,Products!$A:$D,4,FALSE),"")</f>
        <v>2459</v>
      </c>
      <c r="Q687" s="33">
        <f t="shared" si="10"/>
        <v>0.51594488188976373</v>
      </c>
    </row>
    <row r="688" spans="1:17" x14ac:dyDescent="0.3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  <c r="L688" t="str">
        <f>IFERROR(VLOOKUP(D688,Products!$A:$C,3,FALSE),"")</f>
        <v>Beauty</v>
      </c>
      <c r="M688" t="str">
        <f>IFERROR(VLOOKUP(C688,Customers!$A:$E,5,FALSE),"")</f>
        <v>SMB</v>
      </c>
      <c r="N688">
        <f>IFERROR(VLOOKUP(C688,Customers!$A:$E,3,FALSE),"")</f>
        <v>28</v>
      </c>
      <c r="O688" s="33" t="str">
        <f>IFERROR(VLOOKUP(E688,Sales_Reps!$A:$C,3,FALSE),"")</f>
        <v>West</v>
      </c>
      <c r="P688" s="33">
        <f>IFERROR(VLOOKUP(D688,Products!$A:$D,4,FALSE),"")</f>
        <v>1219</v>
      </c>
      <c r="Q688" s="33">
        <f t="shared" si="10"/>
        <v>0.46768558951965067</v>
      </c>
    </row>
    <row r="689" spans="1:17" x14ac:dyDescent="0.3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  <c r="L689" t="str">
        <f>IFERROR(VLOOKUP(D689,Products!$A:$C,3,FALSE),"")</f>
        <v>Home</v>
      </c>
      <c r="M689" t="str">
        <f>IFERROR(VLOOKUP(C689,Customers!$A:$E,5,FALSE),"")</f>
        <v>Retail</v>
      </c>
      <c r="N689">
        <f>IFERROR(VLOOKUP(C689,Customers!$A:$E,3,FALSE),"")</f>
        <v>22</v>
      </c>
      <c r="O689" s="33" t="str">
        <f>IFERROR(VLOOKUP(E689,Sales_Reps!$A:$C,3,FALSE),"")</f>
        <v>South</v>
      </c>
      <c r="P689" s="33">
        <f>IFERROR(VLOOKUP(D689,Products!$A:$D,4,FALSE),"")</f>
        <v>1143</v>
      </c>
      <c r="Q689" s="33">
        <f t="shared" si="10"/>
        <v>0.43694581280788175</v>
      </c>
    </row>
    <row r="690" spans="1:17" x14ac:dyDescent="0.3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  <c r="L690" t="str">
        <f>IFERROR(VLOOKUP(D690,Products!$A:$C,3,FALSE),"")</f>
        <v>Electronics</v>
      </c>
      <c r="M690" t="str">
        <f>IFERROR(VLOOKUP(C690,Customers!$A:$E,5,FALSE),"")</f>
        <v>SMB</v>
      </c>
      <c r="N690">
        <f>IFERROR(VLOOKUP(C690,Customers!$A:$E,3,FALSE),"")</f>
        <v>61</v>
      </c>
      <c r="O690" s="33" t="str">
        <f>IFERROR(VLOOKUP(E690,Sales_Reps!$A:$C,3,FALSE),"")</f>
        <v>South</v>
      </c>
      <c r="P690" s="33">
        <f>IFERROR(VLOOKUP(D690,Products!$A:$D,4,FALSE),"")</f>
        <v>861</v>
      </c>
      <c r="Q690" s="33">
        <f t="shared" si="10"/>
        <v>0.39790209790209791</v>
      </c>
    </row>
    <row r="691" spans="1:17" x14ac:dyDescent="0.3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  <c r="L691" t="str">
        <f>IFERROR(VLOOKUP(D691,Products!$A:$C,3,FALSE),"")</f>
        <v>Grocery</v>
      </c>
      <c r="M691" t="str">
        <f>IFERROR(VLOOKUP(C691,Customers!$A:$E,5,FALSE),"")</f>
        <v>SMB</v>
      </c>
      <c r="N691">
        <f>IFERROR(VLOOKUP(C691,Customers!$A:$E,3,FALSE),"")</f>
        <v>54</v>
      </c>
      <c r="O691" s="33" t="str">
        <f>IFERROR(VLOOKUP(E691,Sales_Reps!$A:$C,3,FALSE),"")</f>
        <v>South</v>
      </c>
      <c r="P691" s="33">
        <f>IFERROR(VLOOKUP(D691,Products!$A:$D,4,FALSE),"")</f>
        <v>2436</v>
      </c>
      <c r="Q691" s="33">
        <f t="shared" si="10"/>
        <v>0.35555555555555557</v>
      </c>
    </row>
    <row r="692" spans="1:17" x14ac:dyDescent="0.3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  <c r="L692" t="str">
        <f>IFERROR(VLOOKUP(D692,Products!$A:$C,3,FALSE),"")</f>
        <v>Apparel</v>
      </c>
      <c r="M692" t="str">
        <f>IFERROR(VLOOKUP(C692,Customers!$A:$E,5,FALSE),"")</f>
        <v>Retail</v>
      </c>
      <c r="N692">
        <f>IFERROR(VLOOKUP(C692,Customers!$A:$E,3,FALSE),"")</f>
        <v>50</v>
      </c>
      <c r="O692" s="33" t="str">
        <f>IFERROR(VLOOKUP(E692,Sales_Reps!$A:$C,3,FALSE),"")</f>
        <v>East</v>
      </c>
      <c r="P692" s="33">
        <f>IFERROR(VLOOKUP(D692,Products!$A:$D,4,FALSE),"")</f>
        <v>1886</v>
      </c>
      <c r="Q692" s="33">
        <f t="shared" si="10"/>
        <v>0.4031645569620253</v>
      </c>
    </row>
    <row r="693" spans="1:17" x14ac:dyDescent="0.3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  <c r="L693" t="str">
        <f>IFERROR(VLOOKUP(D693,Products!$A:$C,3,FALSE),"")</f>
        <v>Electronics</v>
      </c>
      <c r="M693" t="str">
        <f>IFERROR(VLOOKUP(C693,Customers!$A:$E,5,FALSE),"")</f>
        <v>Retail</v>
      </c>
      <c r="N693">
        <f>IFERROR(VLOOKUP(C693,Customers!$A:$E,3,FALSE),"")</f>
        <v>65</v>
      </c>
      <c r="O693" s="33" t="str">
        <f>IFERROR(VLOOKUP(E693,Sales_Reps!$A:$C,3,FALSE),"")</f>
        <v>North</v>
      </c>
      <c r="P693" s="33">
        <f>IFERROR(VLOOKUP(D693,Products!$A:$D,4,FALSE),"")</f>
        <v>861</v>
      </c>
      <c r="Q693" s="33">
        <f t="shared" si="10"/>
        <v>0.39790209790209791</v>
      </c>
    </row>
    <row r="694" spans="1:17" x14ac:dyDescent="0.3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  <c r="L694" t="str">
        <f>IFERROR(VLOOKUP(D694,Products!$A:$C,3,FALSE),"")</f>
        <v>Apparel</v>
      </c>
      <c r="M694" t="str">
        <f>IFERROR(VLOOKUP(C694,Customers!$A:$E,5,FALSE),"")</f>
        <v>SMB</v>
      </c>
      <c r="N694">
        <f>IFERROR(VLOOKUP(C694,Customers!$A:$E,3,FALSE),"")</f>
        <v>64</v>
      </c>
      <c r="O694" s="33" t="str">
        <f>IFERROR(VLOOKUP(E694,Sales_Reps!$A:$C,3,FALSE),"")</f>
        <v>North</v>
      </c>
      <c r="P694" s="33">
        <f>IFERROR(VLOOKUP(D694,Products!$A:$D,4,FALSE),"")</f>
        <v>1886</v>
      </c>
      <c r="Q694" s="33">
        <f t="shared" si="10"/>
        <v>0.4031645569620253</v>
      </c>
    </row>
    <row r="695" spans="1:17" x14ac:dyDescent="0.3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  <c r="L695" t="str">
        <f>IFERROR(VLOOKUP(D695,Products!$A:$C,3,FALSE),"")</f>
        <v>Beauty</v>
      </c>
      <c r="M695" t="str">
        <f>IFERROR(VLOOKUP(C695,Customers!$A:$E,5,FALSE),"")</f>
        <v>Retail</v>
      </c>
      <c r="N695">
        <f>IFERROR(VLOOKUP(C695,Customers!$A:$E,3,FALSE),"")</f>
        <v>36</v>
      </c>
      <c r="O695" s="33" t="str">
        <f>IFERROR(VLOOKUP(E695,Sales_Reps!$A:$C,3,FALSE),"")</f>
        <v>North</v>
      </c>
      <c r="P695" s="33">
        <f>IFERROR(VLOOKUP(D695,Products!$A:$D,4,FALSE),"")</f>
        <v>1219</v>
      </c>
      <c r="Q695" s="33">
        <f t="shared" si="10"/>
        <v>0.46768558951965067</v>
      </c>
    </row>
    <row r="696" spans="1:17" x14ac:dyDescent="0.3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  <c r="L696" t="str">
        <f>IFERROR(VLOOKUP(D696,Products!$A:$C,3,FALSE),"")</f>
        <v>Apparel</v>
      </c>
      <c r="M696" t="str">
        <f>IFERROR(VLOOKUP(C696,Customers!$A:$E,5,FALSE),"")</f>
        <v>Retail</v>
      </c>
      <c r="N696">
        <f>IFERROR(VLOOKUP(C696,Customers!$A:$E,3,FALSE),"")</f>
        <v>36</v>
      </c>
      <c r="O696" s="33" t="str">
        <f>IFERROR(VLOOKUP(E696,Sales_Reps!$A:$C,3,FALSE),"")</f>
        <v>South</v>
      </c>
      <c r="P696" s="33">
        <f>IFERROR(VLOOKUP(D696,Products!$A:$D,4,FALSE),"")</f>
        <v>1748</v>
      </c>
      <c r="Q696" s="33">
        <f t="shared" si="10"/>
        <v>0.49333333333333335</v>
      </c>
    </row>
    <row r="697" spans="1:17" x14ac:dyDescent="0.3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  <c r="L697" t="str">
        <f>IFERROR(VLOOKUP(D697,Products!$A:$C,3,FALSE),"")</f>
        <v>Apparel</v>
      </c>
      <c r="M697" t="str">
        <f>IFERROR(VLOOKUP(C697,Customers!$A:$E,5,FALSE),"")</f>
        <v>Retail</v>
      </c>
      <c r="N697">
        <f>IFERROR(VLOOKUP(C697,Customers!$A:$E,3,FALSE),"")</f>
        <v>51</v>
      </c>
      <c r="O697" s="33" t="str">
        <f>IFERROR(VLOOKUP(E697,Sales_Reps!$A:$C,3,FALSE),"")</f>
        <v>North</v>
      </c>
      <c r="P697" s="33">
        <f>IFERROR(VLOOKUP(D697,Products!$A:$D,4,FALSE),"")</f>
        <v>2629</v>
      </c>
      <c r="Q697" s="33">
        <f t="shared" si="10"/>
        <v>0.26151685393258428</v>
      </c>
    </row>
    <row r="698" spans="1:17" x14ac:dyDescent="0.3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  <c r="L698" t="str">
        <f>IFERROR(VLOOKUP(D698,Products!$A:$C,3,FALSE),"")</f>
        <v>Sports</v>
      </c>
      <c r="M698" t="str">
        <f>IFERROR(VLOOKUP(C698,Customers!$A:$E,5,FALSE),"")</f>
        <v>Corporate</v>
      </c>
      <c r="N698">
        <f>IFERROR(VLOOKUP(C698,Customers!$A:$E,3,FALSE),"")</f>
        <v>46</v>
      </c>
      <c r="O698" s="33" t="str">
        <f>IFERROR(VLOOKUP(E698,Sales_Reps!$A:$C,3,FALSE),"")</f>
        <v>South</v>
      </c>
      <c r="P698" s="33">
        <f>IFERROR(VLOOKUP(D698,Products!$A:$D,4,FALSE),"")</f>
        <v>974</v>
      </c>
      <c r="Q698" s="33">
        <f t="shared" si="10"/>
        <v>0.59416666666666662</v>
      </c>
    </row>
    <row r="699" spans="1:17" x14ac:dyDescent="0.3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  <c r="L699" t="str">
        <f>IFERROR(VLOOKUP(D699,Products!$A:$C,3,FALSE),"")</f>
        <v>Electronics</v>
      </c>
      <c r="M699" t="str">
        <f>IFERROR(VLOOKUP(C699,Customers!$A:$E,5,FALSE),"")</f>
        <v>Retail</v>
      </c>
      <c r="N699">
        <f>IFERROR(VLOOKUP(C699,Customers!$A:$E,3,FALSE),"")</f>
        <v>60</v>
      </c>
      <c r="O699" s="33" t="str">
        <f>IFERROR(VLOOKUP(E699,Sales_Reps!$A:$C,3,FALSE),"")</f>
        <v>East</v>
      </c>
      <c r="P699" s="33">
        <f>IFERROR(VLOOKUP(D699,Products!$A:$D,4,FALSE),"")</f>
        <v>1559</v>
      </c>
      <c r="Q699" s="33">
        <f t="shared" si="10"/>
        <v>0.59715762273901807</v>
      </c>
    </row>
    <row r="700" spans="1:17" x14ac:dyDescent="0.3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  <c r="L700" t="str">
        <f>IFERROR(VLOOKUP(D700,Products!$A:$C,3,FALSE),"")</f>
        <v>Grocery</v>
      </c>
      <c r="M700" t="str">
        <f>IFERROR(VLOOKUP(C700,Customers!$A:$E,5,FALSE),"")</f>
        <v>Retail</v>
      </c>
      <c r="N700">
        <f>IFERROR(VLOOKUP(C700,Customers!$A:$E,3,FALSE),"")</f>
        <v>53</v>
      </c>
      <c r="O700" s="33" t="str">
        <f>IFERROR(VLOOKUP(E700,Sales_Reps!$A:$C,3,FALSE),"")</f>
        <v>East</v>
      </c>
      <c r="P700" s="33">
        <f>IFERROR(VLOOKUP(D700,Products!$A:$D,4,FALSE),"")</f>
        <v>2214</v>
      </c>
      <c r="Q700" s="33">
        <f t="shared" si="10"/>
        <v>0.39508196721311473</v>
      </c>
    </row>
    <row r="701" spans="1:17" x14ac:dyDescent="0.3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  <c r="L701" t="str">
        <f>IFERROR(VLOOKUP(D701,Products!$A:$C,3,FALSE),"")</f>
        <v>Home</v>
      </c>
      <c r="M701" t="str">
        <f>IFERROR(VLOOKUP(C701,Customers!$A:$E,5,FALSE),"")</f>
        <v>Corporate</v>
      </c>
      <c r="N701">
        <f>IFERROR(VLOOKUP(C701,Customers!$A:$E,3,FALSE),"")</f>
        <v>24</v>
      </c>
      <c r="O701" s="33" t="str">
        <f>IFERROR(VLOOKUP(E701,Sales_Reps!$A:$C,3,FALSE),"")</f>
        <v>West</v>
      </c>
      <c r="P701" s="33">
        <f>IFERROR(VLOOKUP(D701,Products!$A:$D,4,FALSE),"")</f>
        <v>519</v>
      </c>
      <c r="Q701" s="33">
        <f t="shared" si="10"/>
        <v>0.51944444444444449</v>
      </c>
    </row>
    <row r="702" spans="1:17" x14ac:dyDescent="0.3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  <c r="L702" t="str">
        <f>IFERROR(VLOOKUP(D702,Products!$A:$C,3,FALSE),"")</f>
        <v>Sports</v>
      </c>
      <c r="M702" t="str">
        <f>IFERROR(VLOOKUP(C702,Customers!$A:$E,5,FALSE),"")</f>
        <v>Retail</v>
      </c>
      <c r="N702">
        <f>IFERROR(VLOOKUP(C702,Customers!$A:$E,3,FALSE),"")</f>
        <v>52</v>
      </c>
      <c r="O702" s="33" t="str">
        <f>IFERROR(VLOOKUP(E702,Sales_Reps!$A:$C,3,FALSE),"")</f>
        <v>North</v>
      </c>
      <c r="P702" s="33">
        <f>IFERROR(VLOOKUP(D702,Products!$A:$D,4,FALSE),"")</f>
        <v>1860</v>
      </c>
      <c r="Q702" s="33">
        <f t="shared" si="10"/>
        <v>0.50793650793650791</v>
      </c>
    </row>
    <row r="703" spans="1:17" x14ac:dyDescent="0.3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  <c r="L703" t="str">
        <f>IFERROR(VLOOKUP(D703,Products!$A:$C,3,FALSE),"")</f>
        <v>Apparel</v>
      </c>
      <c r="M703" t="str">
        <f>IFERROR(VLOOKUP(C703,Customers!$A:$E,5,FALSE),"")</f>
        <v>SMB</v>
      </c>
      <c r="N703">
        <f>IFERROR(VLOOKUP(C703,Customers!$A:$E,3,FALSE),"")</f>
        <v>54</v>
      </c>
      <c r="O703" s="33" t="str">
        <f>IFERROR(VLOOKUP(E703,Sales_Reps!$A:$C,3,FALSE),"")</f>
        <v>East</v>
      </c>
      <c r="P703" s="33">
        <f>IFERROR(VLOOKUP(D703,Products!$A:$D,4,FALSE),"")</f>
        <v>1173</v>
      </c>
      <c r="Q703" s="33">
        <f t="shared" si="10"/>
        <v>0.52701612903225803</v>
      </c>
    </row>
    <row r="704" spans="1:17" x14ac:dyDescent="0.3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  <c r="L704" t="str">
        <f>IFERROR(VLOOKUP(D704,Products!$A:$C,3,FALSE),"")</f>
        <v>Sports</v>
      </c>
      <c r="M704" t="str">
        <f>IFERROR(VLOOKUP(C704,Customers!$A:$E,5,FALSE),"")</f>
        <v>SMB</v>
      </c>
      <c r="N704">
        <f>IFERROR(VLOOKUP(C704,Customers!$A:$E,3,FALSE),"")</f>
        <v>54</v>
      </c>
      <c r="O704" s="33" t="str">
        <f>IFERROR(VLOOKUP(E704,Sales_Reps!$A:$C,3,FALSE),"")</f>
        <v>South</v>
      </c>
      <c r="P704" s="33">
        <f>IFERROR(VLOOKUP(D704,Products!$A:$D,4,FALSE),"")</f>
        <v>516</v>
      </c>
      <c r="Q704" s="33">
        <f t="shared" si="10"/>
        <v>0.4891089108910891</v>
      </c>
    </row>
    <row r="705" spans="1:17" x14ac:dyDescent="0.3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  <c r="L705" t="str">
        <f>IFERROR(VLOOKUP(D705,Products!$A:$C,3,FALSE),"")</f>
        <v>Sports</v>
      </c>
      <c r="M705" t="str">
        <f>IFERROR(VLOOKUP(C705,Customers!$A:$E,5,FALSE),"")</f>
        <v>Retail</v>
      </c>
      <c r="N705">
        <f>IFERROR(VLOOKUP(C705,Customers!$A:$E,3,FALSE),"")</f>
        <v>63</v>
      </c>
      <c r="O705" s="33" t="str">
        <f>IFERROR(VLOOKUP(E705,Sales_Reps!$A:$C,3,FALSE),"")</f>
        <v>South</v>
      </c>
      <c r="P705" s="33">
        <f>IFERROR(VLOOKUP(D705,Products!$A:$D,4,FALSE),"")</f>
        <v>302</v>
      </c>
      <c r="Q705" s="33">
        <f t="shared" si="10"/>
        <v>0.35744680851063831</v>
      </c>
    </row>
    <row r="706" spans="1:17" x14ac:dyDescent="0.3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  <c r="L706" t="str">
        <f>IFERROR(VLOOKUP(D706,Products!$A:$C,3,FALSE),"")</f>
        <v>Grocery</v>
      </c>
      <c r="M706" t="str">
        <f>IFERROR(VLOOKUP(C706,Customers!$A:$E,5,FALSE),"")</f>
        <v>Retail</v>
      </c>
      <c r="N706">
        <f>IFERROR(VLOOKUP(C706,Customers!$A:$E,3,FALSE),"")</f>
        <v>24</v>
      </c>
      <c r="O706" s="33" t="str">
        <f>IFERROR(VLOOKUP(E706,Sales_Reps!$A:$C,3,FALSE),"")</f>
        <v>East</v>
      </c>
      <c r="P706" s="33">
        <f>IFERROR(VLOOKUP(D706,Products!$A:$D,4,FALSE),"")</f>
        <v>1203</v>
      </c>
      <c r="Q706" s="33">
        <f t="shared" si="10"/>
        <v>0.47004405286343615</v>
      </c>
    </row>
    <row r="707" spans="1:17" x14ac:dyDescent="0.3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  <c r="L707" t="str">
        <f>IFERROR(VLOOKUP(D707,Products!$A:$C,3,FALSE),"")</f>
        <v>Grocery</v>
      </c>
      <c r="M707" t="str">
        <f>IFERROR(VLOOKUP(C707,Customers!$A:$E,5,FALSE),"")</f>
        <v>Retail</v>
      </c>
      <c r="N707">
        <f>IFERROR(VLOOKUP(C707,Customers!$A:$E,3,FALSE),"")</f>
        <v>53</v>
      </c>
      <c r="O707" s="33" t="str">
        <f>IFERROR(VLOOKUP(E707,Sales_Reps!$A:$C,3,FALSE),"")</f>
        <v>South</v>
      </c>
      <c r="P707" s="33">
        <f>IFERROR(VLOOKUP(D707,Products!$A:$D,4,FALSE),"")</f>
        <v>1435</v>
      </c>
      <c r="Q707" s="33">
        <f t="shared" ref="Q707:Q770" si="11">IFERROR((G707-P707)/G707,"")</f>
        <v>0.48007246376811596</v>
      </c>
    </row>
    <row r="708" spans="1:17" x14ac:dyDescent="0.3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  <c r="L708" t="str">
        <f>IFERROR(VLOOKUP(D708,Products!$A:$C,3,FALSE),"")</f>
        <v>Sports</v>
      </c>
      <c r="M708" t="str">
        <f>IFERROR(VLOOKUP(C708,Customers!$A:$E,5,FALSE),"")</f>
        <v>Retail</v>
      </c>
      <c r="N708">
        <f>IFERROR(VLOOKUP(C708,Customers!$A:$E,3,FALSE),"")</f>
        <v>41</v>
      </c>
      <c r="O708" s="33" t="str">
        <f>IFERROR(VLOOKUP(E708,Sales_Reps!$A:$C,3,FALSE),"")</f>
        <v>North</v>
      </c>
      <c r="P708" s="33">
        <f>IFERROR(VLOOKUP(D708,Products!$A:$D,4,FALSE),"")</f>
        <v>2467</v>
      </c>
      <c r="Q708" s="33">
        <f t="shared" si="11"/>
        <v>0.28492753623188405</v>
      </c>
    </row>
    <row r="709" spans="1:17" x14ac:dyDescent="0.3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  <c r="L709" t="str">
        <f>IFERROR(VLOOKUP(D709,Products!$A:$C,3,FALSE),"")</f>
        <v>Grocery</v>
      </c>
      <c r="M709" t="str">
        <f>IFERROR(VLOOKUP(C709,Customers!$A:$E,5,FALSE),"")</f>
        <v>Retail</v>
      </c>
      <c r="N709">
        <f>IFERROR(VLOOKUP(C709,Customers!$A:$E,3,FALSE),"")</f>
        <v>22</v>
      </c>
      <c r="O709" s="33" t="str">
        <f>IFERROR(VLOOKUP(E709,Sales_Reps!$A:$C,3,FALSE),"")</f>
        <v>North</v>
      </c>
      <c r="P709" s="33">
        <f>IFERROR(VLOOKUP(D709,Products!$A:$D,4,FALSE),"")</f>
        <v>2214</v>
      </c>
      <c r="Q709" s="33">
        <f t="shared" si="11"/>
        <v>0.39508196721311473</v>
      </c>
    </row>
    <row r="710" spans="1:17" x14ac:dyDescent="0.3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  <c r="L710" t="str">
        <f>IFERROR(VLOOKUP(D710,Products!$A:$C,3,FALSE),"")</f>
        <v>Electronics</v>
      </c>
      <c r="M710" t="str">
        <f>IFERROR(VLOOKUP(C710,Customers!$A:$E,5,FALSE),"")</f>
        <v>Retail</v>
      </c>
      <c r="N710">
        <f>IFERROR(VLOOKUP(C710,Customers!$A:$E,3,FALSE),"")</f>
        <v>39</v>
      </c>
      <c r="O710" s="33" t="str">
        <f>IFERROR(VLOOKUP(E710,Sales_Reps!$A:$C,3,FALSE),"")</f>
        <v>West</v>
      </c>
      <c r="P710" s="33">
        <f>IFERROR(VLOOKUP(D710,Products!$A:$D,4,FALSE),"")</f>
        <v>517</v>
      </c>
      <c r="Q710" s="33">
        <f t="shared" si="11"/>
        <v>0.57622950819672136</v>
      </c>
    </row>
    <row r="711" spans="1:17" x14ac:dyDescent="0.3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  <c r="L711" t="str">
        <f>IFERROR(VLOOKUP(D711,Products!$A:$C,3,FALSE),"")</f>
        <v>Sports</v>
      </c>
      <c r="M711" t="str">
        <f>IFERROR(VLOOKUP(C711,Customers!$A:$E,5,FALSE),"")</f>
        <v>SMB</v>
      </c>
      <c r="N711">
        <f>IFERROR(VLOOKUP(C711,Customers!$A:$E,3,FALSE),"")</f>
        <v>28</v>
      </c>
      <c r="O711" s="33" t="str">
        <f>IFERROR(VLOOKUP(E711,Sales_Reps!$A:$C,3,FALSE),"")</f>
        <v>North</v>
      </c>
      <c r="P711" s="33">
        <f>IFERROR(VLOOKUP(D711,Products!$A:$D,4,FALSE),"")</f>
        <v>2265</v>
      </c>
      <c r="Q711" s="33">
        <f t="shared" si="11"/>
        <v>0.58133086876155271</v>
      </c>
    </row>
    <row r="712" spans="1:17" x14ac:dyDescent="0.3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  <c r="L712" t="str">
        <f>IFERROR(VLOOKUP(D712,Products!$A:$C,3,FALSE),"")</f>
        <v>Home</v>
      </c>
      <c r="M712" t="str">
        <f>IFERROR(VLOOKUP(C712,Customers!$A:$E,5,FALSE),"")</f>
        <v>Retail</v>
      </c>
      <c r="N712">
        <f>IFERROR(VLOOKUP(C712,Customers!$A:$E,3,FALSE),"")</f>
        <v>22</v>
      </c>
      <c r="O712" s="33" t="str">
        <f>IFERROR(VLOOKUP(E712,Sales_Reps!$A:$C,3,FALSE),"")</f>
        <v>South</v>
      </c>
      <c r="P712" s="33">
        <f>IFERROR(VLOOKUP(D712,Products!$A:$D,4,FALSE),"")</f>
        <v>1143</v>
      </c>
      <c r="Q712" s="33">
        <f t="shared" si="11"/>
        <v>0.43694581280788175</v>
      </c>
    </row>
    <row r="713" spans="1:17" x14ac:dyDescent="0.3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  <c r="L713" t="str">
        <f>IFERROR(VLOOKUP(D713,Products!$A:$C,3,FALSE),"")</f>
        <v>Electronics</v>
      </c>
      <c r="M713" t="str">
        <f>IFERROR(VLOOKUP(C713,Customers!$A:$E,5,FALSE),"")</f>
        <v>Retail</v>
      </c>
      <c r="N713">
        <f>IFERROR(VLOOKUP(C713,Customers!$A:$E,3,FALSE),"")</f>
        <v>26</v>
      </c>
      <c r="O713" s="33" t="str">
        <f>IFERROR(VLOOKUP(E713,Sales_Reps!$A:$C,3,FALSE),"")</f>
        <v>South</v>
      </c>
      <c r="P713" s="33">
        <f>IFERROR(VLOOKUP(D713,Products!$A:$D,4,FALSE),"")</f>
        <v>517</v>
      </c>
      <c r="Q713" s="33">
        <f t="shared" si="11"/>
        <v>0.57622950819672136</v>
      </c>
    </row>
    <row r="714" spans="1:17" x14ac:dyDescent="0.3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  <c r="L714" t="str">
        <f>IFERROR(VLOOKUP(D714,Products!$A:$C,3,FALSE),"")</f>
        <v>Electronics</v>
      </c>
      <c r="M714" t="str">
        <f>IFERROR(VLOOKUP(C714,Customers!$A:$E,5,FALSE),"")</f>
        <v>Corporate</v>
      </c>
      <c r="N714">
        <f>IFERROR(VLOOKUP(C714,Customers!$A:$E,3,FALSE),"")</f>
        <v>55</v>
      </c>
      <c r="O714" s="33" t="str">
        <f>IFERROR(VLOOKUP(E714,Sales_Reps!$A:$C,3,FALSE),"")</f>
        <v>North</v>
      </c>
      <c r="P714" s="33">
        <f>IFERROR(VLOOKUP(D714,Products!$A:$D,4,FALSE),"")</f>
        <v>1259</v>
      </c>
      <c r="Q714" s="33">
        <f t="shared" si="11"/>
        <v>0.52669172932330832</v>
      </c>
    </row>
    <row r="715" spans="1:17" x14ac:dyDescent="0.3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  <c r="L715" t="str">
        <f>IFERROR(VLOOKUP(D715,Products!$A:$C,3,FALSE),"")</f>
        <v>Grocery</v>
      </c>
      <c r="M715" t="str">
        <f>IFERROR(VLOOKUP(C715,Customers!$A:$E,5,FALSE),"")</f>
        <v>SMB</v>
      </c>
      <c r="N715">
        <f>IFERROR(VLOOKUP(C715,Customers!$A:$E,3,FALSE),"")</f>
        <v>42</v>
      </c>
      <c r="O715" s="33" t="str">
        <f>IFERROR(VLOOKUP(E715,Sales_Reps!$A:$C,3,FALSE),"")</f>
        <v>South</v>
      </c>
      <c r="P715" s="33">
        <f>IFERROR(VLOOKUP(D715,Products!$A:$D,4,FALSE),"")</f>
        <v>2027</v>
      </c>
      <c r="Q715" s="33">
        <f t="shared" si="11"/>
        <v>0.50196560196560192</v>
      </c>
    </row>
    <row r="716" spans="1:17" x14ac:dyDescent="0.3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  <c r="L716" t="str">
        <f>IFERROR(VLOOKUP(D716,Products!$A:$C,3,FALSE),"")</f>
        <v>Beauty</v>
      </c>
      <c r="M716" t="str">
        <f>IFERROR(VLOOKUP(C716,Customers!$A:$E,5,FALSE),"")</f>
        <v>Retail</v>
      </c>
      <c r="N716">
        <f>IFERROR(VLOOKUP(C716,Customers!$A:$E,3,FALSE),"")</f>
        <v>31</v>
      </c>
      <c r="O716" s="33" t="str">
        <f>IFERROR(VLOOKUP(E716,Sales_Reps!$A:$C,3,FALSE),"")</f>
        <v>South</v>
      </c>
      <c r="P716" s="33">
        <f>IFERROR(VLOOKUP(D716,Products!$A:$D,4,FALSE),"")</f>
        <v>675</v>
      </c>
      <c r="Q716" s="33">
        <f t="shared" si="11"/>
        <v>0.296875</v>
      </c>
    </row>
    <row r="717" spans="1:17" x14ac:dyDescent="0.3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  <c r="L717" t="str">
        <f>IFERROR(VLOOKUP(D717,Products!$A:$C,3,FALSE),"")</f>
        <v>Home</v>
      </c>
      <c r="M717" t="str">
        <f>IFERROR(VLOOKUP(C717,Customers!$A:$E,5,FALSE),"")</f>
        <v>Corporate</v>
      </c>
      <c r="N717">
        <f>IFERROR(VLOOKUP(C717,Customers!$A:$E,3,FALSE),"")</f>
        <v>49</v>
      </c>
      <c r="O717" s="33" t="str">
        <f>IFERROR(VLOOKUP(E717,Sales_Reps!$A:$C,3,FALSE),"")</f>
        <v>West</v>
      </c>
      <c r="P717" s="33">
        <f>IFERROR(VLOOKUP(D717,Products!$A:$D,4,FALSE),"")</f>
        <v>2135</v>
      </c>
      <c r="Q717" s="33">
        <f t="shared" si="11"/>
        <v>0.42761394101876676</v>
      </c>
    </row>
    <row r="718" spans="1:17" x14ac:dyDescent="0.3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  <c r="L718" t="str">
        <f>IFERROR(VLOOKUP(D718,Products!$A:$C,3,FALSE),"")</f>
        <v>Sports</v>
      </c>
      <c r="M718" t="str">
        <f>IFERROR(VLOOKUP(C718,Customers!$A:$E,5,FALSE),"")</f>
        <v>SMB</v>
      </c>
      <c r="N718">
        <f>IFERROR(VLOOKUP(C718,Customers!$A:$E,3,FALSE),"")</f>
        <v>62</v>
      </c>
      <c r="O718" s="33" t="str">
        <f>IFERROR(VLOOKUP(E718,Sales_Reps!$A:$C,3,FALSE),"")</f>
        <v>North</v>
      </c>
      <c r="P718" s="33">
        <f>IFERROR(VLOOKUP(D718,Products!$A:$D,4,FALSE),"")</f>
        <v>705</v>
      </c>
      <c r="Q718" s="33">
        <f t="shared" si="11"/>
        <v>0.265625</v>
      </c>
    </row>
    <row r="719" spans="1:17" x14ac:dyDescent="0.3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  <c r="L719" t="str">
        <f>IFERROR(VLOOKUP(D719,Products!$A:$C,3,FALSE),"")</f>
        <v>Apparel</v>
      </c>
      <c r="M719" t="str">
        <f>IFERROR(VLOOKUP(C719,Customers!$A:$E,5,FALSE),"")</f>
        <v>Retail</v>
      </c>
      <c r="N719">
        <f>IFERROR(VLOOKUP(C719,Customers!$A:$E,3,FALSE),"")</f>
        <v>38</v>
      </c>
      <c r="O719" s="33" t="str">
        <f>IFERROR(VLOOKUP(E719,Sales_Reps!$A:$C,3,FALSE),"")</f>
        <v>North</v>
      </c>
      <c r="P719" s="33">
        <f>IFERROR(VLOOKUP(D719,Products!$A:$D,4,FALSE),"")</f>
        <v>1748</v>
      </c>
      <c r="Q719" s="33">
        <f t="shared" si="11"/>
        <v>0.49333333333333335</v>
      </c>
    </row>
    <row r="720" spans="1:17" x14ac:dyDescent="0.3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  <c r="L720" t="str">
        <f>IFERROR(VLOOKUP(D720,Products!$A:$C,3,FALSE),"")</f>
        <v>Sports</v>
      </c>
      <c r="M720" t="str">
        <f>IFERROR(VLOOKUP(C720,Customers!$A:$E,5,FALSE),"")</f>
        <v>Corporate</v>
      </c>
      <c r="N720">
        <f>IFERROR(VLOOKUP(C720,Customers!$A:$E,3,FALSE),"")</f>
        <v>41</v>
      </c>
      <c r="O720" s="33" t="str">
        <f>IFERROR(VLOOKUP(E720,Sales_Reps!$A:$C,3,FALSE),"")</f>
        <v>South</v>
      </c>
      <c r="P720" s="33">
        <f>IFERROR(VLOOKUP(D720,Products!$A:$D,4,FALSE),"")</f>
        <v>2265</v>
      </c>
      <c r="Q720" s="33">
        <f t="shared" si="11"/>
        <v>0.58133086876155271</v>
      </c>
    </row>
    <row r="721" spans="1:17" x14ac:dyDescent="0.3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  <c r="L721" t="str">
        <f>IFERROR(VLOOKUP(D721,Products!$A:$C,3,FALSE),"")</f>
        <v>Beauty</v>
      </c>
      <c r="M721" t="str">
        <f>IFERROR(VLOOKUP(C721,Customers!$A:$E,5,FALSE),"")</f>
        <v>SMB</v>
      </c>
      <c r="N721">
        <f>IFERROR(VLOOKUP(C721,Customers!$A:$E,3,FALSE),"")</f>
        <v>65</v>
      </c>
      <c r="O721" s="33" t="str">
        <f>IFERROR(VLOOKUP(E721,Sales_Reps!$A:$C,3,FALSE),"")</f>
        <v>East</v>
      </c>
      <c r="P721" s="33">
        <f>IFERROR(VLOOKUP(D721,Products!$A:$D,4,FALSE),"")</f>
        <v>1728</v>
      </c>
      <c r="Q721" s="33">
        <f t="shared" si="11"/>
        <v>0.48417910447761192</v>
      </c>
    </row>
    <row r="722" spans="1:17" x14ac:dyDescent="0.3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  <c r="L722" t="str">
        <f>IFERROR(VLOOKUP(D722,Products!$A:$C,3,FALSE),"")</f>
        <v>Apparel</v>
      </c>
      <c r="M722" t="str">
        <f>IFERROR(VLOOKUP(C722,Customers!$A:$E,5,FALSE),"")</f>
        <v>Retail</v>
      </c>
      <c r="N722">
        <f>IFERROR(VLOOKUP(C722,Customers!$A:$E,3,FALSE),"")</f>
        <v>53</v>
      </c>
      <c r="O722" s="33" t="str">
        <f>IFERROR(VLOOKUP(E722,Sales_Reps!$A:$C,3,FALSE),"")</f>
        <v>North</v>
      </c>
      <c r="P722" s="33">
        <f>IFERROR(VLOOKUP(D722,Products!$A:$D,4,FALSE),"")</f>
        <v>1962</v>
      </c>
      <c r="Q722" s="33">
        <f t="shared" si="11"/>
        <v>0.2786764705882353</v>
      </c>
    </row>
    <row r="723" spans="1:17" x14ac:dyDescent="0.3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  <c r="L723" t="str">
        <f>IFERROR(VLOOKUP(D723,Products!$A:$C,3,FALSE),"")</f>
        <v>Grocery</v>
      </c>
      <c r="M723" t="str">
        <f>IFERROR(VLOOKUP(C723,Customers!$A:$E,5,FALSE),"")</f>
        <v>Retail</v>
      </c>
      <c r="N723">
        <f>IFERROR(VLOOKUP(C723,Customers!$A:$E,3,FALSE),"")</f>
        <v>27</v>
      </c>
      <c r="O723" s="33" t="str">
        <f>IFERROR(VLOOKUP(E723,Sales_Reps!$A:$C,3,FALSE),"")</f>
        <v>East</v>
      </c>
      <c r="P723" s="33">
        <f>IFERROR(VLOOKUP(D723,Products!$A:$D,4,FALSE),"")</f>
        <v>2214</v>
      </c>
      <c r="Q723" s="33">
        <f t="shared" si="11"/>
        <v>0.39508196721311473</v>
      </c>
    </row>
    <row r="724" spans="1:17" x14ac:dyDescent="0.3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  <c r="L724" t="str">
        <f>IFERROR(VLOOKUP(D724,Products!$A:$C,3,FALSE),"")</f>
        <v>Electronics</v>
      </c>
      <c r="M724" t="str">
        <f>IFERROR(VLOOKUP(C724,Customers!$A:$E,5,FALSE),"")</f>
        <v>SMB</v>
      </c>
      <c r="N724">
        <f>IFERROR(VLOOKUP(C724,Customers!$A:$E,3,FALSE),"")</f>
        <v>59</v>
      </c>
      <c r="O724" s="33" t="str">
        <f>IFERROR(VLOOKUP(E724,Sales_Reps!$A:$C,3,FALSE),"")</f>
        <v>South</v>
      </c>
      <c r="P724" s="33">
        <f>IFERROR(VLOOKUP(D724,Products!$A:$D,4,FALSE),"")</f>
        <v>128</v>
      </c>
      <c r="Q724" s="33">
        <f t="shared" si="11"/>
        <v>0.57333333333333336</v>
      </c>
    </row>
    <row r="725" spans="1:17" x14ac:dyDescent="0.3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  <c r="L725" t="str">
        <f>IFERROR(VLOOKUP(D725,Products!$A:$C,3,FALSE),"")</f>
        <v>Beauty</v>
      </c>
      <c r="M725" t="str">
        <f>IFERROR(VLOOKUP(C725,Customers!$A:$E,5,FALSE),"")</f>
        <v>Corporate</v>
      </c>
      <c r="N725">
        <f>IFERROR(VLOOKUP(C725,Customers!$A:$E,3,FALSE),"")</f>
        <v>52</v>
      </c>
      <c r="O725" s="33" t="str">
        <f>IFERROR(VLOOKUP(E725,Sales_Reps!$A:$C,3,FALSE),"")</f>
        <v>West</v>
      </c>
      <c r="P725" s="33">
        <f>IFERROR(VLOOKUP(D725,Products!$A:$D,4,FALSE),"")</f>
        <v>1219</v>
      </c>
      <c r="Q725" s="33">
        <f t="shared" si="11"/>
        <v>0.46768558951965067</v>
      </c>
    </row>
    <row r="726" spans="1:17" x14ac:dyDescent="0.3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  <c r="L726" t="str">
        <f>IFERROR(VLOOKUP(D726,Products!$A:$C,3,FALSE),"")</f>
        <v>Beauty</v>
      </c>
      <c r="M726" t="str">
        <f>IFERROR(VLOOKUP(C726,Customers!$A:$E,5,FALSE),"")</f>
        <v>Corporate</v>
      </c>
      <c r="N726">
        <f>IFERROR(VLOOKUP(C726,Customers!$A:$E,3,FALSE),"")</f>
        <v>52</v>
      </c>
      <c r="O726" s="33" t="str">
        <f>IFERROR(VLOOKUP(E726,Sales_Reps!$A:$C,3,FALSE),"")</f>
        <v>South</v>
      </c>
      <c r="P726" s="33">
        <f>IFERROR(VLOOKUP(D726,Products!$A:$D,4,FALSE),"")</f>
        <v>2768</v>
      </c>
      <c r="Q726" s="33">
        <f t="shared" si="11"/>
        <v>0.43278688524590164</v>
      </c>
    </row>
    <row r="727" spans="1:17" x14ac:dyDescent="0.3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  <c r="L727" t="str">
        <f>IFERROR(VLOOKUP(D727,Products!$A:$C,3,FALSE),"")</f>
        <v>Electronics</v>
      </c>
      <c r="M727" t="str">
        <f>IFERROR(VLOOKUP(C727,Customers!$A:$E,5,FALSE),"")</f>
        <v>Retail</v>
      </c>
      <c r="N727">
        <f>IFERROR(VLOOKUP(C727,Customers!$A:$E,3,FALSE),"")</f>
        <v>36</v>
      </c>
      <c r="O727" s="33" t="str">
        <f>IFERROR(VLOOKUP(E727,Sales_Reps!$A:$C,3,FALSE),"")</f>
        <v>North</v>
      </c>
      <c r="P727" s="33">
        <f>IFERROR(VLOOKUP(D727,Products!$A:$D,4,FALSE),"")</f>
        <v>128</v>
      </c>
      <c r="Q727" s="33">
        <f t="shared" si="11"/>
        <v>0.57333333333333336</v>
      </c>
    </row>
    <row r="728" spans="1:17" x14ac:dyDescent="0.3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  <c r="L728" t="str">
        <f>IFERROR(VLOOKUP(D728,Products!$A:$C,3,FALSE),"")</f>
        <v>Electronics</v>
      </c>
      <c r="M728" t="str">
        <f>IFERROR(VLOOKUP(C728,Customers!$A:$E,5,FALSE),"")</f>
        <v>SMB</v>
      </c>
      <c r="N728">
        <f>IFERROR(VLOOKUP(C728,Customers!$A:$E,3,FALSE),"")</f>
        <v>25</v>
      </c>
      <c r="O728" s="33" t="str">
        <f>IFERROR(VLOOKUP(E728,Sales_Reps!$A:$C,3,FALSE),"")</f>
        <v>West</v>
      </c>
      <c r="P728" s="33">
        <f>IFERROR(VLOOKUP(D728,Products!$A:$D,4,FALSE),"")</f>
        <v>1259</v>
      </c>
      <c r="Q728" s="33">
        <f t="shared" si="11"/>
        <v>0.52669172932330832</v>
      </c>
    </row>
    <row r="729" spans="1:17" x14ac:dyDescent="0.3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  <c r="L729" t="str">
        <f>IFERROR(VLOOKUP(D729,Products!$A:$C,3,FALSE),"")</f>
        <v>Home</v>
      </c>
      <c r="M729" t="str">
        <f>IFERROR(VLOOKUP(C729,Customers!$A:$E,5,FALSE),"")</f>
        <v>Retail</v>
      </c>
      <c r="N729">
        <f>IFERROR(VLOOKUP(C729,Customers!$A:$E,3,FALSE),"")</f>
        <v>52</v>
      </c>
      <c r="O729" s="33" t="str">
        <f>IFERROR(VLOOKUP(E729,Sales_Reps!$A:$C,3,FALSE),"")</f>
        <v>West</v>
      </c>
      <c r="P729" s="33">
        <f>IFERROR(VLOOKUP(D729,Products!$A:$D,4,FALSE),"")</f>
        <v>464</v>
      </c>
      <c r="Q729" s="33">
        <f t="shared" si="11"/>
        <v>0.57431192660550456</v>
      </c>
    </row>
    <row r="730" spans="1:17" x14ac:dyDescent="0.3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  <c r="L730" t="str">
        <f>IFERROR(VLOOKUP(D730,Products!$A:$C,3,FALSE),"")</f>
        <v>Electronics</v>
      </c>
      <c r="M730" t="str">
        <f>IFERROR(VLOOKUP(C730,Customers!$A:$E,5,FALSE),"")</f>
        <v>Corporate</v>
      </c>
      <c r="N730">
        <f>IFERROR(VLOOKUP(C730,Customers!$A:$E,3,FALSE),"")</f>
        <v>29</v>
      </c>
      <c r="O730" s="33" t="str">
        <f>IFERROR(VLOOKUP(E730,Sales_Reps!$A:$C,3,FALSE),"")</f>
        <v>South</v>
      </c>
      <c r="P730" s="33">
        <f>IFERROR(VLOOKUP(D730,Products!$A:$D,4,FALSE),"")</f>
        <v>861</v>
      </c>
      <c r="Q730" s="33">
        <f t="shared" si="11"/>
        <v>0.39790209790209791</v>
      </c>
    </row>
    <row r="731" spans="1:17" x14ac:dyDescent="0.3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  <c r="L731" t="str">
        <f>IFERROR(VLOOKUP(D731,Products!$A:$C,3,FALSE),"")</f>
        <v>Electronics</v>
      </c>
      <c r="M731" t="str">
        <f>IFERROR(VLOOKUP(C731,Customers!$A:$E,5,FALSE),"")</f>
        <v>Retail</v>
      </c>
      <c r="N731">
        <f>IFERROR(VLOOKUP(C731,Customers!$A:$E,3,FALSE),"")</f>
        <v>37</v>
      </c>
      <c r="O731" s="33" t="str">
        <f>IFERROR(VLOOKUP(E731,Sales_Reps!$A:$C,3,FALSE),"")</f>
        <v>North</v>
      </c>
      <c r="P731" s="33">
        <f>IFERROR(VLOOKUP(D731,Products!$A:$D,4,FALSE),"")</f>
        <v>1149</v>
      </c>
      <c r="Q731" s="33">
        <f t="shared" si="11"/>
        <v>0.56477272727272732</v>
      </c>
    </row>
    <row r="732" spans="1:17" x14ac:dyDescent="0.3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  <c r="L732" t="str">
        <f>IFERROR(VLOOKUP(D732,Products!$A:$C,3,FALSE),"")</f>
        <v>Apparel</v>
      </c>
      <c r="M732" t="str">
        <f>IFERROR(VLOOKUP(C732,Customers!$A:$E,5,FALSE),"")</f>
        <v>Corporate</v>
      </c>
      <c r="N732">
        <f>IFERROR(VLOOKUP(C732,Customers!$A:$E,3,FALSE),"")</f>
        <v>52</v>
      </c>
      <c r="O732" s="33" t="str">
        <f>IFERROR(VLOOKUP(E732,Sales_Reps!$A:$C,3,FALSE),"")</f>
        <v>North</v>
      </c>
      <c r="P732" s="33">
        <f>IFERROR(VLOOKUP(D732,Products!$A:$D,4,FALSE),"")</f>
        <v>1962</v>
      </c>
      <c r="Q732" s="33">
        <f t="shared" si="11"/>
        <v>0.2786764705882353</v>
      </c>
    </row>
    <row r="733" spans="1:17" x14ac:dyDescent="0.3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  <c r="L733" t="str">
        <f>IFERROR(VLOOKUP(D733,Products!$A:$C,3,FALSE),"")</f>
        <v>Apparel</v>
      </c>
      <c r="M733" t="str">
        <f>IFERROR(VLOOKUP(C733,Customers!$A:$E,5,FALSE),"")</f>
        <v>Corporate</v>
      </c>
      <c r="N733">
        <f>IFERROR(VLOOKUP(C733,Customers!$A:$E,3,FALSE),"")</f>
        <v>52</v>
      </c>
      <c r="O733" s="33" t="str">
        <f>IFERROR(VLOOKUP(E733,Sales_Reps!$A:$C,3,FALSE),"")</f>
        <v>South</v>
      </c>
      <c r="P733" s="33">
        <f>IFERROR(VLOOKUP(D733,Products!$A:$D,4,FALSE),"")</f>
        <v>2611</v>
      </c>
      <c r="Q733" s="33">
        <f t="shared" si="11"/>
        <v>0.28269230769230769</v>
      </c>
    </row>
    <row r="734" spans="1:17" x14ac:dyDescent="0.3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  <c r="L734" t="str">
        <f>IFERROR(VLOOKUP(D734,Products!$A:$C,3,FALSE),"")</f>
        <v>Beauty</v>
      </c>
      <c r="M734" t="str">
        <f>IFERROR(VLOOKUP(C734,Customers!$A:$E,5,FALSE),"")</f>
        <v/>
      </c>
      <c r="N734" t="str">
        <f>IFERROR(VLOOKUP(C734,Customers!$A:$E,3,FALSE),"")</f>
        <v/>
      </c>
      <c r="O734" s="33" t="str">
        <f>IFERROR(VLOOKUP(E734,Sales_Reps!$A:$C,3,FALSE),"")</f>
        <v>East</v>
      </c>
      <c r="P734" s="33">
        <f>IFERROR(VLOOKUP(D734,Products!$A:$D,4,FALSE),"")</f>
        <v>2617</v>
      </c>
      <c r="Q734" s="33">
        <f t="shared" si="11"/>
        <v>0.56957236842105263</v>
      </c>
    </row>
    <row r="735" spans="1:17" x14ac:dyDescent="0.3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  <c r="L735" t="str">
        <f>IFERROR(VLOOKUP(D735,Products!$A:$C,3,FALSE),"")</f>
        <v>Electronics</v>
      </c>
      <c r="M735" t="str">
        <f>IFERROR(VLOOKUP(C735,Customers!$A:$E,5,FALSE),"")</f>
        <v>Corporate</v>
      </c>
      <c r="N735">
        <f>IFERROR(VLOOKUP(C735,Customers!$A:$E,3,FALSE),"")</f>
        <v>41</v>
      </c>
      <c r="O735" s="33" t="str">
        <f>IFERROR(VLOOKUP(E735,Sales_Reps!$A:$C,3,FALSE),"")</f>
        <v>South</v>
      </c>
      <c r="P735" s="33">
        <f>IFERROR(VLOOKUP(D735,Products!$A:$D,4,FALSE),"")</f>
        <v>2405</v>
      </c>
      <c r="Q735" s="33">
        <f t="shared" si="11"/>
        <v>0.54878048780487809</v>
      </c>
    </row>
    <row r="736" spans="1:17" x14ac:dyDescent="0.3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  <c r="L736" t="str">
        <f>IFERROR(VLOOKUP(D736,Products!$A:$C,3,FALSE),"")</f>
        <v>Home</v>
      </c>
      <c r="M736" t="str">
        <f>IFERROR(VLOOKUP(C736,Customers!$A:$E,5,FALSE),"")</f>
        <v>Retail</v>
      </c>
      <c r="N736">
        <f>IFERROR(VLOOKUP(C736,Customers!$A:$E,3,FALSE),"")</f>
        <v>61</v>
      </c>
      <c r="O736" s="33" t="str">
        <f>IFERROR(VLOOKUP(E736,Sales_Reps!$A:$C,3,FALSE),"")</f>
        <v>West</v>
      </c>
      <c r="P736" s="33">
        <f>IFERROR(VLOOKUP(D736,Products!$A:$D,4,FALSE),"")</f>
        <v>1850</v>
      </c>
      <c r="Q736" s="33">
        <f t="shared" si="11"/>
        <v>0.59869848156182215</v>
      </c>
    </row>
    <row r="737" spans="1:17" x14ac:dyDescent="0.3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  <c r="L737" t="str">
        <f>IFERROR(VLOOKUP(D737,Products!$A:$C,3,FALSE),"")</f>
        <v>Electronics</v>
      </c>
      <c r="M737" t="str">
        <f>IFERROR(VLOOKUP(C737,Customers!$A:$E,5,FALSE),"")</f>
        <v>Retail</v>
      </c>
      <c r="N737">
        <f>IFERROR(VLOOKUP(C737,Customers!$A:$E,3,FALSE),"")</f>
        <v>36</v>
      </c>
      <c r="O737" s="33" t="str">
        <f>IFERROR(VLOOKUP(E737,Sales_Reps!$A:$C,3,FALSE),"")</f>
        <v>West</v>
      </c>
      <c r="P737" s="33">
        <f>IFERROR(VLOOKUP(D737,Products!$A:$D,4,FALSE),"")</f>
        <v>2405</v>
      </c>
      <c r="Q737" s="33">
        <f t="shared" si="11"/>
        <v>0.54878048780487809</v>
      </c>
    </row>
    <row r="738" spans="1:17" x14ac:dyDescent="0.3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  <c r="L738" t="str">
        <f>IFERROR(VLOOKUP(D738,Products!$A:$C,3,FALSE),"")</f>
        <v>Beauty</v>
      </c>
      <c r="M738" t="str">
        <f>IFERROR(VLOOKUP(C738,Customers!$A:$E,5,FALSE),"")</f>
        <v>Retail</v>
      </c>
      <c r="N738">
        <f>IFERROR(VLOOKUP(C738,Customers!$A:$E,3,FALSE),"")</f>
        <v>49</v>
      </c>
      <c r="O738" s="33" t="str">
        <f>IFERROR(VLOOKUP(E738,Sales_Reps!$A:$C,3,FALSE),"")</f>
        <v>East</v>
      </c>
      <c r="P738" s="33">
        <f>IFERROR(VLOOKUP(D738,Products!$A:$D,4,FALSE),"")</f>
        <v>2617</v>
      </c>
      <c r="Q738" s="33">
        <f t="shared" si="11"/>
        <v>0.56957236842105263</v>
      </c>
    </row>
    <row r="739" spans="1:17" x14ac:dyDescent="0.3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  <c r="L739" t="str">
        <f>IFERROR(VLOOKUP(D739,Products!$A:$C,3,FALSE),"")</f>
        <v>Apparel</v>
      </c>
      <c r="M739" t="str">
        <f>IFERROR(VLOOKUP(C739,Customers!$A:$E,5,FALSE),"")</f>
        <v>Corporate</v>
      </c>
      <c r="N739">
        <f>IFERROR(VLOOKUP(C739,Customers!$A:$E,3,FALSE),"")</f>
        <v>51</v>
      </c>
      <c r="O739" s="33" t="str">
        <f>IFERROR(VLOOKUP(E739,Sales_Reps!$A:$C,3,FALSE),"")</f>
        <v>East</v>
      </c>
      <c r="P739" s="33">
        <f>IFERROR(VLOOKUP(D739,Products!$A:$D,4,FALSE),"")</f>
        <v>2611</v>
      </c>
      <c r="Q739" s="33">
        <f t="shared" si="11"/>
        <v>0.28269230769230769</v>
      </c>
    </row>
    <row r="740" spans="1:17" x14ac:dyDescent="0.3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  <c r="L740" t="str">
        <f>IFERROR(VLOOKUP(D740,Products!$A:$C,3,FALSE),"")</f>
        <v>Electronics</v>
      </c>
      <c r="M740" t="str">
        <f>IFERROR(VLOOKUP(C740,Customers!$A:$E,5,FALSE),"")</f>
        <v>Corporate</v>
      </c>
      <c r="N740">
        <f>IFERROR(VLOOKUP(C740,Customers!$A:$E,3,FALSE),"")</f>
        <v>35</v>
      </c>
      <c r="O740" s="33" t="str">
        <f>IFERROR(VLOOKUP(E740,Sales_Reps!$A:$C,3,FALSE),"")</f>
        <v>South</v>
      </c>
      <c r="P740" s="33">
        <f>IFERROR(VLOOKUP(D740,Products!$A:$D,4,FALSE),"")</f>
        <v>1259</v>
      </c>
      <c r="Q740" s="33">
        <f t="shared" si="11"/>
        <v>0.52669172932330832</v>
      </c>
    </row>
    <row r="741" spans="1:17" x14ac:dyDescent="0.3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  <c r="L741" t="str">
        <f>IFERROR(VLOOKUP(D741,Products!$A:$C,3,FALSE),"")</f>
        <v>Beauty</v>
      </c>
      <c r="M741" t="str">
        <f>IFERROR(VLOOKUP(C741,Customers!$A:$E,5,FALSE),"")</f>
        <v>SMB</v>
      </c>
      <c r="N741">
        <f>IFERROR(VLOOKUP(C741,Customers!$A:$E,3,FALSE),"")</f>
        <v>29</v>
      </c>
      <c r="O741" s="33" t="str">
        <f>IFERROR(VLOOKUP(E741,Sales_Reps!$A:$C,3,FALSE),"")</f>
        <v>South</v>
      </c>
      <c r="P741" s="33">
        <f>IFERROR(VLOOKUP(D741,Products!$A:$D,4,FALSE),"")</f>
        <v>1728</v>
      </c>
      <c r="Q741" s="33">
        <f t="shared" si="11"/>
        <v>0.48417910447761192</v>
      </c>
    </row>
    <row r="742" spans="1:17" x14ac:dyDescent="0.3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  <c r="L742" t="str">
        <f>IFERROR(VLOOKUP(D742,Products!$A:$C,3,FALSE),"")</f>
        <v>Home</v>
      </c>
      <c r="M742" t="str">
        <f>IFERROR(VLOOKUP(C742,Customers!$A:$E,5,FALSE),"")</f>
        <v>SMB</v>
      </c>
      <c r="N742">
        <f>IFERROR(VLOOKUP(C742,Customers!$A:$E,3,FALSE),"")</f>
        <v>44</v>
      </c>
      <c r="O742" s="33" t="str">
        <f>IFERROR(VLOOKUP(E742,Sales_Reps!$A:$C,3,FALSE),"")</f>
        <v>East</v>
      </c>
      <c r="P742" s="33">
        <f>IFERROR(VLOOKUP(D742,Products!$A:$D,4,FALSE),"")</f>
        <v>1850</v>
      </c>
      <c r="Q742" s="33">
        <f t="shared" si="11"/>
        <v>0.59869848156182215</v>
      </c>
    </row>
    <row r="743" spans="1:17" x14ac:dyDescent="0.3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  <c r="L743" t="str">
        <f>IFERROR(VLOOKUP(D743,Products!$A:$C,3,FALSE),"")</f>
        <v>Sports</v>
      </c>
      <c r="M743" t="str">
        <f>IFERROR(VLOOKUP(C743,Customers!$A:$E,5,FALSE),"")</f>
        <v>Corporate</v>
      </c>
      <c r="N743">
        <f>IFERROR(VLOOKUP(C743,Customers!$A:$E,3,FALSE),"")</f>
        <v>40</v>
      </c>
      <c r="O743" s="33" t="str">
        <f>IFERROR(VLOOKUP(E743,Sales_Reps!$A:$C,3,FALSE),"")</f>
        <v>South</v>
      </c>
      <c r="P743" s="33">
        <f>IFERROR(VLOOKUP(D743,Products!$A:$D,4,FALSE),"")</f>
        <v>2028</v>
      </c>
      <c r="Q743" s="33">
        <f t="shared" si="11"/>
        <v>0.29090909090909089</v>
      </c>
    </row>
    <row r="744" spans="1:17" x14ac:dyDescent="0.3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  <c r="L744" t="str">
        <f>IFERROR(VLOOKUP(D744,Products!$A:$C,3,FALSE),"")</f>
        <v>Beauty</v>
      </c>
      <c r="M744" t="str">
        <f>IFERROR(VLOOKUP(C744,Customers!$A:$E,5,FALSE),"")</f>
        <v>Retail</v>
      </c>
      <c r="N744">
        <f>IFERROR(VLOOKUP(C744,Customers!$A:$E,3,FALSE),"")</f>
        <v>36</v>
      </c>
      <c r="O744" s="33" t="str">
        <f>IFERROR(VLOOKUP(E744,Sales_Reps!$A:$C,3,FALSE),"")</f>
        <v>South</v>
      </c>
      <c r="P744" s="33">
        <f>IFERROR(VLOOKUP(D744,Products!$A:$D,4,FALSE),"")</f>
        <v>1728</v>
      </c>
      <c r="Q744" s="33">
        <f t="shared" si="11"/>
        <v>0.48417910447761192</v>
      </c>
    </row>
    <row r="745" spans="1:17" x14ac:dyDescent="0.3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  <c r="L745" t="str">
        <f>IFERROR(VLOOKUP(D745,Products!$A:$C,3,FALSE),"")</f>
        <v>Grocery</v>
      </c>
      <c r="M745" t="str">
        <f>IFERROR(VLOOKUP(C745,Customers!$A:$E,5,FALSE),"")</f>
        <v>Retail</v>
      </c>
      <c r="N745">
        <f>IFERROR(VLOOKUP(C745,Customers!$A:$E,3,FALSE),"")</f>
        <v>28</v>
      </c>
      <c r="O745" s="33" t="str">
        <f>IFERROR(VLOOKUP(E745,Sales_Reps!$A:$C,3,FALSE),"")</f>
        <v>West</v>
      </c>
      <c r="P745" s="33">
        <f>IFERROR(VLOOKUP(D745,Products!$A:$D,4,FALSE),"")</f>
        <v>1010</v>
      </c>
      <c r="Q745" s="33">
        <f t="shared" si="11"/>
        <v>0.54298642533936647</v>
      </c>
    </row>
    <row r="746" spans="1:17" x14ac:dyDescent="0.3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  <c r="L746" t="str">
        <f>IFERROR(VLOOKUP(D746,Products!$A:$C,3,FALSE),"")</f>
        <v>Beauty</v>
      </c>
      <c r="M746" t="str">
        <f>IFERROR(VLOOKUP(C746,Customers!$A:$E,5,FALSE),"")</f>
        <v>Corporate</v>
      </c>
      <c r="N746">
        <f>IFERROR(VLOOKUP(C746,Customers!$A:$E,3,FALSE),"")</f>
        <v>37</v>
      </c>
      <c r="O746" s="33" t="str">
        <f>IFERROR(VLOOKUP(E746,Sales_Reps!$A:$C,3,FALSE),"")</f>
        <v>South</v>
      </c>
      <c r="P746" s="33">
        <f>IFERROR(VLOOKUP(D746,Products!$A:$D,4,FALSE),"")</f>
        <v>2420</v>
      </c>
      <c r="Q746" s="33">
        <f t="shared" si="11"/>
        <v>0.29855072463768118</v>
      </c>
    </row>
    <row r="747" spans="1:17" x14ac:dyDescent="0.3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  <c r="L747" t="str">
        <f>IFERROR(VLOOKUP(D747,Products!$A:$C,3,FALSE),"")</f>
        <v>Beauty</v>
      </c>
      <c r="M747" t="str">
        <f>IFERROR(VLOOKUP(C747,Customers!$A:$E,5,FALSE),"")</f>
        <v>Retail</v>
      </c>
      <c r="N747">
        <f>IFERROR(VLOOKUP(C747,Customers!$A:$E,3,FALSE),"")</f>
        <v>38</v>
      </c>
      <c r="O747" s="33" t="str">
        <f>IFERROR(VLOOKUP(E747,Sales_Reps!$A:$C,3,FALSE),"")</f>
        <v>West</v>
      </c>
      <c r="P747" s="33">
        <f>IFERROR(VLOOKUP(D747,Products!$A:$D,4,FALSE),"")</f>
        <v>2237</v>
      </c>
      <c r="Q747" s="33">
        <f t="shared" si="11"/>
        <v>0.56137254901960787</v>
      </c>
    </row>
    <row r="748" spans="1:17" x14ac:dyDescent="0.3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  <c r="L748" t="str">
        <f>IFERROR(VLOOKUP(D748,Products!$A:$C,3,FALSE),"")</f>
        <v>Beauty</v>
      </c>
      <c r="M748" t="str">
        <f>IFERROR(VLOOKUP(C748,Customers!$A:$E,5,FALSE),"")</f>
        <v>Retail</v>
      </c>
      <c r="N748">
        <f>IFERROR(VLOOKUP(C748,Customers!$A:$E,3,FALSE),"")</f>
        <v>29</v>
      </c>
      <c r="O748" s="33" t="str">
        <f>IFERROR(VLOOKUP(E748,Sales_Reps!$A:$C,3,FALSE),"")</f>
        <v>North</v>
      </c>
      <c r="P748" s="33">
        <f>IFERROR(VLOOKUP(D748,Products!$A:$D,4,FALSE),"")</f>
        <v>2237</v>
      </c>
      <c r="Q748" s="33">
        <f t="shared" si="11"/>
        <v>0.56137254901960787</v>
      </c>
    </row>
    <row r="749" spans="1:17" x14ac:dyDescent="0.3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  <c r="L749" t="str">
        <f>IFERROR(VLOOKUP(D749,Products!$A:$C,3,FALSE),"")</f>
        <v>Home</v>
      </c>
      <c r="M749" t="str">
        <f>IFERROR(VLOOKUP(C749,Customers!$A:$E,5,FALSE),"")</f>
        <v>Retail</v>
      </c>
      <c r="N749">
        <f>IFERROR(VLOOKUP(C749,Customers!$A:$E,3,FALSE),"")</f>
        <v>41</v>
      </c>
      <c r="O749" s="33" t="str">
        <f>IFERROR(VLOOKUP(E749,Sales_Reps!$A:$C,3,FALSE),"")</f>
        <v>North</v>
      </c>
      <c r="P749" s="33">
        <f>IFERROR(VLOOKUP(D749,Products!$A:$D,4,FALSE),"")</f>
        <v>329</v>
      </c>
      <c r="Q749" s="33">
        <f t="shared" si="11"/>
        <v>0.50151515151515147</v>
      </c>
    </row>
    <row r="750" spans="1:17" x14ac:dyDescent="0.3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  <c r="L750" t="str">
        <f>IFERROR(VLOOKUP(D750,Products!$A:$C,3,FALSE),"")</f>
        <v>Grocery</v>
      </c>
      <c r="M750" t="str">
        <f>IFERROR(VLOOKUP(C750,Customers!$A:$E,5,FALSE),"")</f>
        <v>Retail</v>
      </c>
      <c r="N750">
        <f>IFERROR(VLOOKUP(C750,Customers!$A:$E,3,FALSE),"")</f>
        <v>44</v>
      </c>
      <c r="O750" s="33" t="str">
        <f>IFERROR(VLOOKUP(E750,Sales_Reps!$A:$C,3,FALSE),"")</f>
        <v>North</v>
      </c>
      <c r="P750" s="33">
        <f>IFERROR(VLOOKUP(D750,Products!$A:$D,4,FALSE),"")</f>
        <v>2027</v>
      </c>
      <c r="Q750" s="33">
        <f t="shared" si="11"/>
        <v>0.50196560196560192</v>
      </c>
    </row>
    <row r="751" spans="1:17" x14ac:dyDescent="0.3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  <c r="L751" t="str">
        <f>IFERROR(VLOOKUP(D751,Products!$A:$C,3,FALSE),"")</f>
        <v>Apparel</v>
      </c>
      <c r="M751" t="str">
        <f>IFERROR(VLOOKUP(C751,Customers!$A:$E,5,FALSE),"")</f>
        <v>SMB</v>
      </c>
      <c r="N751">
        <f>IFERROR(VLOOKUP(C751,Customers!$A:$E,3,FALSE),"")</f>
        <v>22</v>
      </c>
      <c r="O751" s="33" t="str">
        <f>IFERROR(VLOOKUP(E751,Sales_Reps!$A:$C,3,FALSE),"")</f>
        <v>North</v>
      </c>
      <c r="P751" s="33">
        <f>IFERROR(VLOOKUP(D751,Products!$A:$D,4,FALSE),"")</f>
        <v>1075</v>
      </c>
      <c r="Q751" s="33">
        <f t="shared" si="11"/>
        <v>0.57171314741035861</v>
      </c>
    </row>
    <row r="752" spans="1:17" x14ac:dyDescent="0.3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  <c r="L752" t="str">
        <f>IFERROR(VLOOKUP(D752,Products!$A:$C,3,FALSE),"")</f>
        <v>Home</v>
      </c>
      <c r="M752" t="str">
        <f>IFERROR(VLOOKUP(C752,Customers!$A:$E,5,FALSE),"")</f>
        <v>SMB</v>
      </c>
      <c r="N752">
        <f>IFERROR(VLOOKUP(C752,Customers!$A:$E,3,FALSE),"")</f>
        <v>29</v>
      </c>
      <c r="O752" s="33" t="str">
        <f>IFERROR(VLOOKUP(E752,Sales_Reps!$A:$C,3,FALSE),"")</f>
        <v>West</v>
      </c>
      <c r="P752" s="33">
        <f>IFERROR(VLOOKUP(D752,Products!$A:$D,4,FALSE),"")</f>
        <v>1556</v>
      </c>
      <c r="Q752" s="33">
        <f t="shared" si="11"/>
        <v>0.52123076923076928</v>
      </c>
    </row>
    <row r="753" spans="1:17" x14ac:dyDescent="0.3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  <c r="L753" t="str">
        <f>IFERROR(VLOOKUP(D753,Products!$A:$C,3,FALSE),"")</f>
        <v>Home</v>
      </c>
      <c r="M753" t="str">
        <f>IFERROR(VLOOKUP(C753,Customers!$A:$E,5,FALSE),"")</f>
        <v>Corporate</v>
      </c>
      <c r="N753">
        <f>IFERROR(VLOOKUP(C753,Customers!$A:$E,3,FALSE),"")</f>
        <v>26</v>
      </c>
      <c r="O753" s="33" t="str">
        <f>IFERROR(VLOOKUP(E753,Sales_Reps!$A:$C,3,FALSE),"")</f>
        <v>North</v>
      </c>
      <c r="P753" s="33">
        <f>IFERROR(VLOOKUP(D753,Products!$A:$D,4,FALSE),"")</f>
        <v>288</v>
      </c>
      <c r="Q753" s="33">
        <f t="shared" si="11"/>
        <v>0.22162162162162163</v>
      </c>
    </row>
    <row r="754" spans="1:17" x14ac:dyDescent="0.3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  <c r="L754" t="str">
        <f>IFERROR(VLOOKUP(D754,Products!$A:$C,3,FALSE),"")</f>
        <v>Apparel</v>
      </c>
      <c r="M754" t="str">
        <f>IFERROR(VLOOKUP(C754,Customers!$A:$E,5,FALSE),"")</f>
        <v>Corporate</v>
      </c>
      <c r="N754">
        <f>IFERROR(VLOOKUP(C754,Customers!$A:$E,3,FALSE),"")</f>
        <v>29</v>
      </c>
      <c r="O754" s="33" t="str">
        <f>IFERROR(VLOOKUP(E754,Sales_Reps!$A:$C,3,FALSE),"")</f>
        <v>North</v>
      </c>
      <c r="P754" s="33">
        <f>IFERROR(VLOOKUP(D754,Products!$A:$D,4,FALSE),"")</f>
        <v>391</v>
      </c>
      <c r="Q754" s="33">
        <f t="shared" si="11"/>
        <v>0.52317073170731709</v>
      </c>
    </row>
    <row r="755" spans="1:17" x14ac:dyDescent="0.3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  <c r="L755" t="str">
        <f>IFERROR(VLOOKUP(D755,Products!$A:$C,3,FALSE),"")</f>
        <v>Grocery</v>
      </c>
      <c r="M755" t="str">
        <f>IFERROR(VLOOKUP(C755,Customers!$A:$E,5,FALSE),"")</f>
        <v>Retail</v>
      </c>
      <c r="N755">
        <f>IFERROR(VLOOKUP(C755,Customers!$A:$E,3,FALSE),"")</f>
        <v>55</v>
      </c>
      <c r="O755" s="33" t="str">
        <f>IFERROR(VLOOKUP(E755,Sales_Reps!$A:$C,3,FALSE),"")</f>
        <v>West</v>
      </c>
      <c r="P755" s="33">
        <f>IFERROR(VLOOKUP(D755,Products!$A:$D,4,FALSE),"")</f>
        <v>2027</v>
      </c>
      <c r="Q755" s="33">
        <f t="shared" si="11"/>
        <v>0.50196560196560192</v>
      </c>
    </row>
    <row r="756" spans="1:17" x14ac:dyDescent="0.3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  <c r="L756" t="str">
        <f>IFERROR(VLOOKUP(D756,Products!$A:$C,3,FALSE),"")</f>
        <v>Grocery</v>
      </c>
      <c r="M756" t="str">
        <f>IFERROR(VLOOKUP(C756,Customers!$A:$E,5,FALSE),"")</f>
        <v>Retail</v>
      </c>
      <c r="N756">
        <f>IFERROR(VLOOKUP(C756,Customers!$A:$E,3,FALSE),"")</f>
        <v>29</v>
      </c>
      <c r="O756" s="33" t="str">
        <f>IFERROR(VLOOKUP(E756,Sales_Reps!$A:$C,3,FALSE),"")</f>
        <v>South</v>
      </c>
      <c r="P756" s="33">
        <f>IFERROR(VLOOKUP(D756,Products!$A:$D,4,FALSE),"")</f>
        <v>1182</v>
      </c>
      <c r="Q756" s="33">
        <f t="shared" si="11"/>
        <v>0.50336134453781511</v>
      </c>
    </row>
    <row r="757" spans="1:17" x14ac:dyDescent="0.3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  <c r="L757" t="str">
        <f>IFERROR(VLOOKUP(D757,Products!$A:$C,3,FALSE),"")</f>
        <v>Home</v>
      </c>
      <c r="M757" t="str">
        <f>IFERROR(VLOOKUP(C757,Customers!$A:$E,5,FALSE),"")</f>
        <v>Retail</v>
      </c>
      <c r="N757">
        <f>IFERROR(VLOOKUP(C757,Customers!$A:$E,3,FALSE),"")</f>
        <v>65</v>
      </c>
      <c r="O757" s="33" t="str">
        <f>IFERROR(VLOOKUP(E757,Sales_Reps!$A:$C,3,FALSE),"")</f>
        <v>West</v>
      </c>
      <c r="P757" s="33">
        <f>IFERROR(VLOOKUP(D757,Products!$A:$D,4,FALSE),"")</f>
        <v>2549</v>
      </c>
      <c r="Q757" s="33">
        <f t="shared" si="11"/>
        <v>0.53570127504553733</v>
      </c>
    </row>
    <row r="758" spans="1:17" x14ac:dyDescent="0.3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  <c r="L758" t="str">
        <f>IFERROR(VLOOKUP(D758,Products!$A:$C,3,FALSE),"")</f>
        <v>Apparel</v>
      </c>
      <c r="M758" t="str">
        <f>IFERROR(VLOOKUP(C758,Customers!$A:$E,5,FALSE),"")</f>
        <v>Retail</v>
      </c>
      <c r="N758">
        <f>IFERROR(VLOOKUP(C758,Customers!$A:$E,3,FALSE),"")</f>
        <v>49</v>
      </c>
      <c r="O758" s="33" t="str">
        <f>IFERROR(VLOOKUP(E758,Sales_Reps!$A:$C,3,FALSE),"")</f>
        <v>West</v>
      </c>
      <c r="P758" s="33">
        <f>IFERROR(VLOOKUP(D758,Products!$A:$D,4,FALSE),"")</f>
        <v>2611</v>
      </c>
      <c r="Q758" s="33">
        <f t="shared" si="11"/>
        <v>0.28269230769230769</v>
      </c>
    </row>
    <row r="759" spans="1:17" x14ac:dyDescent="0.3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  <c r="L759" t="str">
        <f>IFERROR(VLOOKUP(D759,Products!$A:$C,3,FALSE),"")</f>
        <v>Home</v>
      </c>
      <c r="M759" t="str">
        <f>IFERROR(VLOOKUP(C759,Customers!$A:$E,5,FALSE),"")</f>
        <v>Corporate</v>
      </c>
      <c r="N759">
        <f>IFERROR(VLOOKUP(C759,Customers!$A:$E,3,FALSE),"")</f>
        <v>24</v>
      </c>
      <c r="O759" s="33" t="str">
        <f>IFERROR(VLOOKUP(E759,Sales_Reps!$A:$C,3,FALSE),"")</f>
        <v>East</v>
      </c>
      <c r="P759" s="33">
        <f>IFERROR(VLOOKUP(D759,Products!$A:$D,4,FALSE),"")</f>
        <v>1850</v>
      </c>
      <c r="Q759" s="33">
        <f t="shared" si="11"/>
        <v>0.59869848156182215</v>
      </c>
    </row>
    <row r="760" spans="1:17" x14ac:dyDescent="0.3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  <c r="L760" t="str">
        <f>IFERROR(VLOOKUP(D760,Products!$A:$C,3,FALSE),"")</f>
        <v>Sports</v>
      </c>
      <c r="M760" t="str">
        <f>IFERROR(VLOOKUP(C760,Customers!$A:$E,5,FALSE),"")</f>
        <v>Retail</v>
      </c>
      <c r="N760">
        <f>IFERROR(VLOOKUP(C760,Customers!$A:$E,3,FALSE),"")</f>
        <v>59</v>
      </c>
      <c r="O760" s="33" t="str">
        <f>IFERROR(VLOOKUP(E760,Sales_Reps!$A:$C,3,FALSE),"")</f>
        <v>North</v>
      </c>
      <c r="P760" s="33">
        <f>IFERROR(VLOOKUP(D760,Products!$A:$D,4,FALSE),"")</f>
        <v>974</v>
      </c>
      <c r="Q760" s="33">
        <f t="shared" si="11"/>
        <v>0.59416666666666662</v>
      </c>
    </row>
    <row r="761" spans="1:17" x14ac:dyDescent="0.3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  <c r="L761" t="str">
        <f>IFERROR(VLOOKUP(D761,Products!$A:$C,3,FALSE),"")</f>
        <v>Beauty</v>
      </c>
      <c r="M761" t="str">
        <f>IFERROR(VLOOKUP(C761,Customers!$A:$E,5,FALSE),"")</f>
        <v>Retail</v>
      </c>
      <c r="N761">
        <f>IFERROR(VLOOKUP(C761,Customers!$A:$E,3,FALSE),"")</f>
        <v>30</v>
      </c>
      <c r="O761" s="33" t="str">
        <f>IFERROR(VLOOKUP(E761,Sales_Reps!$A:$C,3,FALSE),"")</f>
        <v>North</v>
      </c>
      <c r="P761" s="33">
        <f>IFERROR(VLOOKUP(D761,Products!$A:$D,4,FALSE),"")</f>
        <v>1728</v>
      </c>
      <c r="Q761" s="33">
        <f t="shared" si="11"/>
        <v>0.48417910447761192</v>
      </c>
    </row>
    <row r="762" spans="1:17" x14ac:dyDescent="0.3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  <c r="L762" t="str">
        <f>IFERROR(VLOOKUP(D762,Products!$A:$C,3,FALSE),"")</f>
        <v>Apparel</v>
      </c>
      <c r="M762" t="str">
        <f>IFERROR(VLOOKUP(C762,Customers!$A:$E,5,FALSE),"")</f>
        <v>Retail</v>
      </c>
      <c r="N762">
        <f>IFERROR(VLOOKUP(C762,Customers!$A:$E,3,FALSE),"")</f>
        <v>27</v>
      </c>
      <c r="O762" s="33" t="str">
        <f>IFERROR(VLOOKUP(E762,Sales_Reps!$A:$C,3,FALSE),"")</f>
        <v>South</v>
      </c>
      <c r="P762" s="33">
        <f>IFERROR(VLOOKUP(D762,Products!$A:$D,4,FALSE),"")</f>
        <v>2611</v>
      </c>
      <c r="Q762" s="33">
        <f t="shared" si="11"/>
        <v>0.28269230769230769</v>
      </c>
    </row>
    <row r="763" spans="1:17" x14ac:dyDescent="0.3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  <c r="L763" t="str">
        <f>IFERROR(VLOOKUP(D763,Products!$A:$C,3,FALSE),"")</f>
        <v>Apparel</v>
      </c>
      <c r="M763" t="str">
        <f>IFERROR(VLOOKUP(C763,Customers!$A:$E,5,FALSE),"")</f>
        <v>Retail</v>
      </c>
      <c r="N763">
        <f>IFERROR(VLOOKUP(C763,Customers!$A:$E,3,FALSE),"")</f>
        <v>42</v>
      </c>
      <c r="O763" s="33" t="str">
        <f>IFERROR(VLOOKUP(E763,Sales_Reps!$A:$C,3,FALSE),"")</f>
        <v>West</v>
      </c>
      <c r="P763" s="33">
        <f>IFERROR(VLOOKUP(D763,Products!$A:$D,4,FALSE),"")</f>
        <v>2611</v>
      </c>
      <c r="Q763" s="33">
        <f t="shared" si="11"/>
        <v>0.28269230769230769</v>
      </c>
    </row>
    <row r="764" spans="1:17" x14ac:dyDescent="0.3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  <c r="L764" t="str">
        <f>IFERROR(VLOOKUP(D764,Products!$A:$C,3,FALSE),"")</f>
        <v>Home</v>
      </c>
      <c r="M764" t="str">
        <f>IFERROR(VLOOKUP(C764,Customers!$A:$E,5,FALSE),"")</f>
        <v>Retail</v>
      </c>
      <c r="N764">
        <f>IFERROR(VLOOKUP(C764,Customers!$A:$E,3,FALSE),"")</f>
        <v>50</v>
      </c>
      <c r="O764" s="33" t="str">
        <f>IFERROR(VLOOKUP(E764,Sales_Reps!$A:$C,3,FALSE),"")</f>
        <v>South</v>
      </c>
      <c r="P764" s="33">
        <f>IFERROR(VLOOKUP(D764,Products!$A:$D,4,FALSE),"")</f>
        <v>1143</v>
      </c>
      <c r="Q764" s="33">
        <f t="shared" si="11"/>
        <v>0.43694581280788175</v>
      </c>
    </row>
    <row r="765" spans="1:17" x14ac:dyDescent="0.3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  <c r="L765" t="str">
        <f>IFERROR(VLOOKUP(D765,Products!$A:$C,3,FALSE),"")</f>
        <v>Apparel</v>
      </c>
      <c r="M765" t="str">
        <f>IFERROR(VLOOKUP(C765,Customers!$A:$E,5,FALSE),"")</f>
        <v>Retail</v>
      </c>
      <c r="N765">
        <f>IFERROR(VLOOKUP(C765,Customers!$A:$E,3,FALSE),"")</f>
        <v>29</v>
      </c>
      <c r="O765" s="33" t="str">
        <f>IFERROR(VLOOKUP(E765,Sales_Reps!$A:$C,3,FALSE),"")</f>
        <v>North</v>
      </c>
      <c r="P765" s="33">
        <f>IFERROR(VLOOKUP(D765,Products!$A:$D,4,FALSE),"")</f>
        <v>1886</v>
      </c>
      <c r="Q765" s="33">
        <f t="shared" si="11"/>
        <v>0.4031645569620253</v>
      </c>
    </row>
    <row r="766" spans="1:17" x14ac:dyDescent="0.3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  <c r="L766" t="str">
        <f>IFERROR(VLOOKUP(D766,Products!$A:$C,3,FALSE),"")</f>
        <v>Grocery</v>
      </c>
      <c r="M766" t="str">
        <f>IFERROR(VLOOKUP(C766,Customers!$A:$E,5,FALSE),"")</f>
        <v>SMB</v>
      </c>
      <c r="N766">
        <f>IFERROR(VLOOKUP(C766,Customers!$A:$E,3,FALSE),"")</f>
        <v>26</v>
      </c>
      <c r="O766" s="33" t="str">
        <f>IFERROR(VLOOKUP(E766,Sales_Reps!$A:$C,3,FALSE),"")</f>
        <v>West</v>
      </c>
      <c r="P766" s="33">
        <f>IFERROR(VLOOKUP(D766,Products!$A:$D,4,FALSE),"")</f>
        <v>2027</v>
      </c>
      <c r="Q766" s="33">
        <f t="shared" si="11"/>
        <v>0.50196560196560192</v>
      </c>
    </row>
    <row r="767" spans="1:17" x14ac:dyDescent="0.3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  <c r="L767" t="str">
        <f>IFERROR(VLOOKUP(D767,Products!$A:$C,3,FALSE),"")</f>
        <v>Grocery</v>
      </c>
      <c r="M767" t="str">
        <f>IFERROR(VLOOKUP(C767,Customers!$A:$E,5,FALSE),"")</f>
        <v>Retail</v>
      </c>
      <c r="N767">
        <f>IFERROR(VLOOKUP(C767,Customers!$A:$E,3,FALSE),"")</f>
        <v>40</v>
      </c>
      <c r="O767" s="33" t="str">
        <f>IFERROR(VLOOKUP(E767,Sales_Reps!$A:$C,3,FALSE),"")</f>
        <v>West</v>
      </c>
      <c r="P767" s="33">
        <f>IFERROR(VLOOKUP(D767,Products!$A:$D,4,FALSE),"")</f>
        <v>2911</v>
      </c>
      <c r="Q767" s="33">
        <f t="shared" si="11"/>
        <v>0.28300492610837441</v>
      </c>
    </row>
    <row r="768" spans="1:17" x14ac:dyDescent="0.3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  <c r="L768" t="str">
        <f>IFERROR(VLOOKUP(D768,Products!$A:$C,3,FALSE),"")</f>
        <v>Sports</v>
      </c>
      <c r="M768" t="str">
        <f>IFERROR(VLOOKUP(C768,Customers!$A:$E,5,FALSE),"")</f>
        <v>Retail</v>
      </c>
      <c r="N768">
        <f>IFERROR(VLOOKUP(C768,Customers!$A:$E,3,FALSE),"")</f>
        <v>56</v>
      </c>
      <c r="O768" s="33" t="str">
        <f>IFERROR(VLOOKUP(E768,Sales_Reps!$A:$C,3,FALSE),"")</f>
        <v>East</v>
      </c>
      <c r="P768" s="33">
        <f>IFERROR(VLOOKUP(D768,Products!$A:$D,4,FALSE),"")</f>
        <v>705</v>
      </c>
      <c r="Q768" s="33">
        <f t="shared" si="11"/>
        <v>0.265625</v>
      </c>
    </row>
    <row r="769" spans="1:17" x14ac:dyDescent="0.3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  <c r="L769" t="str">
        <f>IFERROR(VLOOKUP(D769,Products!$A:$C,3,FALSE),"")</f>
        <v>Grocery</v>
      </c>
      <c r="M769" t="str">
        <f>IFERROR(VLOOKUP(C769,Customers!$A:$E,5,FALSE),"")</f>
        <v>SMB</v>
      </c>
      <c r="N769">
        <f>IFERROR(VLOOKUP(C769,Customers!$A:$E,3,FALSE),"")</f>
        <v>35</v>
      </c>
      <c r="O769" s="33" t="str">
        <f>IFERROR(VLOOKUP(E769,Sales_Reps!$A:$C,3,FALSE),"")</f>
        <v>West</v>
      </c>
      <c r="P769" s="33">
        <f>IFERROR(VLOOKUP(D769,Products!$A:$D,4,FALSE),"")</f>
        <v>1412</v>
      </c>
      <c r="Q769" s="33">
        <f t="shared" si="11"/>
        <v>0.37797356828193834</v>
      </c>
    </row>
    <row r="770" spans="1:17" x14ac:dyDescent="0.3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  <c r="L770" t="str">
        <f>IFERROR(VLOOKUP(D770,Products!$A:$C,3,FALSE),"")</f>
        <v>Grocery</v>
      </c>
      <c r="M770" t="str">
        <f>IFERROR(VLOOKUP(C770,Customers!$A:$E,5,FALSE),"")</f>
        <v>Retail</v>
      </c>
      <c r="N770">
        <f>IFERROR(VLOOKUP(C770,Customers!$A:$E,3,FALSE),"")</f>
        <v>29</v>
      </c>
      <c r="O770" s="33" t="str">
        <f>IFERROR(VLOOKUP(E770,Sales_Reps!$A:$C,3,FALSE),"")</f>
        <v>North</v>
      </c>
      <c r="P770" s="33">
        <f>IFERROR(VLOOKUP(D770,Products!$A:$D,4,FALSE),"")</f>
        <v>2436</v>
      </c>
      <c r="Q770" s="33">
        <f t="shared" si="11"/>
        <v>0.35555555555555557</v>
      </c>
    </row>
    <row r="771" spans="1:17" x14ac:dyDescent="0.3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  <c r="L771" t="str">
        <f>IFERROR(VLOOKUP(D771,Products!$A:$C,3,FALSE),"")</f>
        <v>Beauty</v>
      </c>
      <c r="M771" t="str">
        <f>IFERROR(VLOOKUP(C771,Customers!$A:$E,5,FALSE),"")</f>
        <v>Retail</v>
      </c>
      <c r="N771">
        <f>IFERROR(VLOOKUP(C771,Customers!$A:$E,3,FALSE),"")</f>
        <v>57</v>
      </c>
      <c r="O771" s="33" t="str">
        <f>IFERROR(VLOOKUP(E771,Sales_Reps!$A:$C,3,FALSE),"")</f>
        <v>West</v>
      </c>
      <c r="P771" s="33">
        <f>IFERROR(VLOOKUP(D771,Products!$A:$D,4,FALSE),"")</f>
        <v>1219</v>
      </c>
      <c r="Q771" s="33">
        <f t="shared" ref="Q771:Q834" si="12">IFERROR((G771-P771)/G771,"")</f>
        <v>0.46768558951965067</v>
      </c>
    </row>
    <row r="772" spans="1:17" x14ac:dyDescent="0.3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  <c r="L772" t="str">
        <f>IFERROR(VLOOKUP(D772,Products!$A:$C,3,FALSE),"")</f>
        <v>Beauty</v>
      </c>
      <c r="M772" t="str">
        <f>IFERROR(VLOOKUP(C772,Customers!$A:$E,5,FALSE),"")</f>
        <v>Retail</v>
      </c>
      <c r="N772">
        <f>IFERROR(VLOOKUP(C772,Customers!$A:$E,3,FALSE),"")</f>
        <v>42</v>
      </c>
      <c r="O772" s="33" t="str">
        <f>IFERROR(VLOOKUP(E772,Sales_Reps!$A:$C,3,FALSE),"")</f>
        <v>East</v>
      </c>
      <c r="P772" s="33">
        <f>IFERROR(VLOOKUP(D772,Products!$A:$D,4,FALSE),"")</f>
        <v>1728</v>
      </c>
      <c r="Q772" s="33">
        <f t="shared" si="12"/>
        <v>0.48417910447761192</v>
      </c>
    </row>
    <row r="773" spans="1:17" x14ac:dyDescent="0.3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  <c r="L773" t="str">
        <f>IFERROR(VLOOKUP(D773,Products!$A:$C,3,FALSE),"")</f>
        <v>Apparel</v>
      </c>
      <c r="M773" t="str">
        <f>IFERROR(VLOOKUP(C773,Customers!$A:$E,5,FALSE),"")</f>
        <v>SMB</v>
      </c>
      <c r="N773">
        <f>IFERROR(VLOOKUP(C773,Customers!$A:$E,3,FALSE),"")</f>
        <v>54</v>
      </c>
      <c r="O773" s="33" t="str">
        <f>IFERROR(VLOOKUP(E773,Sales_Reps!$A:$C,3,FALSE),"")</f>
        <v>East</v>
      </c>
      <c r="P773" s="33">
        <f>IFERROR(VLOOKUP(D773,Products!$A:$D,4,FALSE),"")</f>
        <v>1075</v>
      </c>
      <c r="Q773" s="33">
        <f t="shared" si="12"/>
        <v>0.57171314741035861</v>
      </c>
    </row>
    <row r="774" spans="1:17" x14ac:dyDescent="0.3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  <c r="L774" t="str">
        <f>IFERROR(VLOOKUP(D774,Products!$A:$C,3,FALSE),"")</f>
        <v>Electronics</v>
      </c>
      <c r="M774" t="str">
        <f>IFERROR(VLOOKUP(C774,Customers!$A:$E,5,FALSE),"")</f>
        <v>Retail</v>
      </c>
      <c r="N774">
        <f>IFERROR(VLOOKUP(C774,Customers!$A:$E,3,FALSE),"")</f>
        <v>49</v>
      </c>
      <c r="O774" s="33" t="str">
        <f>IFERROR(VLOOKUP(E774,Sales_Reps!$A:$C,3,FALSE),"")</f>
        <v>East</v>
      </c>
      <c r="P774" s="33">
        <f>IFERROR(VLOOKUP(D774,Products!$A:$D,4,FALSE),"")</f>
        <v>1052</v>
      </c>
      <c r="Q774" s="33">
        <f t="shared" si="12"/>
        <v>0.5953846153846154</v>
      </c>
    </row>
    <row r="775" spans="1:17" x14ac:dyDescent="0.3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  <c r="L775" t="str">
        <f>IFERROR(VLOOKUP(D775,Products!$A:$C,3,FALSE),"")</f>
        <v>Sports</v>
      </c>
      <c r="M775" t="str">
        <f>IFERROR(VLOOKUP(C775,Customers!$A:$E,5,FALSE),"")</f>
        <v>Retail</v>
      </c>
      <c r="N775">
        <f>IFERROR(VLOOKUP(C775,Customers!$A:$E,3,FALSE),"")</f>
        <v>55</v>
      </c>
      <c r="O775" s="33" t="str">
        <f>IFERROR(VLOOKUP(E775,Sales_Reps!$A:$C,3,FALSE),"")</f>
        <v>North</v>
      </c>
      <c r="P775" s="33">
        <f>IFERROR(VLOOKUP(D775,Products!$A:$D,4,FALSE),"")</f>
        <v>302</v>
      </c>
      <c r="Q775" s="33">
        <f t="shared" si="12"/>
        <v>0.35744680851063831</v>
      </c>
    </row>
    <row r="776" spans="1:17" x14ac:dyDescent="0.3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  <c r="L776" t="str">
        <f>IFERROR(VLOOKUP(D776,Products!$A:$C,3,FALSE),"")</f>
        <v>Home</v>
      </c>
      <c r="M776" t="str">
        <f>IFERROR(VLOOKUP(C776,Customers!$A:$E,5,FALSE),"")</f>
        <v>Corporate</v>
      </c>
      <c r="N776">
        <f>IFERROR(VLOOKUP(C776,Customers!$A:$E,3,FALSE),"")</f>
        <v>47</v>
      </c>
      <c r="O776" s="33" t="str">
        <f>IFERROR(VLOOKUP(E776,Sales_Reps!$A:$C,3,FALSE),"")</f>
        <v>South</v>
      </c>
      <c r="P776" s="33">
        <f>IFERROR(VLOOKUP(D776,Products!$A:$D,4,FALSE),"")</f>
        <v>519</v>
      </c>
      <c r="Q776" s="33">
        <f t="shared" si="12"/>
        <v>0.51944444444444449</v>
      </c>
    </row>
    <row r="777" spans="1:17" x14ac:dyDescent="0.3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  <c r="L777" t="str">
        <f>IFERROR(VLOOKUP(D777,Products!$A:$C,3,FALSE),"")</f>
        <v>Sports</v>
      </c>
      <c r="M777" t="str">
        <f>IFERROR(VLOOKUP(C777,Customers!$A:$E,5,FALSE),"")</f>
        <v>SMB</v>
      </c>
      <c r="N777">
        <f>IFERROR(VLOOKUP(C777,Customers!$A:$E,3,FALSE),"")</f>
        <v>44</v>
      </c>
      <c r="O777" s="33" t="str">
        <f>IFERROR(VLOOKUP(E777,Sales_Reps!$A:$C,3,FALSE),"")</f>
        <v>East</v>
      </c>
      <c r="P777" s="33">
        <f>IFERROR(VLOOKUP(D777,Products!$A:$D,4,FALSE),"")</f>
        <v>516</v>
      </c>
      <c r="Q777" s="33">
        <f t="shared" si="12"/>
        <v>0.4891089108910891</v>
      </c>
    </row>
    <row r="778" spans="1:17" x14ac:dyDescent="0.3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  <c r="L778" t="str">
        <f>IFERROR(VLOOKUP(D778,Products!$A:$C,3,FALSE),"")</f>
        <v>Electronics</v>
      </c>
      <c r="M778" t="str">
        <f>IFERROR(VLOOKUP(C778,Customers!$A:$E,5,FALSE),"")</f>
        <v>SMB</v>
      </c>
      <c r="N778">
        <f>IFERROR(VLOOKUP(C778,Customers!$A:$E,3,FALSE),"")</f>
        <v>26</v>
      </c>
      <c r="O778" s="33" t="str">
        <f>IFERROR(VLOOKUP(E778,Sales_Reps!$A:$C,3,FALSE),"")</f>
        <v>North</v>
      </c>
      <c r="P778" s="33">
        <f>IFERROR(VLOOKUP(D778,Products!$A:$D,4,FALSE),"")</f>
        <v>1559</v>
      </c>
      <c r="Q778" s="33">
        <f t="shared" si="12"/>
        <v>0.59715762273901807</v>
      </c>
    </row>
    <row r="779" spans="1:17" x14ac:dyDescent="0.3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  <c r="L779" t="str">
        <f>IFERROR(VLOOKUP(D779,Products!$A:$C,3,FALSE),"")</f>
        <v>Home</v>
      </c>
      <c r="M779" t="str">
        <f>IFERROR(VLOOKUP(C779,Customers!$A:$E,5,FALSE),"")</f>
        <v>Retail</v>
      </c>
      <c r="N779">
        <f>IFERROR(VLOOKUP(C779,Customers!$A:$E,3,FALSE),"")</f>
        <v>44</v>
      </c>
      <c r="O779" s="33" t="str">
        <f>IFERROR(VLOOKUP(E779,Sales_Reps!$A:$C,3,FALSE),"")</f>
        <v>West</v>
      </c>
      <c r="P779" s="33">
        <f>IFERROR(VLOOKUP(D779,Products!$A:$D,4,FALSE),"")</f>
        <v>1143</v>
      </c>
      <c r="Q779" s="33">
        <f t="shared" si="12"/>
        <v>0.43694581280788175</v>
      </c>
    </row>
    <row r="780" spans="1:17" x14ac:dyDescent="0.3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  <c r="L780" t="str">
        <f>IFERROR(VLOOKUP(D780,Products!$A:$C,3,FALSE),"")</f>
        <v>Home</v>
      </c>
      <c r="M780" t="str">
        <f>IFERROR(VLOOKUP(C780,Customers!$A:$E,5,FALSE),"")</f>
        <v>Retail</v>
      </c>
      <c r="N780">
        <f>IFERROR(VLOOKUP(C780,Customers!$A:$E,3,FALSE),"")</f>
        <v>44</v>
      </c>
      <c r="O780" s="33" t="str">
        <f>IFERROR(VLOOKUP(E780,Sales_Reps!$A:$C,3,FALSE),"")</f>
        <v>West</v>
      </c>
      <c r="P780" s="33">
        <f>IFERROR(VLOOKUP(D780,Products!$A:$D,4,FALSE),"")</f>
        <v>519</v>
      </c>
      <c r="Q780" s="33">
        <f t="shared" si="12"/>
        <v>0.51944444444444449</v>
      </c>
    </row>
    <row r="781" spans="1:17" x14ac:dyDescent="0.3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  <c r="L781" t="str">
        <f>IFERROR(VLOOKUP(D781,Products!$A:$C,3,FALSE),"")</f>
        <v>Home</v>
      </c>
      <c r="M781" t="str">
        <f>IFERROR(VLOOKUP(C781,Customers!$A:$E,5,FALSE),"")</f>
        <v>Corporate</v>
      </c>
      <c r="N781">
        <f>IFERROR(VLOOKUP(C781,Customers!$A:$E,3,FALSE),"")</f>
        <v>51</v>
      </c>
      <c r="O781" s="33" t="str">
        <f>IFERROR(VLOOKUP(E781,Sales_Reps!$A:$C,3,FALSE),"")</f>
        <v>South</v>
      </c>
      <c r="P781" s="33">
        <f>IFERROR(VLOOKUP(D781,Products!$A:$D,4,FALSE),"")</f>
        <v>464</v>
      </c>
      <c r="Q781" s="33">
        <f t="shared" si="12"/>
        <v>0.57431192660550456</v>
      </c>
    </row>
    <row r="782" spans="1:17" x14ac:dyDescent="0.3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  <c r="L782" t="str">
        <f>IFERROR(VLOOKUP(D782,Products!$A:$C,3,FALSE),"")</f>
        <v>Home</v>
      </c>
      <c r="M782" t="str">
        <f>IFERROR(VLOOKUP(C782,Customers!$A:$E,5,FALSE),"")</f>
        <v>Retail</v>
      </c>
      <c r="N782">
        <f>IFERROR(VLOOKUP(C782,Customers!$A:$E,3,FALSE),"")</f>
        <v>28</v>
      </c>
      <c r="O782" s="33" t="str">
        <f>IFERROR(VLOOKUP(E782,Sales_Reps!$A:$C,3,FALSE),"")</f>
        <v>South</v>
      </c>
      <c r="P782" s="33">
        <f>IFERROR(VLOOKUP(D782,Products!$A:$D,4,FALSE),"")</f>
        <v>288</v>
      </c>
      <c r="Q782" s="33">
        <f t="shared" si="12"/>
        <v>0.22162162162162163</v>
      </c>
    </row>
    <row r="783" spans="1:17" x14ac:dyDescent="0.3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  <c r="L783" t="str">
        <f>IFERROR(VLOOKUP(D783,Products!$A:$C,3,FALSE),"")</f>
        <v>Apparel</v>
      </c>
      <c r="M783" t="str">
        <f>IFERROR(VLOOKUP(C783,Customers!$A:$E,5,FALSE),"")</f>
        <v>Retail</v>
      </c>
      <c r="N783">
        <f>IFERROR(VLOOKUP(C783,Customers!$A:$E,3,FALSE),"")</f>
        <v>54</v>
      </c>
      <c r="O783" s="33" t="str">
        <f>IFERROR(VLOOKUP(E783,Sales_Reps!$A:$C,3,FALSE),"")</f>
        <v>East</v>
      </c>
      <c r="P783" s="33">
        <f>IFERROR(VLOOKUP(D783,Products!$A:$D,4,FALSE),"")</f>
        <v>2629</v>
      </c>
      <c r="Q783" s="33">
        <f t="shared" si="12"/>
        <v>0.26151685393258428</v>
      </c>
    </row>
    <row r="784" spans="1:17" x14ac:dyDescent="0.3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  <c r="L784" t="str">
        <f>IFERROR(VLOOKUP(D784,Products!$A:$C,3,FALSE),"")</f>
        <v>Beauty</v>
      </c>
      <c r="M784" t="str">
        <f>IFERROR(VLOOKUP(C784,Customers!$A:$E,5,FALSE),"")</f>
        <v>Retail</v>
      </c>
      <c r="N784">
        <f>IFERROR(VLOOKUP(C784,Customers!$A:$E,3,FALSE),"")</f>
        <v>62</v>
      </c>
      <c r="O784" s="33" t="str">
        <f>IFERROR(VLOOKUP(E784,Sales_Reps!$A:$C,3,FALSE),"")</f>
        <v>South</v>
      </c>
      <c r="P784" s="33">
        <f>IFERROR(VLOOKUP(D784,Products!$A:$D,4,FALSE),"")</f>
        <v>2617</v>
      </c>
      <c r="Q784" s="33">
        <f t="shared" si="12"/>
        <v>0.56957236842105263</v>
      </c>
    </row>
    <row r="785" spans="1:17" x14ac:dyDescent="0.3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  <c r="L785" t="str">
        <f>IFERROR(VLOOKUP(D785,Products!$A:$C,3,FALSE),"")</f>
        <v>Sports</v>
      </c>
      <c r="M785" t="str">
        <f>IFERROR(VLOOKUP(C785,Customers!$A:$E,5,FALSE),"")</f>
        <v>Corporate</v>
      </c>
      <c r="N785">
        <f>IFERROR(VLOOKUP(C785,Customers!$A:$E,3,FALSE),"")</f>
        <v>32</v>
      </c>
      <c r="O785" s="33" t="str">
        <f>IFERROR(VLOOKUP(E785,Sales_Reps!$A:$C,3,FALSE),"")</f>
        <v>South</v>
      </c>
      <c r="P785" s="33">
        <f>IFERROR(VLOOKUP(D785,Products!$A:$D,4,FALSE),"")</f>
        <v>2467</v>
      </c>
      <c r="Q785" s="33">
        <f t="shared" si="12"/>
        <v>0.28492753623188405</v>
      </c>
    </row>
    <row r="786" spans="1:17" x14ac:dyDescent="0.3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  <c r="L786" t="str">
        <f>IFERROR(VLOOKUP(D786,Products!$A:$C,3,FALSE),"")</f>
        <v>Home</v>
      </c>
      <c r="M786" t="str">
        <f>IFERROR(VLOOKUP(C786,Customers!$A:$E,5,FALSE),"")</f>
        <v>Retail</v>
      </c>
      <c r="N786">
        <f>IFERROR(VLOOKUP(C786,Customers!$A:$E,3,FALSE),"")</f>
        <v>51</v>
      </c>
      <c r="O786" s="33" t="str">
        <f>IFERROR(VLOOKUP(E786,Sales_Reps!$A:$C,3,FALSE),"")</f>
        <v>South</v>
      </c>
      <c r="P786" s="33">
        <f>IFERROR(VLOOKUP(D786,Products!$A:$D,4,FALSE),"")</f>
        <v>2459</v>
      </c>
      <c r="Q786" s="33">
        <f t="shared" si="12"/>
        <v>0.51594488188976373</v>
      </c>
    </row>
    <row r="787" spans="1:17" x14ac:dyDescent="0.3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  <c r="L787" t="str">
        <f>IFERROR(VLOOKUP(D787,Products!$A:$C,3,FALSE),"")</f>
        <v>Apparel</v>
      </c>
      <c r="M787" t="str">
        <f>IFERROR(VLOOKUP(C787,Customers!$A:$E,5,FALSE),"")</f>
        <v>SMB</v>
      </c>
      <c r="N787">
        <f>IFERROR(VLOOKUP(C787,Customers!$A:$E,3,FALSE),"")</f>
        <v>28</v>
      </c>
      <c r="O787" s="33" t="str">
        <f>IFERROR(VLOOKUP(E787,Sales_Reps!$A:$C,3,FALSE),"")</f>
        <v>East</v>
      </c>
      <c r="P787" s="33">
        <f>IFERROR(VLOOKUP(D787,Products!$A:$D,4,FALSE),"")</f>
        <v>1748</v>
      </c>
      <c r="Q787" s="33">
        <f t="shared" si="12"/>
        <v>0.49333333333333335</v>
      </c>
    </row>
    <row r="788" spans="1:17" x14ac:dyDescent="0.3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  <c r="L788" t="str">
        <f>IFERROR(VLOOKUP(D788,Products!$A:$C,3,FALSE),"")</f>
        <v>Grocery</v>
      </c>
      <c r="M788" t="str">
        <f>IFERROR(VLOOKUP(C788,Customers!$A:$E,5,FALSE),"")</f>
        <v>Retail</v>
      </c>
      <c r="N788">
        <f>IFERROR(VLOOKUP(C788,Customers!$A:$E,3,FALSE),"")</f>
        <v>39</v>
      </c>
      <c r="O788" s="33" t="str">
        <f>IFERROR(VLOOKUP(E788,Sales_Reps!$A:$C,3,FALSE),"")</f>
        <v>South</v>
      </c>
      <c r="P788" s="33">
        <f>IFERROR(VLOOKUP(D788,Products!$A:$D,4,FALSE),"")</f>
        <v>1203</v>
      </c>
      <c r="Q788" s="33">
        <f t="shared" si="12"/>
        <v>0.47004405286343615</v>
      </c>
    </row>
    <row r="789" spans="1:17" x14ac:dyDescent="0.3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  <c r="L789" t="str">
        <f>IFERROR(VLOOKUP(D789,Products!$A:$C,3,FALSE),"")</f>
        <v>Apparel</v>
      </c>
      <c r="M789" t="str">
        <f>IFERROR(VLOOKUP(C789,Customers!$A:$E,5,FALSE),"")</f>
        <v>SMB</v>
      </c>
      <c r="N789">
        <f>IFERROR(VLOOKUP(C789,Customers!$A:$E,3,FALSE),"")</f>
        <v>44</v>
      </c>
      <c r="O789" s="33" t="str">
        <f>IFERROR(VLOOKUP(E789,Sales_Reps!$A:$C,3,FALSE),"")</f>
        <v>East</v>
      </c>
      <c r="P789" s="33">
        <f>IFERROR(VLOOKUP(D789,Products!$A:$D,4,FALSE),"")</f>
        <v>1886</v>
      </c>
      <c r="Q789" s="33">
        <f t="shared" si="12"/>
        <v>0.4031645569620253</v>
      </c>
    </row>
    <row r="790" spans="1:17" x14ac:dyDescent="0.3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  <c r="L790" t="str">
        <f>IFERROR(VLOOKUP(D790,Products!$A:$C,3,FALSE),"")</f>
        <v>Beauty</v>
      </c>
      <c r="M790" t="str">
        <f>IFERROR(VLOOKUP(C790,Customers!$A:$E,5,FALSE),"")</f>
        <v>Retail</v>
      </c>
      <c r="N790">
        <f>IFERROR(VLOOKUP(C790,Customers!$A:$E,3,FALSE),"")</f>
        <v>54</v>
      </c>
      <c r="O790" s="33" t="str">
        <f>IFERROR(VLOOKUP(E790,Sales_Reps!$A:$C,3,FALSE),"")</f>
        <v>West</v>
      </c>
      <c r="P790" s="33">
        <f>IFERROR(VLOOKUP(D790,Products!$A:$D,4,FALSE),"")</f>
        <v>1728</v>
      </c>
      <c r="Q790" s="33">
        <f t="shared" si="12"/>
        <v>0.48417910447761192</v>
      </c>
    </row>
    <row r="791" spans="1:17" x14ac:dyDescent="0.3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  <c r="L791" t="str">
        <f>IFERROR(VLOOKUP(D791,Products!$A:$C,3,FALSE),"")</f>
        <v>Beauty</v>
      </c>
      <c r="M791" t="str">
        <f>IFERROR(VLOOKUP(C791,Customers!$A:$E,5,FALSE),"")</f>
        <v>Retail</v>
      </c>
      <c r="N791">
        <f>IFERROR(VLOOKUP(C791,Customers!$A:$E,3,FALSE),"")</f>
        <v>54</v>
      </c>
      <c r="O791" s="33" t="str">
        <f>IFERROR(VLOOKUP(E791,Sales_Reps!$A:$C,3,FALSE),"")</f>
        <v>West</v>
      </c>
      <c r="P791" s="33">
        <f>IFERROR(VLOOKUP(D791,Products!$A:$D,4,FALSE),"")</f>
        <v>1222</v>
      </c>
      <c r="Q791" s="33">
        <f t="shared" si="12"/>
        <v>0.2593939393939394</v>
      </c>
    </row>
    <row r="792" spans="1:17" x14ac:dyDescent="0.3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  <c r="L792" t="str">
        <f>IFERROR(VLOOKUP(D792,Products!$A:$C,3,FALSE),"")</f>
        <v>Home</v>
      </c>
      <c r="M792" t="str">
        <f>IFERROR(VLOOKUP(C792,Customers!$A:$E,5,FALSE),"")</f>
        <v>SMB</v>
      </c>
      <c r="N792">
        <f>IFERROR(VLOOKUP(C792,Customers!$A:$E,3,FALSE),"")</f>
        <v>26</v>
      </c>
      <c r="O792" s="33" t="str">
        <f>IFERROR(VLOOKUP(E792,Sales_Reps!$A:$C,3,FALSE),"")</f>
        <v>North</v>
      </c>
      <c r="P792" s="33">
        <f>IFERROR(VLOOKUP(D792,Products!$A:$D,4,FALSE),"")</f>
        <v>2549</v>
      </c>
      <c r="Q792" s="33">
        <f t="shared" si="12"/>
        <v>0.53570127504553733</v>
      </c>
    </row>
    <row r="793" spans="1:17" x14ac:dyDescent="0.3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  <c r="L793" t="str">
        <f>IFERROR(VLOOKUP(D793,Products!$A:$C,3,FALSE),"")</f>
        <v>Home</v>
      </c>
      <c r="M793" t="str">
        <f>IFERROR(VLOOKUP(C793,Customers!$A:$E,5,FALSE),"")</f>
        <v>Retail</v>
      </c>
      <c r="N793">
        <f>IFERROR(VLOOKUP(C793,Customers!$A:$E,3,FALSE),"")</f>
        <v>63</v>
      </c>
      <c r="O793" s="33" t="str">
        <f>IFERROR(VLOOKUP(E793,Sales_Reps!$A:$C,3,FALSE),"")</f>
        <v>West</v>
      </c>
      <c r="P793" s="33">
        <f>IFERROR(VLOOKUP(D793,Products!$A:$D,4,FALSE),"")</f>
        <v>519</v>
      </c>
      <c r="Q793" s="33">
        <f t="shared" si="12"/>
        <v>0.51944444444444449</v>
      </c>
    </row>
    <row r="794" spans="1:17" x14ac:dyDescent="0.3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  <c r="L794" t="str">
        <f>IFERROR(VLOOKUP(D794,Products!$A:$C,3,FALSE),"")</f>
        <v>Grocery</v>
      </c>
      <c r="M794" t="str">
        <f>IFERROR(VLOOKUP(C794,Customers!$A:$E,5,FALSE),"")</f>
        <v/>
      </c>
      <c r="N794" t="str">
        <f>IFERROR(VLOOKUP(C794,Customers!$A:$E,3,FALSE),"")</f>
        <v/>
      </c>
      <c r="O794" s="33" t="str">
        <f>IFERROR(VLOOKUP(E794,Sales_Reps!$A:$C,3,FALSE),"")</f>
        <v>East</v>
      </c>
      <c r="P794" s="33">
        <f>IFERROR(VLOOKUP(D794,Products!$A:$D,4,FALSE),"")</f>
        <v>2436</v>
      </c>
      <c r="Q794" s="33">
        <f t="shared" si="12"/>
        <v>0.35555555555555557</v>
      </c>
    </row>
    <row r="795" spans="1:17" x14ac:dyDescent="0.3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  <c r="L795" t="str">
        <f>IFERROR(VLOOKUP(D795,Products!$A:$C,3,FALSE),"")</f>
        <v>Home</v>
      </c>
      <c r="M795" t="str">
        <f>IFERROR(VLOOKUP(C795,Customers!$A:$E,5,FALSE),"")</f>
        <v>Retail</v>
      </c>
      <c r="N795">
        <f>IFERROR(VLOOKUP(C795,Customers!$A:$E,3,FALSE),"")</f>
        <v>26</v>
      </c>
      <c r="O795" s="33" t="str">
        <f>IFERROR(VLOOKUP(E795,Sales_Reps!$A:$C,3,FALSE),"")</f>
        <v>West</v>
      </c>
      <c r="P795" s="33">
        <f>IFERROR(VLOOKUP(D795,Products!$A:$D,4,FALSE),"")</f>
        <v>1143</v>
      </c>
      <c r="Q795" s="33">
        <f t="shared" si="12"/>
        <v>0.43694581280788175</v>
      </c>
    </row>
    <row r="796" spans="1:17" x14ac:dyDescent="0.3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  <c r="L796" t="str">
        <f>IFERROR(VLOOKUP(D796,Products!$A:$C,3,FALSE),"")</f>
        <v>Beauty</v>
      </c>
      <c r="M796" t="str">
        <f>IFERROR(VLOOKUP(C796,Customers!$A:$E,5,FALSE),"")</f>
        <v>Corporate</v>
      </c>
      <c r="N796">
        <f>IFERROR(VLOOKUP(C796,Customers!$A:$E,3,FALSE),"")</f>
        <v>41</v>
      </c>
      <c r="O796" s="33" t="str">
        <f>IFERROR(VLOOKUP(E796,Sales_Reps!$A:$C,3,FALSE),"")</f>
        <v>East</v>
      </c>
      <c r="P796" s="33">
        <f>IFERROR(VLOOKUP(D796,Products!$A:$D,4,FALSE),"")</f>
        <v>647</v>
      </c>
      <c r="Q796" s="33">
        <f t="shared" si="12"/>
        <v>0.57987012987012987</v>
      </c>
    </row>
    <row r="797" spans="1:17" x14ac:dyDescent="0.3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  <c r="L797" t="str">
        <f>IFERROR(VLOOKUP(D797,Products!$A:$C,3,FALSE),"")</f>
        <v>Home</v>
      </c>
      <c r="M797" t="str">
        <f>IFERROR(VLOOKUP(C797,Customers!$A:$E,5,FALSE),"")</f>
        <v>Retail</v>
      </c>
      <c r="N797">
        <f>IFERROR(VLOOKUP(C797,Customers!$A:$E,3,FALSE),"")</f>
        <v>56</v>
      </c>
      <c r="O797" s="33" t="str">
        <f>IFERROR(VLOOKUP(E797,Sales_Reps!$A:$C,3,FALSE),"")</f>
        <v>South</v>
      </c>
      <c r="P797" s="33">
        <f>IFERROR(VLOOKUP(D797,Products!$A:$D,4,FALSE),"")</f>
        <v>1556</v>
      </c>
      <c r="Q797" s="33">
        <f t="shared" si="12"/>
        <v>0.52123076923076928</v>
      </c>
    </row>
    <row r="798" spans="1:17" x14ac:dyDescent="0.3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  <c r="L798" t="str">
        <f>IFERROR(VLOOKUP(D798,Products!$A:$C,3,FALSE),"")</f>
        <v>Beauty</v>
      </c>
      <c r="M798" t="str">
        <f>IFERROR(VLOOKUP(C798,Customers!$A:$E,5,FALSE),"")</f>
        <v>SMB</v>
      </c>
      <c r="N798">
        <f>IFERROR(VLOOKUP(C798,Customers!$A:$E,3,FALSE),"")</f>
        <v>53</v>
      </c>
      <c r="O798" s="33" t="str">
        <f>IFERROR(VLOOKUP(E798,Sales_Reps!$A:$C,3,FALSE),"")</f>
        <v>North</v>
      </c>
      <c r="P798" s="33">
        <f>IFERROR(VLOOKUP(D798,Products!$A:$D,4,FALSE),"")</f>
        <v>2420</v>
      </c>
      <c r="Q798" s="33">
        <f t="shared" si="12"/>
        <v>0.29855072463768118</v>
      </c>
    </row>
    <row r="799" spans="1:17" x14ac:dyDescent="0.3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  <c r="L799" t="str">
        <f>IFERROR(VLOOKUP(D799,Products!$A:$C,3,FALSE),"")</f>
        <v>Home</v>
      </c>
      <c r="M799" t="str">
        <f>IFERROR(VLOOKUP(C799,Customers!$A:$E,5,FALSE),"")</f>
        <v>Corporate</v>
      </c>
      <c r="N799">
        <f>IFERROR(VLOOKUP(C799,Customers!$A:$E,3,FALSE),"")</f>
        <v>24</v>
      </c>
      <c r="O799" s="33" t="str">
        <f>IFERROR(VLOOKUP(E799,Sales_Reps!$A:$C,3,FALSE),"")</f>
        <v>North</v>
      </c>
      <c r="P799" s="33">
        <f>IFERROR(VLOOKUP(D799,Products!$A:$D,4,FALSE),"")</f>
        <v>2549</v>
      </c>
      <c r="Q799" s="33">
        <f t="shared" si="12"/>
        <v>0.53570127504553733</v>
      </c>
    </row>
    <row r="800" spans="1:17" x14ac:dyDescent="0.3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  <c r="L800" t="str">
        <f>IFERROR(VLOOKUP(D800,Products!$A:$C,3,FALSE),"")</f>
        <v>Home</v>
      </c>
      <c r="M800" t="str">
        <f>IFERROR(VLOOKUP(C800,Customers!$A:$E,5,FALSE),"")</f>
        <v>Retail</v>
      </c>
      <c r="N800">
        <f>IFERROR(VLOOKUP(C800,Customers!$A:$E,3,FALSE),"")</f>
        <v>40</v>
      </c>
      <c r="O800" s="33" t="str">
        <f>IFERROR(VLOOKUP(E800,Sales_Reps!$A:$C,3,FALSE),"")</f>
        <v>West</v>
      </c>
      <c r="P800" s="33">
        <f>IFERROR(VLOOKUP(D800,Products!$A:$D,4,FALSE),"")</f>
        <v>288</v>
      </c>
      <c r="Q800" s="33">
        <f t="shared" si="12"/>
        <v>0.22162162162162163</v>
      </c>
    </row>
    <row r="801" spans="1:17" x14ac:dyDescent="0.3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  <c r="L801" t="str">
        <f>IFERROR(VLOOKUP(D801,Products!$A:$C,3,FALSE),"")</f>
        <v>Electronics</v>
      </c>
      <c r="M801" t="str">
        <f>IFERROR(VLOOKUP(C801,Customers!$A:$E,5,FALSE),"")</f>
        <v>SMB</v>
      </c>
      <c r="N801">
        <f>IFERROR(VLOOKUP(C801,Customers!$A:$E,3,FALSE),"")</f>
        <v>53</v>
      </c>
      <c r="O801" s="33" t="str">
        <f>IFERROR(VLOOKUP(E801,Sales_Reps!$A:$C,3,FALSE),"")</f>
        <v>South</v>
      </c>
      <c r="P801" s="33">
        <f>IFERROR(VLOOKUP(D801,Products!$A:$D,4,FALSE),"")</f>
        <v>2405</v>
      </c>
      <c r="Q801" s="33">
        <f t="shared" si="12"/>
        <v>0.54878048780487809</v>
      </c>
    </row>
    <row r="802" spans="1:17" x14ac:dyDescent="0.3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  <c r="L802" t="str">
        <f>IFERROR(VLOOKUP(D802,Products!$A:$C,3,FALSE),"")</f>
        <v>Sports</v>
      </c>
      <c r="M802" t="str">
        <f>IFERROR(VLOOKUP(C802,Customers!$A:$E,5,FALSE),"")</f>
        <v>Retail</v>
      </c>
      <c r="N802">
        <f>IFERROR(VLOOKUP(C802,Customers!$A:$E,3,FALSE),"")</f>
        <v>49</v>
      </c>
      <c r="O802" s="33" t="str">
        <f>IFERROR(VLOOKUP(E802,Sales_Reps!$A:$C,3,FALSE),"")</f>
        <v>South</v>
      </c>
      <c r="P802" s="33">
        <f>IFERROR(VLOOKUP(D802,Products!$A:$D,4,FALSE),"")</f>
        <v>2467</v>
      </c>
      <c r="Q802" s="33">
        <f t="shared" si="12"/>
        <v>0.28492753623188405</v>
      </c>
    </row>
    <row r="803" spans="1:17" x14ac:dyDescent="0.3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  <c r="L803" t="str">
        <f>IFERROR(VLOOKUP(D803,Products!$A:$C,3,FALSE),"")</f>
        <v>Apparel</v>
      </c>
      <c r="M803" t="str">
        <f>IFERROR(VLOOKUP(C803,Customers!$A:$E,5,FALSE),"")</f>
        <v>Corporate</v>
      </c>
      <c r="N803">
        <f>IFERROR(VLOOKUP(C803,Customers!$A:$E,3,FALSE),"")</f>
        <v>51</v>
      </c>
      <c r="O803" s="33" t="str">
        <f>IFERROR(VLOOKUP(E803,Sales_Reps!$A:$C,3,FALSE),"")</f>
        <v>West</v>
      </c>
      <c r="P803" s="33">
        <f>IFERROR(VLOOKUP(D803,Products!$A:$D,4,FALSE),"")</f>
        <v>1748</v>
      </c>
      <c r="Q803" s="33">
        <f t="shared" si="12"/>
        <v>0.49333333333333335</v>
      </c>
    </row>
    <row r="804" spans="1:17" x14ac:dyDescent="0.3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  <c r="L804" t="str">
        <f>IFERROR(VLOOKUP(D804,Products!$A:$C,3,FALSE),"")</f>
        <v>Beauty</v>
      </c>
      <c r="M804" t="str">
        <f>IFERROR(VLOOKUP(C804,Customers!$A:$E,5,FALSE),"")</f>
        <v>Corporate</v>
      </c>
      <c r="N804">
        <f>IFERROR(VLOOKUP(C804,Customers!$A:$E,3,FALSE),"")</f>
        <v>62</v>
      </c>
      <c r="O804" s="33" t="str">
        <f>IFERROR(VLOOKUP(E804,Sales_Reps!$A:$C,3,FALSE),"")</f>
        <v>West</v>
      </c>
      <c r="P804" s="33">
        <f>IFERROR(VLOOKUP(D804,Products!$A:$D,4,FALSE),"")</f>
        <v>2617</v>
      </c>
      <c r="Q804" s="33">
        <f t="shared" si="12"/>
        <v>0.56957236842105263</v>
      </c>
    </row>
    <row r="805" spans="1:17" x14ac:dyDescent="0.3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  <c r="L805" t="str">
        <f>IFERROR(VLOOKUP(D805,Products!$A:$C,3,FALSE),"")</f>
        <v>Apparel</v>
      </c>
      <c r="M805" t="str">
        <f>IFERROR(VLOOKUP(C805,Customers!$A:$E,5,FALSE),"")</f>
        <v>SMB</v>
      </c>
      <c r="N805">
        <f>IFERROR(VLOOKUP(C805,Customers!$A:$E,3,FALSE),"")</f>
        <v>50</v>
      </c>
      <c r="O805" s="33" t="str">
        <f>IFERROR(VLOOKUP(E805,Sales_Reps!$A:$C,3,FALSE),"")</f>
        <v>South</v>
      </c>
      <c r="P805" s="33">
        <f>IFERROR(VLOOKUP(D805,Products!$A:$D,4,FALSE),"")</f>
        <v>1075</v>
      </c>
      <c r="Q805" s="33">
        <f t="shared" si="12"/>
        <v>0.57171314741035861</v>
      </c>
    </row>
    <row r="806" spans="1:17" x14ac:dyDescent="0.3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  <c r="L806" t="str">
        <f>IFERROR(VLOOKUP(D806,Products!$A:$C,3,FALSE),"")</f>
        <v>Sports</v>
      </c>
      <c r="M806" t="str">
        <f>IFERROR(VLOOKUP(C806,Customers!$A:$E,5,FALSE),"")</f>
        <v>Retail</v>
      </c>
      <c r="N806">
        <f>IFERROR(VLOOKUP(C806,Customers!$A:$E,3,FALSE),"")</f>
        <v>54</v>
      </c>
      <c r="O806" s="33" t="str">
        <f>IFERROR(VLOOKUP(E806,Sales_Reps!$A:$C,3,FALSE),"")</f>
        <v>South</v>
      </c>
      <c r="P806" s="33">
        <f>IFERROR(VLOOKUP(D806,Products!$A:$D,4,FALSE),"")</f>
        <v>516</v>
      </c>
      <c r="Q806" s="33">
        <f t="shared" si="12"/>
        <v>0.4891089108910891</v>
      </c>
    </row>
    <row r="807" spans="1:17" x14ac:dyDescent="0.3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  <c r="L807" t="str">
        <f>IFERROR(VLOOKUP(D807,Products!$A:$C,3,FALSE),"")</f>
        <v>Apparel</v>
      </c>
      <c r="M807" t="str">
        <f>IFERROR(VLOOKUP(C807,Customers!$A:$E,5,FALSE),"")</f>
        <v>Retail</v>
      </c>
      <c r="N807">
        <f>IFERROR(VLOOKUP(C807,Customers!$A:$E,3,FALSE),"")</f>
        <v>54</v>
      </c>
      <c r="O807" s="33" t="str">
        <f>IFERROR(VLOOKUP(E807,Sales_Reps!$A:$C,3,FALSE),"")</f>
        <v>East</v>
      </c>
      <c r="P807" s="33">
        <f>IFERROR(VLOOKUP(D807,Products!$A:$D,4,FALSE),"")</f>
        <v>2629</v>
      </c>
      <c r="Q807" s="33">
        <f t="shared" si="12"/>
        <v>0.26151685393258428</v>
      </c>
    </row>
    <row r="808" spans="1:17" x14ac:dyDescent="0.3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  <c r="L808" t="str">
        <f>IFERROR(VLOOKUP(D808,Products!$A:$C,3,FALSE),"")</f>
        <v>Beauty</v>
      </c>
      <c r="M808" t="str">
        <f>IFERROR(VLOOKUP(C808,Customers!$A:$E,5,FALSE),"")</f>
        <v>Corporate</v>
      </c>
      <c r="N808">
        <f>IFERROR(VLOOKUP(C808,Customers!$A:$E,3,FALSE),"")</f>
        <v>43</v>
      </c>
      <c r="O808" s="33" t="str">
        <f>IFERROR(VLOOKUP(E808,Sales_Reps!$A:$C,3,FALSE),"")</f>
        <v>North</v>
      </c>
      <c r="P808" s="33">
        <f>IFERROR(VLOOKUP(D808,Products!$A:$D,4,FALSE),"")</f>
        <v>1626</v>
      </c>
      <c r="Q808" s="33">
        <f t="shared" si="12"/>
        <v>0.46158940397350995</v>
      </c>
    </row>
    <row r="809" spans="1:17" x14ac:dyDescent="0.3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  <c r="L809" t="str">
        <f>IFERROR(VLOOKUP(D809,Products!$A:$C,3,FALSE),"")</f>
        <v>Grocery</v>
      </c>
      <c r="M809" t="str">
        <f>IFERROR(VLOOKUP(C809,Customers!$A:$E,5,FALSE),"")</f>
        <v>Retail</v>
      </c>
      <c r="N809">
        <f>IFERROR(VLOOKUP(C809,Customers!$A:$E,3,FALSE),"")</f>
        <v>26</v>
      </c>
      <c r="O809" s="33" t="str">
        <f>IFERROR(VLOOKUP(E809,Sales_Reps!$A:$C,3,FALSE),"")</f>
        <v>East</v>
      </c>
      <c r="P809" s="33">
        <f>IFERROR(VLOOKUP(D809,Products!$A:$D,4,FALSE),"")</f>
        <v>2027</v>
      </c>
      <c r="Q809" s="33">
        <f t="shared" si="12"/>
        <v>0.50196560196560192</v>
      </c>
    </row>
    <row r="810" spans="1:17" x14ac:dyDescent="0.3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  <c r="L810" t="str">
        <f>IFERROR(VLOOKUP(D810,Products!$A:$C,3,FALSE),"")</f>
        <v>Home</v>
      </c>
      <c r="M810" t="str">
        <f>IFERROR(VLOOKUP(C810,Customers!$A:$E,5,FALSE),"")</f>
        <v>Retail</v>
      </c>
      <c r="N810">
        <f>IFERROR(VLOOKUP(C810,Customers!$A:$E,3,FALSE),"")</f>
        <v>29</v>
      </c>
      <c r="O810" s="33" t="str">
        <f>IFERROR(VLOOKUP(E810,Sales_Reps!$A:$C,3,FALSE),"")</f>
        <v>East</v>
      </c>
      <c r="P810" s="33">
        <f>IFERROR(VLOOKUP(D810,Products!$A:$D,4,FALSE),"")</f>
        <v>288</v>
      </c>
      <c r="Q810" s="33">
        <f t="shared" si="12"/>
        <v>0.22162162162162163</v>
      </c>
    </row>
    <row r="811" spans="1:17" x14ac:dyDescent="0.3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  <c r="L811" t="str">
        <f>IFERROR(VLOOKUP(D811,Products!$A:$C,3,FALSE),"")</f>
        <v>Grocery</v>
      </c>
      <c r="M811" t="str">
        <f>IFERROR(VLOOKUP(C811,Customers!$A:$E,5,FALSE),"")</f>
        <v>SMB</v>
      </c>
      <c r="N811">
        <f>IFERROR(VLOOKUP(C811,Customers!$A:$E,3,FALSE),"")</f>
        <v>28</v>
      </c>
      <c r="O811" s="33" t="str">
        <f>IFERROR(VLOOKUP(E811,Sales_Reps!$A:$C,3,FALSE),"")</f>
        <v>East</v>
      </c>
      <c r="P811" s="33">
        <f>IFERROR(VLOOKUP(D811,Products!$A:$D,4,FALSE),"")</f>
        <v>434</v>
      </c>
      <c r="Q811" s="33">
        <f t="shared" si="12"/>
        <v>0.5525773195876289</v>
      </c>
    </row>
    <row r="812" spans="1:17" x14ac:dyDescent="0.3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  <c r="L812" t="str">
        <f>IFERROR(VLOOKUP(D812,Products!$A:$C,3,FALSE),"")</f>
        <v>Apparel</v>
      </c>
      <c r="M812" t="str">
        <f>IFERROR(VLOOKUP(C812,Customers!$A:$E,5,FALSE),"")</f>
        <v>SMB</v>
      </c>
      <c r="N812">
        <f>IFERROR(VLOOKUP(C812,Customers!$A:$E,3,FALSE),"")</f>
        <v>60</v>
      </c>
      <c r="O812" s="33" t="str">
        <f>IFERROR(VLOOKUP(E812,Sales_Reps!$A:$C,3,FALSE),"")</f>
        <v>East</v>
      </c>
      <c r="P812" s="33">
        <f>IFERROR(VLOOKUP(D812,Products!$A:$D,4,FALSE),"")</f>
        <v>1962</v>
      </c>
      <c r="Q812" s="33">
        <f t="shared" si="12"/>
        <v>0.2786764705882353</v>
      </c>
    </row>
    <row r="813" spans="1:17" x14ac:dyDescent="0.3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  <c r="L813" t="str">
        <f>IFERROR(VLOOKUP(D813,Products!$A:$C,3,FALSE),"")</f>
        <v>Sports</v>
      </c>
      <c r="M813" t="str">
        <f>IFERROR(VLOOKUP(C813,Customers!$A:$E,5,FALSE),"")</f>
        <v>Corporate</v>
      </c>
      <c r="N813">
        <f>IFERROR(VLOOKUP(C813,Customers!$A:$E,3,FALSE),"")</f>
        <v>43</v>
      </c>
      <c r="O813" s="33" t="str">
        <f>IFERROR(VLOOKUP(E813,Sales_Reps!$A:$C,3,FALSE),"")</f>
        <v>South</v>
      </c>
      <c r="P813" s="33">
        <f>IFERROR(VLOOKUP(D813,Products!$A:$D,4,FALSE),"")</f>
        <v>974</v>
      </c>
      <c r="Q813" s="33">
        <f t="shared" si="12"/>
        <v>0.59416666666666662</v>
      </c>
    </row>
    <row r="814" spans="1:17" x14ac:dyDescent="0.3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  <c r="L814" t="str">
        <f>IFERROR(VLOOKUP(D814,Products!$A:$C,3,FALSE),"")</f>
        <v>Apparel</v>
      </c>
      <c r="M814" t="str">
        <f>IFERROR(VLOOKUP(C814,Customers!$A:$E,5,FALSE),"")</f>
        <v>Retail</v>
      </c>
      <c r="N814">
        <f>IFERROR(VLOOKUP(C814,Customers!$A:$E,3,FALSE),"")</f>
        <v>65</v>
      </c>
      <c r="O814" s="33" t="str">
        <f>IFERROR(VLOOKUP(E814,Sales_Reps!$A:$C,3,FALSE),"")</f>
        <v>South</v>
      </c>
      <c r="P814" s="33">
        <f>IFERROR(VLOOKUP(D814,Products!$A:$D,4,FALSE),"")</f>
        <v>2629</v>
      </c>
      <c r="Q814" s="33">
        <f t="shared" si="12"/>
        <v>0.26151685393258428</v>
      </c>
    </row>
    <row r="815" spans="1:17" x14ac:dyDescent="0.3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  <c r="L815" t="str">
        <f>IFERROR(VLOOKUP(D815,Products!$A:$C,3,FALSE),"")</f>
        <v>Grocery</v>
      </c>
      <c r="M815" t="str">
        <f>IFERROR(VLOOKUP(C815,Customers!$A:$E,5,FALSE),"")</f>
        <v>SMB</v>
      </c>
      <c r="N815">
        <f>IFERROR(VLOOKUP(C815,Customers!$A:$E,3,FALSE),"")</f>
        <v>29</v>
      </c>
      <c r="O815" s="33" t="str">
        <f>IFERROR(VLOOKUP(E815,Sales_Reps!$A:$C,3,FALSE),"")</f>
        <v>South</v>
      </c>
      <c r="P815" s="33">
        <f>IFERROR(VLOOKUP(D815,Products!$A:$D,4,FALSE),"")</f>
        <v>2027</v>
      </c>
      <c r="Q815" s="33">
        <f t="shared" si="12"/>
        <v>0.50196560196560192</v>
      </c>
    </row>
    <row r="816" spans="1:17" x14ac:dyDescent="0.3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  <c r="L816" t="str">
        <f>IFERROR(VLOOKUP(D816,Products!$A:$C,3,FALSE),"")</f>
        <v>Sports</v>
      </c>
      <c r="M816" t="str">
        <f>IFERROR(VLOOKUP(C816,Customers!$A:$E,5,FALSE),"")</f>
        <v>Retail</v>
      </c>
      <c r="N816">
        <f>IFERROR(VLOOKUP(C816,Customers!$A:$E,3,FALSE),"")</f>
        <v>53</v>
      </c>
      <c r="O816" s="33" t="str">
        <f>IFERROR(VLOOKUP(E816,Sales_Reps!$A:$C,3,FALSE),"")</f>
        <v>North</v>
      </c>
      <c r="P816" s="33">
        <f>IFERROR(VLOOKUP(D816,Products!$A:$D,4,FALSE),"")</f>
        <v>2265</v>
      </c>
      <c r="Q816" s="33">
        <f t="shared" si="12"/>
        <v>0.58133086876155271</v>
      </c>
    </row>
    <row r="817" spans="1:17" x14ac:dyDescent="0.3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  <c r="L817" t="str">
        <f>IFERROR(VLOOKUP(D817,Products!$A:$C,3,FALSE),"")</f>
        <v>Grocery</v>
      </c>
      <c r="M817" t="str">
        <f>IFERROR(VLOOKUP(C817,Customers!$A:$E,5,FALSE),"")</f>
        <v>SMB</v>
      </c>
      <c r="N817">
        <f>IFERROR(VLOOKUP(C817,Customers!$A:$E,3,FALSE),"")</f>
        <v>48</v>
      </c>
      <c r="O817" s="33" t="str">
        <f>IFERROR(VLOOKUP(E817,Sales_Reps!$A:$C,3,FALSE),"")</f>
        <v>West</v>
      </c>
      <c r="P817" s="33">
        <f>IFERROR(VLOOKUP(D817,Products!$A:$D,4,FALSE),"")</f>
        <v>1435</v>
      </c>
      <c r="Q817" s="33">
        <f t="shared" si="12"/>
        <v>0.48007246376811596</v>
      </c>
    </row>
    <row r="818" spans="1:17" x14ac:dyDescent="0.3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  <c r="L818" t="str">
        <f>IFERROR(VLOOKUP(D818,Products!$A:$C,3,FALSE),"")</f>
        <v>Home</v>
      </c>
      <c r="M818" t="str">
        <f>IFERROR(VLOOKUP(C818,Customers!$A:$E,5,FALSE),"")</f>
        <v>Retail</v>
      </c>
      <c r="N818">
        <f>IFERROR(VLOOKUP(C818,Customers!$A:$E,3,FALSE),"")</f>
        <v>29</v>
      </c>
      <c r="O818" s="33" t="str">
        <f>IFERROR(VLOOKUP(E818,Sales_Reps!$A:$C,3,FALSE),"")</f>
        <v>South</v>
      </c>
      <c r="P818" s="33">
        <f>IFERROR(VLOOKUP(D818,Products!$A:$D,4,FALSE),"")</f>
        <v>2459</v>
      </c>
      <c r="Q818" s="33">
        <f t="shared" si="12"/>
        <v>0.51594488188976373</v>
      </c>
    </row>
    <row r="819" spans="1:17" x14ac:dyDescent="0.3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  <c r="L819" t="str">
        <f>IFERROR(VLOOKUP(D819,Products!$A:$C,3,FALSE),"")</f>
        <v>Home</v>
      </c>
      <c r="M819" t="str">
        <f>IFERROR(VLOOKUP(C819,Customers!$A:$E,5,FALSE),"")</f>
        <v>Retail</v>
      </c>
      <c r="N819">
        <f>IFERROR(VLOOKUP(C819,Customers!$A:$E,3,FALSE),"")</f>
        <v>39</v>
      </c>
      <c r="O819" s="33" t="str">
        <f>IFERROR(VLOOKUP(E819,Sales_Reps!$A:$C,3,FALSE),"")</f>
        <v>East</v>
      </c>
      <c r="P819" s="33">
        <f>IFERROR(VLOOKUP(D819,Products!$A:$D,4,FALSE),"")</f>
        <v>464</v>
      </c>
      <c r="Q819" s="33">
        <f t="shared" si="12"/>
        <v>0.57431192660550456</v>
      </c>
    </row>
    <row r="820" spans="1:17" x14ac:dyDescent="0.3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  <c r="L820" t="str">
        <f>IFERROR(VLOOKUP(D820,Products!$A:$C,3,FALSE),"")</f>
        <v>Grocery</v>
      </c>
      <c r="M820" t="str">
        <f>IFERROR(VLOOKUP(C820,Customers!$A:$E,5,FALSE),"")</f>
        <v>Corporate</v>
      </c>
      <c r="N820">
        <f>IFERROR(VLOOKUP(C820,Customers!$A:$E,3,FALSE),"")</f>
        <v>41</v>
      </c>
      <c r="O820" s="33" t="str">
        <f>IFERROR(VLOOKUP(E820,Sales_Reps!$A:$C,3,FALSE),"")</f>
        <v>West</v>
      </c>
      <c r="P820" s="33">
        <f>IFERROR(VLOOKUP(D820,Products!$A:$D,4,FALSE),"")</f>
        <v>1182</v>
      </c>
      <c r="Q820" s="33">
        <f t="shared" si="12"/>
        <v>0.50336134453781511</v>
      </c>
    </row>
    <row r="821" spans="1:17" x14ac:dyDescent="0.3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  <c r="L821" t="str">
        <f>IFERROR(VLOOKUP(D821,Products!$A:$C,3,FALSE),"")</f>
        <v>Apparel</v>
      </c>
      <c r="M821" t="str">
        <f>IFERROR(VLOOKUP(C821,Customers!$A:$E,5,FALSE),"")</f>
        <v>SMB</v>
      </c>
      <c r="N821">
        <f>IFERROR(VLOOKUP(C821,Customers!$A:$E,3,FALSE),"")</f>
        <v>43</v>
      </c>
      <c r="O821" s="33" t="str">
        <f>IFERROR(VLOOKUP(E821,Sales_Reps!$A:$C,3,FALSE),"")</f>
        <v>West</v>
      </c>
      <c r="P821" s="33">
        <f>IFERROR(VLOOKUP(D821,Products!$A:$D,4,FALSE),"")</f>
        <v>1886</v>
      </c>
      <c r="Q821" s="33">
        <f t="shared" si="12"/>
        <v>0.4031645569620253</v>
      </c>
    </row>
    <row r="822" spans="1:17" x14ac:dyDescent="0.3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  <c r="L822" t="str">
        <f>IFERROR(VLOOKUP(D822,Products!$A:$C,3,FALSE),"")</f>
        <v>Sports</v>
      </c>
      <c r="M822" t="str">
        <f>IFERROR(VLOOKUP(C822,Customers!$A:$E,5,FALSE),"")</f>
        <v>SMB</v>
      </c>
      <c r="N822">
        <f>IFERROR(VLOOKUP(C822,Customers!$A:$E,3,FALSE),"")</f>
        <v>43</v>
      </c>
      <c r="O822" s="33" t="str">
        <f>IFERROR(VLOOKUP(E822,Sales_Reps!$A:$C,3,FALSE),"")</f>
        <v>West</v>
      </c>
      <c r="P822" s="33">
        <f>IFERROR(VLOOKUP(D822,Products!$A:$D,4,FALSE),"")</f>
        <v>974</v>
      </c>
      <c r="Q822" s="33">
        <f t="shared" si="12"/>
        <v>0.59416666666666662</v>
      </c>
    </row>
    <row r="823" spans="1:17" x14ac:dyDescent="0.3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  <c r="L823" t="str">
        <f>IFERROR(VLOOKUP(D823,Products!$A:$C,3,FALSE),"")</f>
        <v>Electronics</v>
      </c>
      <c r="M823" t="str">
        <f>IFERROR(VLOOKUP(C823,Customers!$A:$E,5,FALSE),"")</f>
        <v>Retail</v>
      </c>
      <c r="N823">
        <f>IFERROR(VLOOKUP(C823,Customers!$A:$E,3,FALSE),"")</f>
        <v>38</v>
      </c>
      <c r="O823" s="33" t="str">
        <f>IFERROR(VLOOKUP(E823,Sales_Reps!$A:$C,3,FALSE),"")</f>
        <v>East</v>
      </c>
      <c r="P823" s="33">
        <f>IFERROR(VLOOKUP(D823,Products!$A:$D,4,FALSE),"")</f>
        <v>1052</v>
      </c>
      <c r="Q823" s="33">
        <f t="shared" si="12"/>
        <v>0.5953846153846154</v>
      </c>
    </row>
    <row r="824" spans="1:17" x14ac:dyDescent="0.3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  <c r="L824" t="str">
        <f>IFERROR(VLOOKUP(D824,Products!$A:$C,3,FALSE),"")</f>
        <v>Grocery</v>
      </c>
      <c r="M824" t="str">
        <f>IFERROR(VLOOKUP(C824,Customers!$A:$E,5,FALSE),"")</f>
        <v/>
      </c>
      <c r="N824" t="str">
        <f>IFERROR(VLOOKUP(C824,Customers!$A:$E,3,FALSE),"")</f>
        <v/>
      </c>
      <c r="O824" s="33" t="str">
        <f>IFERROR(VLOOKUP(E824,Sales_Reps!$A:$C,3,FALSE),"")</f>
        <v>East</v>
      </c>
      <c r="P824" s="33">
        <f>IFERROR(VLOOKUP(D824,Products!$A:$D,4,FALSE),"")</f>
        <v>1203</v>
      </c>
      <c r="Q824" s="33">
        <f t="shared" si="12"/>
        <v>0.47004405286343615</v>
      </c>
    </row>
    <row r="825" spans="1:17" x14ac:dyDescent="0.3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  <c r="L825" t="str">
        <f>IFERROR(VLOOKUP(D825,Products!$A:$C,3,FALSE),"")</f>
        <v>Home</v>
      </c>
      <c r="M825" t="str">
        <f>IFERROR(VLOOKUP(C825,Customers!$A:$E,5,FALSE),"")</f>
        <v>Corporate</v>
      </c>
      <c r="N825">
        <f>IFERROR(VLOOKUP(C825,Customers!$A:$E,3,FALSE),"")</f>
        <v>41</v>
      </c>
      <c r="O825" s="33" t="str">
        <f>IFERROR(VLOOKUP(E825,Sales_Reps!$A:$C,3,FALSE),"")</f>
        <v>East</v>
      </c>
      <c r="P825" s="33">
        <f>IFERROR(VLOOKUP(D825,Products!$A:$D,4,FALSE),"")</f>
        <v>2549</v>
      </c>
      <c r="Q825" s="33">
        <f t="shared" si="12"/>
        <v>0.53570127504553733</v>
      </c>
    </row>
    <row r="826" spans="1:17" x14ac:dyDescent="0.3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  <c r="L826" t="str">
        <f>IFERROR(VLOOKUP(D826,Products!$A:$C,3,FALSE),"")</f>
        <v>Electronics</v>
      </c>
      <c r="M826" t="str">
        <f>IFERROR(VLOOKUP(C826,Customers!$A:$E,5,FALSE),"")</f>
        <v>SMB</v>
      </c>
      <c r="N826">
        <f>IFERROR(VLOOKUP(C826,Customers!$A:$E,3,FALSE),"")</f>
        <v>35</v>
      </c>
      <c r="O826" s="33" t="str">
        <f>IFERROR(VLOOKUP(E826,Sales_Reps!$A:$C,3,FALSE),"")</f>
        <v>South</v>
      </c>
      <c r="P826" s="33">
        <f>IFERROR(VLOOKUP(D826,Products!$A:$D,4,FALSE),"")</f>
        <v>1559</v>
      </c>
      <c r="Q826" s="33">
        <f t="shared" si="12"/>
        <v>0.59715762273901807</v>
      </c>
    </row>
    <row r="827" spans="1:17" x14ac:dyDescent="0.3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  <c r="L827" t="str">
        <f>IFERROR(VLOOKUP(D827,Products!$A:$C,3,FALSE),"")</f>
        <v>Beauty</v>
      </c>
      <c r="M827" t="str">
        <f>IFERROR(VLOOKUP(C827,Customers!$A:$E,5,FALSE),"")</f>
        <v>Retail</v>
      </c>
      <c r="N827">
        <f>IFERROR(VLOOKUP(C827,Customers!$A:$E,3,FALSE),"")</f>
        <v>28</v>
      </c>
      <c r="O827" s="33" t="str">
        <f>IFERROR(VLOOKUP(E827,Sales_Reps!$A:$C,3,FALSE),"")</f>
        <v>West</v>
      </c>
      <c r="P827" s="33">
        <f>IFERROR(VLOOKUP(D827,Products!$A:$D,4,FALSE),"")</f>
        <v>675</v>
      </c>
      <c r="Q827" s="33">
        <f t="shared" si="12"/>
        <v>0.296875</v>
      </c>
    </row>
    <row r="828" spans="1:17" x14ac:dyDescent="0.3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  <c r="L828" t="str">
        <f>IFERROR(VLOOKUP(D828,Products!$A:$C,3,FALSE),"")</f>
        <v>Beauty</v>
      </c>
      <c r="M828" t="str">
        <f>IFERROR(VLOOKUP(C828,Customers!$A:$E,5,FALSE),"")</f>
        <v>Retail</v>
      </c>
      <c r="N828">
        <f>IFERROR(VLOOKUP(C828,Customers!$A:$E,3,FALSE),"")</f>
        <v>37</v>
      </c>
      <c r="O828" s="33" t="str">
        <f>IFERROR(VLOOKUP(E828,Sales_Reps!$A:$C,3,FALSE),"")</f>
        <v>North</v>
      </c>
      <c r="P828" s="33">
        <f>IFERROR(VLOOKUP(D828,Products!$A:$D,4,FALSE),"")</f>
        <v>2768</v>
      </c>
      <c r="Q828" s="33">
        <f t="shared" si="12"/>
        <v>0.43278688524590164</v>
      </c>
    </row>
    <row r="829" spans="1:17" x14ac:dyDescent="0.3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  <c r="L829" t="str">
        <f>IFERROR(VLOOKUP(D829,Products!$A:$C,3,FALSE),"")</f>
        <v>Sports</v>
      </c>
      <c r="M829" t="str">
        <f>IFERROR(VLOOKUP(C829,Customers!$A:$E,5,FALSE),"")</f>
        <v>SMB</v>
      </c>
      <c r="N829">
        <f>IFERROR(VLOOKUP(C829,Customers!$A:$E,3,FALSE),"")</f>
        <v>27</v>
      </c>
      <c r="O829" s="33" t="str">
        <f>IFERROR(VLOOKUP(E829,Sales_Reps!$A:$C,3,FALSE),"")</f>
        <v>North</v>
      </c>
      <c r="P829" s="33">
        <f>IFERROR(VLOOKUP(D829,Products!$A:$D,4,FALSE),"")</f>
        <v>974</v>
      </c>
      <c r="Q829" s="33">
        <f t="shared" si="12"/>
        <v>0.59416666666666662</v>
      </c>
    </row>
    <row r="830" spans="1:17" x14ac:dyDescent="0.3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  <c r="L830" t="str">
        <f>IFERROR(VLOOKUP(D830,Products!$A:$C,3,FALSE),"")</f>
        <v>Apparel</v>
      </c>
      <c r="M830" t="str">
        <f>IFERROR(VLOOKUP(C830,Customers!$A:$E,5,FALSE),"")</f>
        <v>SMB</v>
      </c>
      <c r="N830">
        <f>IFERROR(VLOOKUP(C830,Customers!$A:$E,3,FALSE),"")</f>
        <v>54</v>
      </c>
      <c r="O830" s="33" t="str">
        <f>IFERROR(VLOOKUP(E830,Sales_Reps!$A:$C,3,FALSE),"")</f>
        <v>South</v>
      </c>
      <c r="P830" s="33">
        <f>IFERROR(VLOOKUP(D830,Products!$A:$D,4,FALSE),"")</f>
        <v>396</v>
      </c>
      <c r="Q830" s="33">
        <f t="shared" si="12"/>
        <v>0.36129032258064514</v>
      </c>
    </row>
    <row r="831" spans="1:17" x14ac:dyDescent="0.3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  <c r="L831" t="str">
        <f>IFERROR(VLOOKUP(D831,Products!$A:$C,3,FALSE),"")</f>
        <v>Home</v>
      </c>
      <c r="M831" t="str">
        <f>IFERROR(VLOOKUP(C831,Customers!$A:$E,5,FALSE),"")</f>
        <v>Retail</v>
      </c>
      <c r="N831">
        <f>IFERROR(VLOOKUP(C831,Customers!$A:$E,3,FALSE),"")</f>
        <v>36</v>
      </c>
      <c r="O831" s="33" t="str">
        <f>IFERROR(VLOOKUP(E831,Sales_Reps!$A:$C,3,FALSE),"")</f>
        <v>South</v>
      </c>
      <c r="P831" s="33">
        <f>IFERROR(VLOOKUP(D831,Products!$A:$D,4,FALSE),"")</f>
        <v>1850</v>
      </c>
      <c r="Q831" s="33">
        <f t="shared" si="12"/>
        <v>0.59869848156182215</v>
      </c>
    </row>
    <row r="832" spans="1:17" x14ac:dyDescent="0.3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  <c r="L832" t="str">
        <f>IFERROR(VLOOKUP(D832,Products!$A:$C,3,FALSE),"")</f>
        <v>Home</v>
      </c>
      <c r="M832" t="str">
        <f>IFERROR(VLOOKUP(C832,Customers!$A:$E,5,FALSE),"")</f>
        <v>SMB</v>
      </c>
      <c r="N832">
        <f>IFERROR(VLOOKUP(C832,Customers!$A:$E,3,FALSE),"")</f>
        <v>51</v>
      </c>
      <c r="O832" s="33" t="str">
        <f>IFERROR(VLOOKUP(E832,Sales_Reps!$A:$C,3,FALSE),"")</f>
        <v>South</v>
      </c>
      <c r="P832" s="33">
        <f>IFERROR(VLOOKUP(D832,Products!$A:$D,4,FALSE),"")</f>
        <v>1850</v>
      </c>
      <c r="Q832" s="33">
        <f t="shared" si="12"/>
        <v>0.59869848156182215</v>
      </c>
    </row>
    <row r="833" spans="1:17" x14ac:dyDescent="0.3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  <c r="L833" t="str">
        <f>IFERROR(VLOOKUP(D833,Products!$A:$C,3,FALSE),"")</f>
        <v>Grocery</v>
      </c>
      <c r="M833" t="str">
        <f>IFERROR(VLOOKUP(C833,Customers!$A:$E,5,FALSE),"")</f>
        <v>SMB</v>
      </c>
      <c r="N833">
        <f>IFERROR(VLOOKUP(C833,Customers!$A:$E,3,FALSE),"")</f>
        <v>31</v>
      </c>
      <c r="O833" s="33" t="str">
        <f>IFERROR(VLOOKUP(E833,Sales_Reps!$A:$C,3,FALSE),"")</f>
        <v>West</v>
      </c>
      <c r="P833" s="33">
        <f>IFERROR(VLOOKUP(D833,Products!$A:$D,4,FALSE),"")</f>
        <v>434</v>
      </c>
      <c r="Q833" s="33">
        <f t="shared" si="12"/>
        <v>0.5525773195876289</v>
      </c>
    </row>
    <row r="834" spans="1:17" x14ac:dyDescent="0.3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  <c r="L834" t="str">
        <f>IFERROR(VLOOKUP(D834,Products!$A:$C,3,FALSE),"")</f>
        <v>Electronics</v>
      </c>
      <c r="M834" t="str">
        <f>IFERROR(VLOOKUP(C834,Customers!$A:$E,5,FALSE),"")</f>
        <v>Corporate</v>
      </c>
      <c r="N834">
        <f>IFERROR(VLOOKUP(C834,Customers!$A:$E,3,FALSE),"")</f>
        <v>35</v>
      </c>
      <c r="O834" s="33" t="str">
        <f>IFERROR(VLOOKUP(E834,Sales_Reps!$A:$C,3,FALSE),"")</f>
        <v>West</v>
      </c>
      <c r="P834" s="33">
        <f>IFERROR(VLOOKUP(D834,Products!$A:$D,4,FALSE),"")</f>
        <v>861</v>
      </c>
      <c r="Q834" s="33">
        <f t="shared" si="12"/>
        <v>0.39790209790209791</v>
      </c>
    </row>
    <row r="835" spans="1:17" x14ac:dyDescent="0.3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  <c r="L835" t="str">
        <f>IFERROR(VLOOKUP(D835,Products!$A:$C,3,FALSE),"")</f>
        <v>Grocery</v>
      </c>
      <c r="M835" t="str">
        <f>IFERROR(VLOOKUP(C835,Customers!$A:$E,5,FALSE),"")</f>
        <v>SMB</v>
      </c>
      <c r="N835">
        <f>IFERROR(VLOOKUP(C835,Customers!$A:$E,3,FALSE),"")</f>
        <v>50</v>
      </c>
      <c r="O835" s="33" t="str">
        <f>IFERROR(VLOOKUP(E835,Sales_Reps!$A:$C,3,FALSE),"")</f>
        <v>South</v>
      </c>
      <c r="P835" s="33">
        <f>IFERROR(VLOOKUP(D835,Products!$A:$D,4,FALSE),"")</f>
        <v>2436</v>
      </c>
      <c r="Q835" s="33">
        <f t="shared" ref="Q835:Q898" si="13">IFERROR((G835-P835)/G835,"")</f>
        <v>0.35555555555555557</v>
      </c>
    </row>
    <row r="836" spans="1:17" x14ac:dyDescent="0.3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  <c r="L836" t="str">
        <f>IFERROR(VLOOKUP(D836,Products!$A:$C,3,FALSE),"")</f>
        <v>Beauty</v>
      </c>
      <c r="M836" t="str">
        <f>IFERROR(VLOOKUP(C836,Customers!$A:$E,5,FALSE),"")</f>
        <v>SMB</v>
      </c>
      <c r="N836">
        <f>IFERROR(VLOOKUP(C836,Customers!$A:$E,3,FALSE),"")</f>
        <v>65</v>
      </c>
      <c r="O836" s="33" t="str">
        <f>IFERROR(VLOOKUP(E836,Sales_Reps!$A:$C,3,FALSE),"")</f>
        <v>East</v>
      </c>
      <c r="P836" s="33">
        <f>IFERROR(VLOOKUP(D836,Products!$A:$D,4,FALSE),"")</f>
        <v>647</v>
      </c>
      <c r="Q836" s="33">
        <f t="shared" si="13"/>
        <v>0.57987012987012987</v>
      </c>
    </row>
    <row r="837" spans="1:17" x14ac:dyDescent="0.3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  <c r="L837" t="str">
        <f>IFERROR(VLOOKUP(D837,Products!$A:$C,3,FALSE),"")</f>
        <v>Home</v>
      </c>
      <c r="M837" t="str">
        <f>IFERROR(VLOOKUP(C837,Customers!$A:$E,5,FALSE),"")</f>
        <v>Retail</v>
      </c>
      <c r="N837">
        <f>IFERROR(VLOOKUP(C837,Customers!$A:$E,3,FALSE),"")</f>
        <v>39</v>
      </c>
      <c r="O837" s="33" t="str">
        <f>IFERROR(VLOOKUP(E837,Sales_Reps!$A:$C,3,FALSE),"")</f>
        <v>East</v>
      </c>
      <c r="P837" s="33">
        <f>IFERROR(VLOOKUP(D837,Products!$A:$D,4,FALSE),"")</f>
        <v>519</v>
      </c>
      <c r="Q837" s="33">
        <f t="shared" si="13"/>
        <v>0.51944444444444449</v>
      </c>
    </row>
    <row r="838" spans="1:17" x14ac:dyDescent="0.3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  <c r="L838" t="str">
        <f>IFERROR(VLOOKUP(D838,Products!$A:$C,3,FALSE),"")</f>
        <v>Sports</v>
      </c>
      <c r="M838" t="str">
        <f>IFERROR(VLOOKUP(C838,Customers!$A:$E,5,FALSE),"")</f>
        <v>Retail</v>
      </c>
      <c r="N838">
        <f>IFERROR(VLOOKUP(C838,Customers!$A:$E,3,FALSE),"")</f>
        <v>65</v>
      </c>
      <c r="O838" s="33" t="str">
        <f>IFERROR(VLOOKUP(E838,Sales_Reps!$A:$C,3,FALSE),"")</f>
        <v>North</v>
      </c>
      <c r="P838" s="33">
        <f>IFERROR(VLOOKUP(D838,Products!$A:$D,4,FALSE),"")</f>
        <v>974</v>
      </c>
      <c r="Q838" s="33">
        <f t="shared" si="13"/>
        <v>0.59416666666666662</v>
      </c>
    </row>
    <row r="839" spans="1:17" x14ac:dyDescent="0.3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  <c r="L839" t="str">
        <f>IFERROR(VLOOKUP(D839,Products!$A:$C,3,FALSE),"")</f>
        <v>Home</v>
      </c>
      <c r="M839" t="str">
        <f>IFERROR(VLOOKUP(C839,Customers!$A:$E,5,FALSE),"")</f>
        <v>SMB</v>
      </c>
      <c r="N839">
        <f>IFERROR(VLOOKUP(C839,Customers!$A:$E,3,FALSE),"")</f>
        <v>46</v>
      </c>
      <c r="O839" s="33" t="str">
        <f>IFERROR(VLOOKUP(E839,Sales_Reps!$A:$C,3,FALSE),"")</f>
        <v>East</v>
      </c>
      <c r="P839" s="33">
        <f>IFERROR(VLOOKUP(D839,Products!$A:$D,4,FALSE),"")</f>
        <v>519</v>
      </c>
      <c r="Q839" s="33">
        <f t="shared" si="13"/>
        <v>0.51944444444444449</v>
      </c>
    </row>
    <row r="840" spans="1:17" x14ac:dyDescent="0.3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  <c r="L840" t="str">
        <f>IFERROR(VLOOKUP(D840,Products!$A:$C,3,FALSE),"")</f>
        <v>Grocery</v>
      </c>
      <c r="M840" t="str">
        <f>IFERROR(VLOOKUP(C840,Customers!$A:$E,5,FALSE),"")</f>
        <v>SMB</v>
      </c>
      <c r="N840">
        <f>IFERROR(VLOOKUP(C840,Customers!$A:$E,3,FALSE),"")</f>
        <v>51</v>
      </c>
      <c r="O840" s="33" t="str">
        <f>IFERROR(VLOOKUP(E840,Sales_Reps!$A:$C,3,FALSE),"")</f>
        <v>West</v>
      </c>
      <c r="P840" s="33">
        <f>IFERROR(VLOOKUP(D840,Products!$A:$D,4,FALSE),"")</f>
        <v>1203</v>
      </c>
      <c r="Q840" s="33">
        <f t="shared" si="13"/>
        <v>0.47004405286343615</v>
      </c>
    </row>
    <row r="841" spans="1:17" x14ac:dyDescent="0.3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  <c r="L841" t="str">
        <f>IFERROR(VLOOKUP(D841,Products!$A:$C,3,FALSE),"")</f>
        <v>Grocery</v>
      </c>
      <c r="M841" t="str">
        <f>IFERROR(VLOOKUP(C841,Customers!$A:$E,5,FALSE),"")</f>
        <v>SMB</v>
      </c>
      <c r="N841">
        <f>IFERROR(VLOOKUP(C841,Customers!$A:$E,3,FALSE),"")</f>
        <v>27</v>
      </c>
      <c r="O841" s="33" t="str">
        <f>IFERROR(VLOOKUP(E841,Sales_Reps!$A:$C,3,FALSE),"")</f>
        <v>West</v>
      </c>
      <c r="P841" s="33">
        <f>IFERROR(VLOOKUP(D841,Products!$A:$D,4,FALSE),"")</f>
        <v>2214</v>
      </c>
      <c r="Q841" s="33">
        <f t="shared" si="13"/>
        <v>0.39508196721311473</v>
      </c>
    </row>
    <row r="842" spans="1:17" x14ac:dyDescent="0.3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  <c r="L842" t="str">
        <f>IFERROR(VLOOKUP(D842,Products!$A:$C,3,FALSE),"")</f>
        <v>Home</v>
      </c>
      <c r="M842" t="str">
        <f>IFERROR(VLOOKUP(C842,Customers!$A:$E,5,FALSE),"")</f>
        <v>SMB</v>
      </c>
      <c r="N842">
        <f>IFERROR(VLOOKUP(C842,Customers!$A:$E,3,FALSE),"")</f>
        <v>48</v>
      </c>
      <c r="O842" s="33" t="str">
        <f>IFERROR(VLOOKUP(E842,Sales_Reps!$A:$C,3,FALSE),"")</f>
        <v>North</v>
      </c>
      <c r="P842" s="33">
        <f>IFERROR(VLOOKUP(D842,Products!$A:$D,4,FALSE),"")</f>
        <v>1556</v>
      </c>
      <c r="Q842" s="33">
        <f t="shared" si="13"/>
        <v>0.52123076923076928</v>
      </c>
    </row>
    <row r="843" spans="1:17" x14ac:dyDescent="0.3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  <c r="L843" t="str">
        <f>IFERROR(VLOOKUP(D843,Products!$A:$C,3,FALSE),"")</f>
        <v>Beauty</v>
      </c>
      <c r="M843" t="str">
        <f>IFERROR(VLOOKUP(C843,Customers!$A:$E,5,FALSE),"")</f>
        <v>SMB</v>
      </c>
      <c r="N843">
        <f>IFERROR(VLOOKUP(C843,Customers!$A:$E,3,FALSE),"")</f>
        <v>24</v>
      </c>
      <c r="O843" s="33" t="str">
        <f>IFERROR(VLOOKUP(E843,Sales_Reps!$A:$C,3,FALSE),"")</f>
        <v>South</v>
      </c>
      <c r="P843" s="33">
        <f>IFERROR(VLOOKUP(D843,Products!$A:$D,4,FALSE),"")</f>
        <v>1222</v>
      </c>
      <c r="Q843" s="33">
        <f t="shared" si="13"/>
        <v>0.2593939393939394</v>
      </c>
    </row>
    <row r="844" spans="1:17" x14ac:dyDescent="0.3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  <c r="L844" t="str">
        <f>IFERROR(VLOOKUP(D844,Products!$A:$C,3,FALSE),"")</f>
        <v>Home</v>
      </c>
      <c r="M844" t="str">
        <f>IFERROR(VLOOKUP(C844,Customers!$A:$E,5,FALSE),"")</f>
        <v>SMB</v>
      </c>
      <c r="N844">
        <f>IFERROR(VLOOKUP(C844,Customers!$A:$E,3,FALSE),"")</f>
        <v>43</v>
      </c>
      <c r="O844" s="33" t="str">
        <f>IFERROR(VLOOKUP(E844,Sales_Reps!$A:$C,3,FALSE),"")</f>
        <v>North</v>
      </c>
      <c r="P844" s="33">
        <f>IFERROR(VLOOKUP(D844,Products!$A:$D,4,FALSE),"")</f>
        <v>2459</v>
      </c>
      <c r="Q844" s="33">
        <f t="shared" si="13"/>
        <v>0.51594488188976373</v>
      </c>
    </row>
    <row r="845" spans="1:17" x14ac:dyDescent="0.3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  <c r="L845" t="str">
        <f>IFERROR(VLOOKUP(D845,Products!$A:$C,3,FALSE),"")</f>
        <v>Sports</v>
      </c>
      <c r="M845" t="str">
        <f>IFERROR(VLOOKUP(C845,Customers!$A:$E,5,FALSE),"")</f>
        <v>Retail</v>
      </c>
      <c r="N845">
        <f>IFERROR(VLOOKUP(C845,Customers!$A:$E,3,FALSE),"")</f>
        <v>61</v>
      </c>
      <c r="O845" s="33" t="str">
        <f>IFERROR(VLOOKUP(E845,Sales_Reps!$A:$C,3,FALSE),"")</f>
        <v>West</v>
      </c>
      <c r="P845" s="33">
        <f>IFERROR(VLOOKUP(D845,Products!$A:$D,4,FALSE),"")</f>
        <v>2467</v>
      </c>
      <c r="Q845" s="33">
        <f t="shared" si="13"/>
        <v>0.28492753623188405</v>
      </c>
    </row>
    <row r="846" spans="1:17" x14ac:dyDescent="0.3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  <c r="L846" t="str">
        <f>IFERROR(VLOOKUP(D846,Products!$A:$C,3,FALSE),"")</f>
        <v>Beauty</v>
      </c>
      <c r="M846" t="str">
        <f>IFERROR(VLOOKUP(C846,Customers!$A:$E,5,FALSE),"")</f>
        <v>Retail</v>
      </c>
      <c r="N846">
        <f>IFERROR(VLOOKUP(C846,Customers!$A:$E,3,FALSE),"")</f>
        <v>41</v>
      </c>
      <c r="O846" s="33" t="str">
        <f>IFERROR(VLOOKUP(E846,Sales_Reps!$A:$C,3,FALSE),"")</f>
        <v>East</v>
      </c>
      <c r="P846" s="33">
        <f>IFERROR(VLOOKUP(D846,Products!$A:$D,4,FALSE),"")</f>
        <v>1728</v>
      </c>
      <c r="Q846" s="33">
        <f t="shared" si="13"/>
        <v>0.48417910447761192</v>
      </c>
    </row>
    <row r="847" spans="1:17" x14ac:dyDescent="0.3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  <c r="L847" t="str">
        <f>IFERROR(VLOOKUP(D847,Products!$A:$C,3,FALSE),"")</f>
        <v>Grocery</v>
      </c>
      <c r="M847" t="str">
        <f>IFERROR(VLOOKUP(C847,Customers!$A:$E,5,FALSE),"")</f>
        <v>Retail</v>
      </c>
      <c r="N847">
        <f>IFERROR(VLOOKUP(C847,Customers!$A:$E,3,FALSE),"")</f>
        <v>31</v>
      </c>
      <c r="O847" s="33" t="str">
        <f>IFERROR(VLOOKUP(E847,Sales_Reps!$A:$C,3,FALSE),"")</f>
        <v>West</v>
      </c>
      <c r="P847" s="33">
        <f>IFERROR(VLOOKUP(D847,Products!$A:$D,4,FALSE),"")</f>
        <v>1010</v>
      </c>
      <c r="Q847" s="33">
        <f t="shared" si="13"/>
        <v>0.54298642533936647</v>
      </c>
    </row>
    <row r="848" spans="1:17" x14ac:dyDescent="0.3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  <c r="L848" t="str">
        <f>IFERROR(VLOOKUP(D848,Products!$A:$C,3,FALSE),"")</f>
        <v>Beauty</v>
      </c>
      <c r="M848" t="str">
        <f>IFERROR(VLOOKUP(C848,Customers!$A:$E,5,FALSE),"")</f>
        <v>Retail</v>
      </c>
      <c r="N848">
        <f>IFERROR(VLOOKUP(C848,Customers!$A:$E,3,FALSE),"")</f>
        <v>43</v>
      </c>
      <c r="O848" s="33" t="str">
        <f>IFERROR(VLOOKUP(E848,Sales_Reps!$A:$C,3,FALSE),"")</f>
        <v>North</v>
      </c>
      <c r="P848" s="33">
        <f>IFERROR(VLOOKUP(D848,Products!$A:$D,4,FALSE),"")</f>
        <v>2768</v>
      </c>
      <c r="Q848" s="33">
        <f t="shared" si="13"/>
        <v>0.43278688524590164</v>
      </c>
    </row>
    <row r="849" spans="1:17" x14ac:dyDescent="0.3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  <c r="L849" t="str">
        <f>IFERROR(VLOOKUP(D849,Products!$A:$C,3,FALSE),"")</f>
        <v>Sports</v>
      </c>
      <c r="M849" t="str">
        <f>IFERROR(VLOOKUP(C849,Customers!$A:$E,5,FALSE),"")</f>
        <v>Retail</v>
      </c>
      <c r="N849">
        <f>IFERROR(VLOOKUP(C849,Customers!$A:$E,3,FALSE),"")</f>
        <v>49</v>
      </c>
      <c r="O849" s="33" t="str">
        <f>IFERROR(VLOOKUP(E849,Sales_Reps!$A:$C,3,FALSE),"")</f>
        <v>North</v>
      </c>
      <c r="P849" s="33">
        <f>IFERROR(VLOOKUP(D849,Products!$A:$D,4,FALSE),"")</f>
        <v>2028</v>
      </c>
      <c r="Q849" s="33">
        <f t="shared" si="13"/>
        <v>0.29090909090909089</v>
      </c>
    </row>
    <row r="850" spans="1:17" x14ac:dyDescent="0.3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  <c r="L850" t="str">
        <f>IFERROR(VLOOKUP(D850,Products!$A:$C,3,FALSE),"")</f>
        <v>Grocery</v>
      </c>
      <c r="M850" t="str">
        <f>IFERROR(VLOOKUP(C850,Customers!$A:$E,5,FALSE),"")</f>
        <v>Retail</v>
      </c>
      <c r="N850">
        <f>IFERROR(VLOOKUP(C850,Customers!$A:$E,3,FALSE),"")</f>
        <v>65</v>
      </c>
      <c r="O850" s="33" t="str">
        <f>IFERROR(VLOOKUP(E850,Sales_Reps!$A:$C,3,FALSE),"")</f>
        <v>North</v>
      </c>
      <c r="P850" s="33">
        <f>IFERROR(VLOOKUP(D850,Products!$A:$D,4,FALSE),"")</f>
        <v>434</v>
      </c>
      <c r="Q850" s="33">
        <f t="shared" si="13"/>
        <v>0.5525773195876289</v>
      </c>
    </row>
    <row r="851" spans="1:17" x14ac:dyDescent="0.3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  <c r="L851" t="str">
        <f>IFERROR(VLOOKUP(D851,Products!$A:$C,3,FALSE),"")</f>
        <v>Grocery</v>
      </c>
      <c r="M851" t="str">
        <f>IFERROR(VLOOKUP(C851,Customers!$A:$E,5,FALSE),"")</f>
        <v>Corporate</v>
      </c>
      <c r="N851">
        <f>IFERROR(VLOOKUP(C851,Customers!$A:$E,3,FALSE),"")</f>
        <v>29</v>
      </c>
      <c r="O851" s="33" t="str">
        <f>IFERROR(VLOOKUP(E851,Sales_Reps!$A:$C,3,FALSE),"")</f>
        <v>North</v>
      </c>
      <c r="P851" s="33">
        <f>IFERROR(VLOOKUP(D851,Products!$A:$D,4,FALSE),"")</f>
        <v>1412</v>
      </c>
      <c r="Q851" s="33">
        <f t="shared" si="13"/>
        <v>0.37797356828193834</v>
      </c>
    </row>
    <row r="852" spans="1:17" x14ac:dyDescent="0.3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  <c r="L852" t="str">
        <f>IFERROR(VLOOKUP(D852,Products!$A:$C,3,FALSE),"")</f>
        <v>Apparel</v>
      </c>
      <c r="M852" t="str">
        <f>IFERROR(VLOOKUP(C852,Customers!$A:$E,5,FALSE),"")</f>
        <v>SMB</v>
      </c>
      <c r="N852">
        <f>IFERROR(VLOOKUP(C852,Customers!$A:$E,3,FALSE),"")</f>
        <v>62</v>
      </c>
      <c r="O852" s="33" t="str">
        <f>IFERROR(VLOOKUP(E852,Sales_Reps!$A:$C,3,FALSE),"")</f>
        <v>South</v>
      </c>
      <c r="P852" s="33">
        <f>IFERROR(VLOOKUP(D852,Products!$A:$D,4,FALSE),"")</f>
        <v>2629</v>
      </c>
      <c r="Q852" s="33">
        <f t="shared" si="13"/>
        <v>0.26151685393258428</v>
      </c>
    </row>
    <row r="853" spans="1:17" x14ac:dyDescent="0.3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  <c r="L853" t="str">
        <f>IFERROR(VLOOKUP(D853,Products!$A:$C,3,FALSE),"")</f>
        <v>Sports</v>
      </c>
      <c r="M853" t="str">
        <f>IFERROR(VLOOKUP(C853,Customers!$A:$E,5,FALSE),"")</f>
        <v>Corporate</v>
      </c>
      <c r="N853">
        <f>IFERROR(VLOOKUP(C853,Customers!$A:$E,3,FALSE),"")</f>
        <v>55</v>
      </c>
      <c r="O853" s="33" t="str">
        <f>IFERROR(VLOOKUP(E853,Sales_Reps!$A:$C,3,FALSE),"")</f>
        <v>South</v>
      </c>
      <c r="P853" s="33">
        <f>IFERROR(VLOOKUP(D853,Products!$A:$D,4,FALSE),"")</f>
        <v>2265</v>
      </c>
      <c r="Q853" s="33">
        <f t="shared" si="13"/>
        <v>0.58133086876155271</v>
      </c>
    </row>
    <row r="854" spans="1:17" x14ac:dyDescent="0.3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  <c r="L854" t="str">
        <f>IFERROR(VLOOKUP(D854,Products!$A:$C,3,FALSE),"")</f>
        <v>Apparel</v>
      </c>
      <c r="M854" t="str">
        <f>IFERROR(VLOOKUP(C854,Customers!$A:$E,5,FALSE),"")</f>
        <v>Retail</v>
      </c>
      <c r="N854">
        <f>IFERROR(VLOOKUP(C854,Customers!$A:$E,3,FALSE),"")</f>
        <v>28</v>
      </c>
      <c r="O854" s="33" t="str">
        <f>IFERROR(VLOOKUP(E854,Sales_Reps!$A:$C,3,FALSE),"")</f>
        <v>North</v>
      </c>
      <c r="P854" s="33">
        <f>IFERROR(VLOOKUP(D854,Products!$A:$D,4,FALSE),"")</f>
        <v>1173</v>
      </c>
      <c r="Q854" s="33">
        <f t="shared" si="13"/>
        <v>0.52701612903225803</v>
      </c>
    </row>
    <row r="855" spans="1:17" x14ac:dyDescent="0.3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  <c r="L855" t="str">
        <f>IFERROR(VLOOKUP(D855,Products!$A:$C,3,FALSE),"")</f>
        <v>Apparel</v>
      </c>
      <c r="M855" t="str">
        <f>IFERROR(VLOOKUP(C855,Customers!$A:$E,5,FALSE),"")</f>
        <v>Retail</v>
      </c>
      <c r="N855">
        <f>IFERROR(VLOOKUP(C855,Customers!$A:$E,3,FALSE),"")</f>
        <v>45</v>
      </c>
      <c r="O855" s="33" t="str">
        <f>IFERROR(VLOOKUP(E855,Sales_Reps!$A:$C,3,FALSE),"")</f>
        <v>South</v>
      </c>
      <c r="P855" s="33">
        <f>IFERROR(VLOOKUP(D855,Products!$A:$D,4,FALSE),"")</f>
        <v>391</v>
      </c>
      <c r="Q855" s="33">
        <f t="shared" si="13"/>
        <v>0.52317073170731709</v>
      </c>
    </row>
    <row r="856" spans="1:17" x14ac:dyDescent="0.3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  <c r="L856" t="str">
        <f>IFERROR(VLOOKUP(D856,Products!$A:$C,3,FALSE),"")</f>
        <v>Electronics</v>
      </c>
      <c r="M856" t="str">
        <f>IFERROR(VLOOKUP(C856,Customers!$A:$E,5,FALSE),"")</f>
        <v>Retail</v>
      </c>
      <c r="N856">
        <f>IFERROR(VLOOKUP(C856,Customers!$A:$E,3,FALSE),"")</f>
        <v>34</v>
      </c>
      <c r="O856" s="33" t="str">
        <f>IFERROR(VLOOKUP(E856,Sales_Reps!$A:$C,3,FALSE),"")</f>
        <v>South</v>
      </c>
      <c r="P856" s="33">
        <f>IFERROR(VLOOKUP(D856,Products!$A:$D,4,FALSE),"")</f>
        <v>2405</v>
      </c>
      <c r="Q856" s="33">
        <f t="shared" si="13"/>
        <v>0.54878048780487809</v>
      </c>
    </row>
    <row r="857" spans="1:17" x14ac:dyDescent="0.3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  <c r="L857" t="str">
        <f>IFERROR(VLOOKUP(D857,Products!$A:$C,3,FALSE),"")</f>
        <v>Beauty</v>
      </c>
      <c r="M857" t="str">
        <f>IFERROR(VLOOKUP(C857,Customers!$A:$E,5,FALSE),"")</f>
        <v>Retail</v>
      </c>
      <c r="N857">
        <f>IFERROR(VLOOKUP(C857,Customers!$A:$E,3,FALSE),"")</f>
        <v>64</v>
      </c>
      <c r="O857" s="33" t="str">
        <f>IFERROR(VLOOKUP(E857,Sales_Reps!$A:$C,3,FALSE),"")</f>
        <v>North</v>
      </c>
      <c r="P857" s="33">
        <f>IFERROR(VLOOKUP(D857,Products!$A:$D,4,FALSE),"")</f>
        <v>2420</v>
      </c>
      <c r="Q857" s="33">
        <f t="shared" si="13"/>
        <v>0.29855072463768118</v>
      </c>
    </row>
    <row r="858" spans="1:17" x14ac:dyDescent="0.3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  <c r="L858" t="str">
        <f>IFERROR(VLOOKUP(D858,Products!$A:$C,3,FALSE),"")</f>
        <v>Beauty</v>
      </c>
      <c r="M858" t="str">
        <f>IFERROR(VLOOKUP(C858,Customers!$A:$E,5,FALSE),"")</f>
        <v>Retail</v>
      </c>
      <c r="N858">
        <f>IFERROR(VLOOKUP(C858,Customers!$A:$E,3,FALSE),"")</f>
        <v>41</v>
      </c>
      <c r="O858" s="33" t="str">
        <f>IFERROR(VLOOKUP(E858,Sales_Reps!$A:$C,3,FALSE),"")</f>
        <v>East</v>
      </c>
      <c r="P858" s="33">
        <f>IFERROR(VLOOKUP(D858,Products!$A:$D,4,FALSE),"")</f>
        <v>675</v>
      </c>
      <c r="Q858" s="33">
        <f t="shared" si="13"/>
        <v>0.296875</v>
      </c>
    </row>
    <row r="859" spans="1:17" x14ac:dyDescent="0.3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  <c r="L859" t="str">
        <f>IFERROR(VLOOKUP(D859,Products!$A:$C,3,FALSE),"")</f>
        <v>Apparel</v>
      </c>
      <c r="M859" t="str">
        <f>IFERROR(VLOOKUP(C859,Customers!$A:$E,5,FALSE),"")</f>
        <v>SMB</v>
      </c>
      <c r="N859">
        <f>IFERROR(VLOOKUP(C859,Customers!$A:$E,3,FALSE),"")</f>
        <v>43</v>
      </c>
      <c r="O859" s="33" t="str">
        <f>IFERROR(VLOOKUP(E859,Sales_Reps!$A:$C,3,FALSE),"")</f>
        <v>North</v>
      </c>
      <c r="P859" s="33">
        <f>IFERROR(VLOOKUP(D859,Products!$A:$D,4,FALSE),"")</f>
        <v>1748</v>
      </c>
      <c r="Q859" s="33">
        <f t="shared" si="13"/>
        <v>0.49333333333333335</v>
      </c>
    </row>
    <row r="860" spans="1:17" x14ac:dyDescent="0.3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  <c r="L860" t="str">
        <f>IFERROR(VLOOKUP(D860,Products!$A:$C,3,FALSE),"")</f>
        <v>Electronics</v>
      </c>
      <c r="M860" t="str">
        <f>IFERROR(VLOOKUP(C860,Customers!$A:$E,5,FALSE),"")</f>
        <v>SMB</v>
      </c>
      <c r="N860">
        <f>IFERROR(VLOOKUP(C860,Customers!$A:$E,3,FALSE),"")</f>
        <v>59</v>
      </c>
      <c r="O860" s="33" t="str">
        <f>IFERROR(VLOOKUP(E860,Sales_Reps!$A:$C,3,FALSE),"")</f>
        <v>North</v>
      </c>
      <c r="P860" s="33">
        <f>IFERROR(VLOOKUP(D860,Products!$A:$D,4,FALSE),"")</f>
        <v>517</v>
      </c>
      <c r="Q860" s="33">
        <f t="shared" si="13"/>
        <v>0.57622950819672136</v>
      </c>
    </row>
    <row r="861" spans="1:17" x14ac:dyDescent="0.3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  <c r="L861" t="str">
        <f>IFERROR(VLOOKUP(D861,Products!$A:$C,3,FALSE),"")</f>
        <v>Electronics</v>
      </c>
      <c r="M861" t="str">
        <f>IFERROR(VLOOKUP(C861,Customers!$A:$E,5,FALSE),"")</f>
        <v>Retail</v>
      </c>
      <c r="N861">
        <f>IFERROR(VLOOKUP(C861,Customers!$A:$E,3,FALSE),"")</f>
        <v>39</v>
      </c>
      <c r="O861" s="33" t="str">
        <f>IFERROR(VLOOKUP(E861,Sales_Reps!$A:$C,3,FALSE),"")</f>
        <v>North</v>
      </c>
      <c r="P861" s="33">
        <f>IFERROR(VLOOKUP(D861,Products!$A:$D,4,FALSE),"")</f>
        <v>2405</v>
      </c>
      <c r="Q861" s="33">
        <f t="shared" si="13"/>
        <v>0.54878048780487809</v>
      </c>
    </row>
    <row r="862" spans="1:17" x14ac:dyDescent="0.3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  <c r="L862" t="str">
        <f>IFERROR(VLOOKUP(D862,Products!$A:$C,3,FALSE),"")</f>
        <v>Electronics</v>
      </c>
      <c r="M862" t="str">
        <f>IFERROR(VLOOKUP(C862,Customers!$A:$E,5,FALSE),"")</f>
        <v>Retail</v>
      </c>
      <c r="N862">
        <f>IFERROR(VLOOKUP(C862,Customers!$A:$E,3,FALSE),"")</f>
        <v>29</v>
      </c>
      <c r="O862" s="33" t="str">
        <f>IFERROR(VLOOKUP(E862,Sales_Reps!$A:$C,3,FALSE),"")</f>
        <v>West</v>
      </c>
      <c r="P862" s="33">
        <f>IFERROR(VLOOKUP(D862,Products!$A:$D,4,FALSE),"")</f>
        <v>1665</v>
      </c>
      <c r="Q862" s="33">
        <f t="shared" si="13"/>
        <v>0.53361344537815125</v>
      </c>
    </row>
    <row r="863" spans="1:17" x14ac:dyDescent="0.3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  <c r="L863" t="str">
        <f>IFERROR(VLOOKUP(D863,Products!$A:$C,3,FALSE),"")</f>
        <v>Grocery</v>
      </c>
      <c r="M863" t="str">
        <f>IFERROR(VLOOKUP(C863,Customers!$A:$E,5,FALSE),"")</f>
        <v>Retail</v>
      </c>
      <c r="N863">
        <f>IFERROR(VLOOKUP(C863,Customers!$A:$E,3,FALSE),"")</f>
        <v>56</v>
      </c>
      <c r="O863" s="33" t="str">
        <f>IFERROR(VLOOKUP(E863,Sales_Reps!$A:$C,3,FALSE),"")</f>
        <v>West</v>
      </c>
      <c r="P863" s="33">
        <f>IFERROR(VLOOKUP(D863,Products!$A:$D,4,FALSE),"")</f>
        <v>1010</v>
      </c>
      <c r="Q863" s="33">
        <f t="shared" si="13"/>
        <v>0.54298642533936647</v>
      </c>
    </row>
    <row r="864" spans="1:17" x14ac:dyDescent="0.3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  <c r="L864" t="str">
        <f>IFERROR(VLOOKUP(D864,Products!$A:$C,3,FALSE),"")</f>
        <v>Sports</v>
      </c>
      <c r="M864" t="str">
        <f>IFERROR(VLOOKUP(C864,Customers!$A:$E,5,FALSE),"")</f>
        <v>SMB</v>
      </c>
      <c r="N864">
        <f>IFERROR(VLOOKUP(C864,Customers!$A:$E,3,FALSE),"")</f>
        <v>39</v>
      </c>
      <c r="O864" s="33" t="str">
        <f>IFERROR(VLOOKUP(E864,Sales_Reps!$A:$C,3,FALSE),"")</f>
        <v>West</v>
      </c>
      <c r="P864" s="33">
        <f>IFERROR(VLOOKUP(D864,Products!$A:$D,4,FALSE),"")</f>
        <v>1860</v>
      </c>
      <c r="Q864" s="33">
        <f t="shared" si="13"/>
        <v>0.50793650793650791</v>
      </c>
    </row>
    <row r="865" spans="1:17" x14ac:dyDescent="0.3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  <c r="L865" t="str">
        <f>IFERROR(VLOOKUP(D865,Products!$A:$C,3,FALSE),"")</f>
        <v>Electronics</v>
      </c>
      <c r="M865" t="str">
        <f>IFERROR(VLOOKUP(C865,Customers!$A:$E,5,FALSE),"")</f>
        <v>Retail</v>
      </c>
      <c r="N865">
        <f>IFERROR(VLOOKUP(C865,Customers!$A:$E,3,FALSE),"")</f>
        <v>34</v>
      </c>
      <c r="O865" s="33" t="str">
        <f>IFERROR(VLOOKUP(E865,Sales_Reps!$A:$C,3,FALSE),"")</f>
        <v>North</v>
      </c>
      <c r="P865" s="33">
        <f>IFERROR(VLOOKUP(D865,Products!$A:$D,4,FALSE),"")</f>
        <v>1149</v>
      </c>
      <c r="Q865" s="33">
        <f t="shared" si="13"/>
        <v>0.56477272727272732</v>
      </c>
    </row>
    <row r="866" spans="1:17" x14ac:dyDescent="0.3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  <c r="L866" t="str">
        <f>IFERROR(VLOOKUP(D866,Products!$A:$C,3,FALSE),"")</f>
        <v>Electronics</v>
      </c>
      <c r="M866" t="str">
        <f>IFERROR(VLOOKUP(C866,Customers!$A:$E,5,FALSE),"")</f>
        <v>SMB</v>
      </c>
      <c r="N866">
        <f>IFERROR(VLOOKUP(C866,Customers!$A:$E,3,FALSE),"")</f>
        <v>42</v>
      </c>
      <c r="O866" s="33" t="str">
        <f>IFERROR(VLOOKUP(E866,Sales_Reps!$A:$C,3,FALSE),"")</f>
        <v>West</v>
      </c>
      <c r="P866" s="33">
        <f>IFERROR(VLOOKUP(D866,Products!$A:$D,4,FALSE),"")</f>
        <v>128</v>
      </c>
      <c r="Q866" s="33">
        <f t="shared" si="13"/>
        <v>0.57333333333333336</v>
      </c>
    </row>
    <row r="867" spans="1:17" x14ac:dyDescent="0.3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  <c r="L867" t="str">
        <f>IFERROR(VLOOKUP(D867,Products!$A:$C,3,FALSE),"")</f>
        <v>Sports</v>
      </c>
      <c r="M867" t="str">
        <f>IFERROR(VLOOKUP(C867,Customers!$A:$E,5,FALSE),"")</f>
        <v>SMB</v>
      </c>
      <c r="N867">
        <f>IFERROR(VLOOKUP(C867,Customers!$A:$E,3,FALSE),"")</f>
        <v>43</v>
      </c>
      <c r="O867" s="33" t="str">
        <f>IFERROR(VLOOKUP(E867,Sales_Reps!$A:$C,3,FALSE),"")</f>
        <v>South</v>
      </c>
      <c r="P867" s="33">
        <f>IFERROR(VLOOKUP(D867,Products!$A:$D,4,FALSE),"")</f>
        <v>974</v>
      </c>
      <c r="Q867" s="33">
        <f t="shared" si="13"/>
        <v>0.59416666666666662</v>
      </c>
    </row>
    <row r="868" spans="1:17" x14ac:dyDescent="0.3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  <c r="L868" t="str">
        <f>IFERROR(VLOOKUP(D868,Products!$A:$C,3,FALSE),"")</f>
        <v>Home</v>
      </c>
      <c r="M868" t="str">
        <f>IFERROR(VLOOKUP(C868,Customers!$A:$E,5,FALSE),"")</f>
        <v>Retail</v>
      </c>
      <c r="N868">
        <f>IFERROR(VLOOKUP(C868,Customers!$A:$E,3,FALSE),"")</f>
        <v>29</v>
      </c>
      <c r="O868" s="33" t="str">
        <f>IFERROR(VLOOKUP(E868,Sales_Reps!$A:$C,3,FALSE),"")</f>
        <v>West</v>
      </c>
      <c r="P868" s="33">
        <f>IFERROR(VLOOKUP(D868,Products!$A:$D,4,FALSE),"")</f>
        <v>519</v>
      </c>
      <c r="Q868" s="33">
        <f t="shared" si="13"/>
        <v>0.51944444444444449</v>
      </c>
    </row>
    <row r="869" spans="1:17" x14ac:dyDescent="0.3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  <c r="L869" t="str">
        <f>IFERROR(VLOOKUP(D869,Products!$A:$C,3,FALSE),"")</f>
        <v>Home</v>
      </c>
      <c r="M869" t="str">
        <f>IFERROR(VLOOKUP(C869,Customers!$A:$E,5,FALSE),"")</f>
        <v>Retail</v>
      </c>
      <c r="N869">
        <f>IFERROR(VLOOKUP(C869,Customers!$A:$E,3,FALSE),"")</f>
        <v>24</v>
      </c>
      <c r="O869" s="33" t="str">
        <f>IFERROR(VLOOKUP(E869,Sales_Reps!$A:$C,3,FALSE),"")</f>
        <v>North</v>
      </c>
      <c r="P869" s="33">
        <f>IFERROR(VLOOKUP(D869,Products!$A:$D,4,FALSE),"")</f>
        <v>1556</v>
      </c>
      <c r="Q869" s="33">
        <f t="shared" si="13"/>
        <v>0.52123076923076928</v>
      </c>
    </row>
    <row r="870" spans="1:17" x14ac:dyDescent="0.3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  <c r="L870" t="str">
        <f>IFERROR(VLOOKUP(D870,Products!$A:$C,3,FALSE),"")</f>
        <v>Home</v>
      </c>
      <c r="M870" t="str">
        <f>IFERROR(VLOOKUP(C870,Customers!$A:$E,5,FALSE),"")</f>
        <v>Corporate</v>
      </c>
      <c r="N870">
        <f>IFERROR(VLOOKUP(C870,Customers!$A:$E,3,FALSE),"")</f>
        <v>42</v>
      </c>
      <c r="O870" s="33" t="str">
        <f>IFERROR(VLOOKUP(E870,Sales_Reps!$A:$C,3,FALSE),"")</f>
        <v>East</v>
      </c>
      <c r="P870" s="33">
        <f>IFERROR(VLOOKUP(D870,Products!$A:$D,4,FALSE),"")</f>
        <v>288</v>
      </c>
      <c r="Q870" s="33">
        <f t="shared" si="13"/>
        <v>0.22162162162162163</v>
      </c>
    </row>
    <row r="871" spans="1:17" x14ac:dyDescent="0.3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  <c r="L871" t="str">
        <f>IFERROR(VLOOKUP(D871,Products!$A:$C,3,FALSE),"")</f>
        <v>Home</v>
      </c>
      <c r="M871" t="str">
        <f>IFERROR(VLOOKUP(C871,Customers!$A:$E,5,FALSE),"")</f>
        <v/>
      </c>
      <c r="N871" t="str">
        <f>IFERROR(VLOOKUP(C871,Customers!$A:$E,3,FALSE),"")</f>
        <v/>
      </c>
      <c r="O871" s="33" t="str">
        <f>IFERROR(VLOOKUP(E871,Sales_Reps!$A:$C,3,FALSE),"")</f>
        <v>West</v>
      </c>
      <c r="P871" s="33">
        <f>IFERROR(VLOOKUP(D871,Products!$A:$D,4,FALSE),"")</f>
        <v>2549</v>
      </c>
      <c r="Q871" s="33">
        <f t="shared" si="13"/>
        <v>0.53570127504553733</v>
      </c>
    </row>
    <row r="872" spans="1:17" x14ac:dyDescent="0.3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  <c r="L872" t="str">
        <f>IFERROR(VLOOKUP(D872,Products!$A:$C,3,FALSE),"")</f>
        <v>Electronics</v>
      </c>
      <c r="M872" t="str">
        <f>IFERROR(VLOOKUP(C872,Customers!$A:$E,5,FALSE),"")</f>
        <v>Retail</v>
      </c>
      <c r="N872">
        <f>IFERROR(VLOOKUP(C872,Customers!$A:$E,3,FALSE),"")</f>
        <v>38</v>
      </c>
      <c r="O872" s="33" t="str">
        <f>IFERROR(VLOOKUP(E872,Sales_Reps!$A:$C,3,FALSE),"")</f>
        <v>West</v>
      </c>
      <c r="P872" s="33">
        <f>IFERROR(VLOOKUP(D872,Products!$A:$D,4,FALSE),"")</f>
        <v>2865</v>
      </c>
      <c r="Q872" s="33">
        <f t="shared" si="13"/>
        <v>0.27833753148614609</v>
      </c>
    </row>
    <row r="873" spans="1:17" x14ac:dyDescent="0.3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  <c r="L873" t="str">
        <f>IFERROR(VLOOKUP(D873,Products!$A:$C,3,FALSE),"")</f>
        <v>Electronics</v>
      </c>
      <c r="M873" t="str">
        <f>IFERROR(VLOOKUP(C873,Customers!$A:$E,5,FALSE),"")</f>
        <v>Retail</v>
      </c>
      <c r="N873">
        <f>IFERROR(VLOOKUP(C873,Customers!$A:$E,3,FALSE),"")</f>
        <v>52</v>
      </c>
      <c r="O873" s="33" t="str">
        <f>IFERROR(VLOOKUP(E873,Sales_Reps!$A:$C,3,FALSE),"")</f>
        <v>North</v>
      </c>
      <c r="P873" s="33">
        <f>IFERROR(VLOOKUP(D873,Products!$A:$D,4,FALSE),"")</f>
        <v>517</v>
      </c>
      <c r="Q873" s="33">
        <f t="shared" si="13"/>
        <v>0.57622950819672136</v>
      </c>
    </row>
    <row r="874" spans="1:17" x14ac:dyDescent="0.3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  <c r="L874" t="str">
        <f>IFERROR(VLOOKUP(D874,Products!$A:$C,3,FALSE),"")</f>
        <v>Apparel</v>
      </c>
      <c r="M874" t="str">
        <f>IFERROR(VLOOKUP(C874,Customers!$A:$E,5,FALSE),"")</f>
        <v>Retail</v>
      </c>
      <c r="N874">
        <f>IFERROR(VLOOKUP(C874,Customers!$A:$E,3,FALSE),"")</f>
        <v>64</v>
      </c>
      <c r="O874" s="33" t="str">
        <f>IFERROR(VLOOKUP(E874,Sales_Reps!$A:$C,3,FALSE),"")</f>
        <v>West</v>
      </c>
      <c r="P874" s="33">
        <f>IFERROR(VLOOKUP(D874,Products!$A:$D,4,FALSE),"")</f>
        <v>1886</v>
      </c>
      <c r="Q874" s="33">
        <f t="shared" si="13"/>
        <v>0.4031645569620253</v>
      </c>
    </row>
    <row r="875" spans="1:17" x14ac:dyDescent="0.3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  <c r="L875" t="str">
        <f>IFERROR(VLOOKUP(D875,Products!$A:$C,3,FALSE),"")</f>
        <v>Electronics</v>
      </c>
      <c r="M875" t="str">
        <f>IFERROR(VLOOKUP(C875,Customers!$A:$E,5,FALSE),"")</f>
        <v>Retail</v>
      </c>
      <c r="N875">
        <f>IFERROR(VLOOKUP(C875,Customers!$A:$E,3,FALSE),"")</f>
        <v>44</v>
      </c>
      <c r="O875" s="33" t="str">
        <f>IFERROR(VLOOKUP(E875,Sales_Reps!$A:$C,3,FALSE),"")</f>
        <v>North</v>
      </c>
      <c r="P875" s="33">
        <f>IFERROR(VLOOKUP(D875,Products!$A:$D,4,FALSE),"")</f>
        <v>128</v>
      </c>
      <c r="Q875" s="33">
        <f t="shared" si="13"/>
        <v>0.57333333333333336</v>
      </c>
    </row>
    <row r="876" spans="1:17" x14ac:dyDescent="0.3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  <c r="L876" t="str">
        <f>IFERROR(VLOOKUP(D876,Products!$A:$C,3,FALSE),"")</f>
        <v>Beauty</v>
      </c>
      <c r="M876" t="str">
        <f>IFERROR(VLOOKUP(C876,Customers!$A:$E,5,FALSE),"")</f>
        <v>SMB</v>
      </c>
      <c r="N876">
        <f>IFERROR(VLOOKUP(C876,Customers!$A:$E,3,FALSE),"")</f>
        <v>51</v>
      </c>
      <c r="O876" s="33" t="str">
        <f>IFERROR(VLOOKUP(E876,Sales_Reps!$A:$C,3,FALSE),"")</f>
        <v>West</v>
      </c>
      <c r="P876" s="33">
        <f>IFERROR(VLOOKUP(D876,Products!$A:$D,4,FALSE),"")</f>
        <v>2420</v>
      </c>
      <c r="Q876" s="33">
        <f t="shared" si="13"/>
        <v>0.29855072463768118</v>
      </c>
    </row>
    <row r="877" spans="1:17" x14ac:dyDescent="0.3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  <c r="L877" t="str">
        <f>IFERROR(VLOOKUP(D877,Products!$A:$C,3,FALSE),"")</f>
        <v>Apparel</v>
      </c>
      <c r="M877" t="str">
        <f>IFERROR(VLOOKUP(C877,Customers!$A:$E,5,FALSE),"")</f>
        <v>Retail</v>
      </c>
      <c r="N877">
        <f>IFERROR(VLOOKUP(C877,Customers!$A:$E,3,FALSE),"")</f>
        <v>38</v>
      </c>
      <c r="O877" s="33" t="str">
        <f>IFERROR(VLOOKUP(E877,Sales_Reps!$A:$C,3,FALSE),"")</f>
        <v>West</v>
      </c>
      <c r="P877" s="33">
        <f>IFERROR(VLOOKUP(D877,Products!$A:$D,4,FALSE),"")</f>
        <v>2509</v>
      </c>
      <c r="Q877" s="33">
        <f t="shared" si="13"/>
        <v>0.3069060773480663</v>
      </c>
    </row>
    <row r="878" spans="1:17" x14ac:dyDescent="0.3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  <c r="L878" t="str">
        <f>IFERROR(VLOOKUP(D878,Products!$A:$C,3,FALSE),"")</f>
        <v>Grocery</v>
      </c>
      <c r="M878" t="str">
        <f>IFERROR(VLOOKUP(C878,Customers!$A:$E,5,FALSE),"")</f>
        <v>Retail</v>
      </c>
      <c r="N878">
        <f>IFERROR(VLOOKUP(C878,Customers!$A:$E,3,FALSE),"")</f>
        <v>36</v>
      </c>
      <c r="O878" s="33" t="str">
        <f>IFERROR(VLOOKUP(E878,Sales_Reps!$A:$C,3,FALSE),"")</f>
        <v>South</v>
      </c>
      <c r="P878" s="33">
        <f>IFERROR(VLOOKUP(D878,Products!$A:$D,4,FALSE),"")</f>
        <v>1203</v>
      </c>
      <c r="Q878" s="33">
        <f t="shared" si="13"/>
        <v>0.47004405286343615</v>
      </c>
    </row>
    <row r="879" spans="1:17" x14ac:dyDescent="0.3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  <c r="L879" t="str">
        <f>IFERROR(VLOOKUP(D879,Products!$A:$C,3,FALSE),"")</f>
        <v>Apparel</v>
      </c>
      <c r="M879" t="str">
        <f>IFERROR(VLOOKUP(C879,Customers!$A:$E,5,FALSE),"")</f>
        <v>Corporate</v>
      </c>
      <c r="N879">
        <f>IFERROR(VLOOKUP(C879,Customers!$A:$E,3,FALSE),"")</f>
        <v>42</v>
      </c>
      <c r="O879" s="33" t="str">
        <f>IFERROR(VLOOKUP(E879,Sales_Reps!$A:$C,3,FALSE),"")</f>
        <v>West</v>
      </c>
      <c r="P879" s="33">
        <f>IFERROR(VLOOKUP(D879,Products!$A:$D,4,FALSE),"")</f>
        <v>1962</v>
      </c>
      <c r="Q879" s="33">
        <f t="shared" si="13"/>
        <v>0.2786764705882353</v>
      </c>
    </row>
    <row r="880" spans="1:17" x14ac:dyDescent="0.3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  <c r="L880" t="str">
        <f>IFERROR(VLOOKUP(D880,Products!$A:$C,3,FALSE),"")</f>
        <v>Grocery</v>
      </c>
      <c r="M880" t="str">
        <f>IFERROR(VLOOKUP(C880,Customers!$A:$E,5,FALSE),"")</f>
        <v>Retail</v>
      </c>
      <c r="N880">
        <f>IFERROR(VLOOKUP(C880,Customers!$A:$E,3,FALSE),"")</f>
        <v>31</v>
      </c>
      <c r="O880" s="33" t="str">
        <f>IFERROR(VLOOKUP(E880,Sales_Reps!$A:$C,3,FALSE),"")</f>
        <v>East</v>
      </c>
      <c r="P880" s="33">
        <f>IFERROR(VLOOKUP(D880,Products!$A:$D,4,FALSE),"")</f>
        <v>2436</v>
      </c>
      <c r="Q880" s="33">
        <f t="shared" si="13"/>
        <v>0.35555555555555557</v>
      </c>
    </row>
    <row r="881" spans="1:17" x14ac:dyDescent="0.3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  <c r="L881" t="str">
        <f>IFERROR(VLOOKUP(D881,Products!$A:$C,3,FALSE),"")</f>
        <v>Grocery</v>
      </c>
      <c r="M881" t="str">
        <f>IFERROR(VLOOKUP(C881,Customers!$A:$E,5,FALSE),"")</f>
        <v>Retail</v>
      </c>
      <c r="N881">
        <f>IFERROR(VLOOKUP(C881,Customers!$A:$E,3,FALSE),"")</f>
        <v>34</v>
      </c>
      <c r="O881" s="33" t="str">
        <f>IFERROR(VLOOKUP(E881,Sales_Reps!$A:$C,3,FALSE),"")</f>
        <v>South</v>
      </c>
      <c r="P881" s="33">
        <f>IFERROR(VLOOKUP(D881,Products!$A:$D,4,FALSE),"")</f>
        <v>2911</v>
      </c>
      <c r="Q881" s="33">
        <f t="shared" si="13"/>
        <v>0.28300492610837441</v>
      </c>
    </row>
    <row r="882" spans="1:17" x14ac:dyDescent="0.3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  <c r="L882" t="str">
        <f>IFERROR(VLOOKUP(D882,Products!$A:$C,3,FALSE),"")</f>
        <v>Grocery</v>
      </c>
      <c r="M882" t="str">
        <f>IFERROR(VLOOKUP(C882,Customers!$A:$E,5,FALSE),"")</f>
        <v>Retail</v>
      </c>
      <c r="N882">
        <f>IFERROR(VLOOKUP(C882,Customers!$A:$E,3,FALSE),"")</f>
        <v>44</v>
      </c>
      <c r="O882" s="33" t="str">
        <f>IFERROR(VLOOKUP(E882,Sales_Reps!$A:$C,3,FALSE),"")</f>
        <v>South</v>
      </c>
      <c r="P882" s="33">
        <f>IFERROR(VLOOKUP(D882,Products!$A:$D,4,FALSE),"")</f>
        <v>1435</v>
      </c>
      <c r="Q882" s="33">
        <f t="shared" si="13"/>
        <v>0.48007246376811596</v>
      </c>
    </row>
    <row r="883" spans="1:17" x14ac:dyDescent="0.3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  <c r="L883" t="str">
        <f>IFERROR(VLOOKUP(D883,Products!$A:$C,3,FALSE),"")</f>
        <v>Home</v>
      </c>
      <c r="M883" t="str">
        <f>IFERROR(VLOOKUP(C883,Customers!$A:$E,5,FALSE),"")</f>
        <v>Retail</v>
      </c>
      <c r="N883">
        <f>IFERROR(VLOOKUP(C883,Customers!$A:$E,3,FALSE),"")</f>
        <v>37</v>
      </c>
      <c r="O883" s="33" t="str">
        <f>IFERROR(VLOOKUP(E883,Sales_Reps!$A:$C,3,FALSE),"")</f>
        <v>East</v>
      </c>
      <c r="P883" s="33">
        <f>IFERROR(VLOOKUP(D883,Products!$A:$D,4,FALSE),"")</f>
        <v>519</v>
      </c>
      <c r="Q883" s="33">
        <f t="shared" si="13"/>
        <v>0.51944444444444449</v>
      </c>
    </row>
    <row r="884" spans="1:17" x14ac:dyDescent="0.3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  <c r="L884" t="str">
        <f>IFERROR(VLOOKUP(D884,Products!$A:$C,3,FALSE),"")</f>
        <v>Home</v>
      </c>
      <c r="M884" t="str">
        <f>IFERROR(VLOOKUP(C884,Customers!$A:$E,5,FALSE),"")</f>
        <v>Corporate</v>
      </c>
      <c r="N884">
        <f>IFERROR(VLOOKUP(C884,Customers!$A:$E,3,FALSE),"")</f>
        <v>42</v>
      </c>
      <c r="O884" s="33" t="str">
        <f>IFERROR(VLOOKUP(E884,Sales_Reps!$A:$C,3,FALSE),"")</f>
        <v>East</v>
      </c>
      <c r="P884" s="33">
        <f>IFERROR(VLOOKUP(D884,Products!$A:$D,4,FALSE),"")</f>
        <v>2459</v>
      </c>
      <c r="Q884" s="33">
        <f t="shared" si="13"/>
        <v>0.51594488188976373</v>
      </c>
    </row>
    <row r="885" spans="1:17" x14ac:dyDescent="0.3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  <c r="L885" t="str">
        <f>IFERROR(VLOOKUP(D885,Products!$A:$C,3,FALSE),"")</f>
        <v>Beauty</v>
      </c>
      <c r="M885" t="str">
        <f>IFERROR(VLOOKUP(C885,Customers!$A:$E,5,FALSE),"")</f>
        <v>Retail</v>
      </c>
      <c r="N885">
        <f>IFERROR(VLOOKUP(C885,Customers!$A:$E,3,FALSE),"")</f>
        <v>56</v>
      </c>
      <c r="O885" s="33" t="str">
        <f>IFERROR(VLOOKUP(E885,Sales_Reps!$A:$C,3,FALSE),"")</f>
        <v>West</v>
      </c>
      <c r="P885" s="33">
        <f>IFERROR(VLOOKUP(D885,Products!$A:$D,4,FALSE),"")</f>
        <v>2768</v>
      </c>
      <c r="Q885" s="33">
        <f t="shared" si="13"/>
        <v>0.43278688524590164</v>
      </c>
    </row>
    <row r="886" spans="1:17" x14ac:dyDescent="0.3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  <c r="L886" t="str">
        <f>IFERROR(VLOOKUP(D886,Products!$A:$C,3,FALSE),"")</f>
        <v>Grocery</v>
      </c>
      <c r="M886" t="str">
        <f>IFERROR(VLOOKUP(C886,Customers!$A:$E,5,FALSE),"")</f>
        <v>SMB</v>
      </c>
      <c r="N886">
        <f>IFERROR(VLOOKUP(C886,Customers!$A:$E,3,FALSE),"")</f>
        <v>36</v>
      </c>
      <c r="O886" s="33" t="str">
        <f>IFERROR(VLOOKUP(E886,Sales_Reps!$A:$C,3,FALSE),"")</f>
        <v>West</v>
      </c>
      <c r="P886" s="33">
        <f>IFERROR(VLOOKUP(D886,Products!$A:$D,4,FALSE),"")</f>
        <v>1412</v>
      </c>
      <c r="Q886" s="33">
        <f t="shared" si="13"/>
        <v>0.37797356828193834</v>
      </c>
    </row>
    <row r="887" spans="1:17" x14ac:dyDescent="0.3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  <c r="L887" t="str">
        <f>IFERROR(VLOOKUP(D887,Products!$A:$C,3,FALSE),"")</f>
        <v>Electronics</v>
      </c>
      <c r="M887" t="str">
        <f>IFERROR(VLOOKUP(C887,Customers!$A:$E,5,FALSE),"")</f>
        <v>SMB</v>
      </c>
      <c r="N887">
        <f>IFERROR(VLOOKUP(C887,Customers!$A:$E,3,FALSE),"")</f>
        <v>55</v>
      </c>
      <c r="O887" s="33" t="str">
        <f>IFERROR(VLOOKUP(E887,Sales_Reps!$A:$C,3,FALSE),"")</f>
        <v>East</v>
      </c>
      <c r="P887" s="33">
        <f>IFERROR(VLOOKUP(D887,Products!$A:$D,4,FALSE),"")</f>
        <v>2865</v>
      </c>
      <c r="Q887" s="33">
        <f t="shared" si="13"/>
        <v>0.27833753148614609</v>
      </c>
    </row>
    <row r="888" spans="1:17" x14ac:dyDescent="0.3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  <c r="L888" t="str">
        <f>IFERROR(VLOOKUP(D888,Products!$A:$C,3,FALSE),"")</f>
        <v>Beauty</v>
      </c>
      <c r="M888" t="str">
        <f>IFERROR(VLOOKUP(C888,Customers!$A:$E,5,FALSE),"")</f>
        <v>Retail</v>
      </c>
      <c r="N888">
        <f>IFERROR(VLOOKUP(C888,Customers!$A:$E,3,FALSE),"")</f>
        <v>52</v>
      </c>
      <c r="O888" s="33" t="str">
        <f>IFERROR(VLOOKUP(E888,Sales_Reps!$A:$C,3,FALSE),"")</f>
        <v>North</v>
      </c>
      <c r="P888" s="33">
        <f>IFERROR(VLOOKUP(D888,Products!$A:$D,4,FALSE),"")</f>
        <v>2237</v>
      </c>
      <c r="Q888" s="33">
        <f t="shared" si="13"/>
        <v>0.56137254901960787</v>
      </c>
    </row>
    <row r="889" spans="1:17" x14ac:dyDescent="0.3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  <c r="L889" t="str">
        <f>IFERROR(VLOOKUP(D889,Products!$A:$C,3,FALSE),"")</f>
        <v>Sports</v>
      </c>
      <c r="M889" t="str">
        <f>IFERROR(VLOOKUP(C889,Customers!$A:$E,5,FALSE),"")</f>
        <v>SMB</v>
      </c>
      <c r="N889">
        <f>IFERROR(VLOOKUP(C889,Customers!$A:$E,3,FALSE),"")</f>
        <v>29</v>
      </c>
      <c r="O889" s="33" t="str">
        <f>IFERROR(VLOOKUP(E889,Sales_Reps!$A:$C,3,FALSE),"")</f>
        <v>North</v>
      </c>
      <c r="P889" s="33">
        <f>IFERROR(VLOOKUP(D889,Products!$A:$D,4,FALSE),"")</f>
        <v>147</v>
      </c>
      <c r="Q889" s="33">
        <f t="shared" si="13"/>
        <v>0.22631578947368422</v>
      </c>
    </row>
    <row r="890" spans="1:17" x14ac:dyDescent="0.3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  <c r="L890" t="str">
        <f>IFERROR(VLOOKUP(D890,Products!$A:$C,3,FALSE),"")</f>
        <v>Beauty</v>
      </c>
      <c r="M890" t="str">
        <f>IFERROR(VLOOKUP(C890,Customers!$A:$E,5,FALSE),"")</f>
        <v>Retail</v>
      </c>
      <c r="N890">
        <f>IFERROR(VLOOKUP(C890,Customers!$A:$E,3,FALSE),"")</f>
        <v>42</v>
      </c>
      <c r="O890" s="33" t="str">
        <f>IFERROR(VLOOKUP(E890,Sales_Reps!$A:$C,3,FALSE),"")</f>
        <v>West</v>
      </c>
      <c r="P890" s="33">
        <f>IFERROR(VLOOKUP(D890,Products!$A:$D,4,FALSE),"")</f>
        <v>2617</v>
      </c>
      <c r="Q890" s="33">
        <f t="shared" si="13"/>
        <v>0.56957236842105263</v>
      </c>
    </row>
    <row r="891" spans="1:17" x14ac:dyDescent="0.3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  <c r="L891" t="str">
        <f>IFERROR(VLOOKUP(D891,Products!$A:$C,3,FALSE),"")</f>
        <v>Sports</v>
      </c>
      <c r="M891" t="str">
        <f>IFERROR(VLOOKUP(C891,Customers!$A:$E,5,FALSE),"")</f>
        <v>Retail</v>
      </c>
      <c r="N891">
        <f>IFERROR(VLOOKUP(C891,Customers!$A:$E,3,FALSE),"")</f>
        <v>39</v>
      </c>
      <c r="O891" s="33" t="str">
        <f>IFERROR(VLOOKUP(E891,Sales_Reps!$A:$C,3,FALSE),"")</f>
        <v>East</v>
      </c>
      <c r="P891" s="33">
        <f>IFERROR(VLOOKUP(D891,Products!$A:$D,4,FALSE),"")</f>
        <v>705</v>
      </c>
      <c r="Q891" s="33">
        <f t="shared" si="13"/>
        <v>0.265625</v>
      </c>
    </row>
    <row r="892" spans="1:17" x14ac:dyDescent="0.3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  <c r="L892" t="str">
        <f>IFERROR(VLOOKUP(D892,Products!$A:$C,3,FALSE),"")</f>
        <v>Beauty</v>
      </c>
      <c r="M892" t="str">
        <f>IFERROR(VLOOKUP(C892,Customers!$A:$E,5,FALSE),"")</f>
        <v>SMB</v>
      </c>
      <c r="N892">
        <f>IFERROR(VLOOKUP(C892,Customers!$A:$E,3,FALSE),"")</f>
        <v>48</v>
      </c>
      <c r="O892" s="33" t="str">
        <f>IFERROR(VLOOKUP(E892,Sales_Reps!$A:$C,3,FALSE),"")</f>
        <v>North</v>
      </c>
      <c r="P892" s="33">
        <f>IFERROR(VLOOKUP(D892,Products!$A:$D,4,FALSE),"")</f>
        <v>647</v>
      </c>
      <c r="Q892" s="33">
        <f t="shared" si="13"/>
        <v>0.57987012987012987</v>
      </c>
    </row>
    <row r="893" spans="1:17" x14ac:dyDescent="0.3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  <c r="L893" t="str">
        <f>IFERROR(VLOOKUP(D893,Products!$A:$C,3,FALSE),"")</f>
        <v>Electronics</v>
      </c>
      <c r="M893" t="str">
        <f>IFERROR(VLOOKUP(C893,Customers!$A:$E,5,FALSE),"")</f>
        <v>Retail</v>
      </c>
      <c r="N893">
        <f>IFERROR(VLOOKUP(C893,Customers!$A:$E,3,FALSE),"")</f>
        <v>54</v>
      </c>
      <c r="O893" s="33" t="str">
        <f>IFERROR(VLOOKUP(E893,Sales_Reps!$A:$C,3,FALSE),"")</f>
        <v>South</v>
      </c>
      <c r="P893" s="33">
        <f>IFERROR(VLOOKUP(D893,Products!$A:$D,4,FALSE),"")</f>
        <v>128</v>
      </c>
      <c r="Q893" s="33">
        <f t="shared" si="13"/>
        <v>0.57333333333333336</v>
      </c>
    </row>
    <row r="894" spans="1:17" x14ac:dyDescent="0.3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  <c r="L894" t="str">
        <f>IFERROR(VLOOKUP(D894,Products!$A:$C,3,FALSE),"")</f>
        <v>Beauty</v>
      </c>
      <c r="M894" t="str">
        <f>IFERROR(VLOOKUP(C894,Customers!$A:$E,5,FALSE),"")</f>
        <v>SMB</v>
      </c>
      <c r="N894">
        <f>IFERROR(VLOOKUP(C894,Customers!$A:$E,3,FALSE),"")</f>
        <v>48</v>
      </c>
      <c r="O894" s="33" t="str">
        <f>IFERROR(VLOOKUP(E894,Sales_Reps!$A:$C,3,FALSE),"")</f>
        <v>South</v>
      </c>
      <c r="P894" s="33">
        <f>IFERROR(VLOOKUP(D894,Products!$A:$D,4,FALSE),"")</f>
        <v>2768</v>
      </c>
      <c r="Q894" s="33">
        <f t="shared" si="13"/>
        <v>0.43278688524590164</v>
      </c>
    </row>
    <row r="895" spans="1:17" x14ac:dyDescent="0.3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  <c r="L895" t="str">
        <f>IFERROR(VLOOKUP(D895,Products!$A:$C,3,FALSE),"")</f>
        <v>Home</v>
      </c>
      <c r="M895" t="str">
        <f>IFERROR(VLOOKUP(C895,Customers!$A:$E,5,FALSE),"")</f>
        <v>Retail</v>
      </c>
      <c r="N895">
        <f>IFERROR(VLOOKUP(C895,Customers!$A:$E,3,FALSE),"")</f>
        <v>54</v>
      </c>
      <c r="O895" s="33" t="str">
        <f>IFERROR(VLOOKUP(E895,Sales_Reps!$A:$C,3,FALSE),"")</f>
        <v>North</v>
      </c>
      <c r="P895" s="33">
        <f>IFERROR(VLOOKUP(D895,Products!$A:$D,4,FALSE),"")</f>
        <v>288</v>
      </c>
      <c r="Q895" s="33">
        <f t="shared" si="13"/>
        <v>0.22162162162162163</v>
      </c>
    </row>
    <row r="896" spans="1:17" x14ac:dyDescent="0.3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  <c r="L896" t="str">
        <f>IFERROR(VLOOKUP(D896,Products!$A:$C,3,FALSE),"")</f>
        <v>Home</v>
      </c>
      <c r="M896" t="str">
        <f>IFERROR(VLOOKUP(C896,Customers!$A:$E,5,FALSE),"")</f>
        <v>SMB</v>
      </c>
      <c r="N896">
        <f>IFERROR(VLOOKUP(C896,Customers!$A:$E,3,FALSE),"")</f>
        <v>44</v>
      </c>
      <c r="O896" s="33" t="str">
        <f>IFERROR(VLOOKUP(E896,Sales_Reps!$A:$C,3,FALSE),"")</f>
        <v>North</v>
      </c>
      <c r="P896" s="33">
        <f>IFERROR(VLOOKUP(D896,Products!$A:$D,4,FALSE),"")</f>
        <v>1850</v>
      </c>
      <c r="Q896" s="33">
        <f t="shared" si="13"/>
        <v>0.59869848156182215</v>
      </c>
    </row>
    <row r="897" spans="1:17" x14ac:dyDescent="0.3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  <c r="L897" t="str">
        <f>IFERROR(VLOOKUP(D897,Products!$A:$C,3,FALSE),"")</f>
        <v>Electronics</v>
      </c>
      <c r="M897" t="str">
        <f>IFERROR(VLOOKUP(C897,Customers!$A:$E,5,FALSE),"")</f>
        <v>Retail</v>
      </c>
      <c r="N897">
        <f>IFERROR(VLOOKUP(C897,Customers!$A:$E,3,FALSE),"")</f>
        <v>35</v>
      </c>
      <c r="O897" s="33" t="str">
        <f>IFERROR(VLOOKUP(E897,Sales_Reps!$A:$C,3,FALSE),"")</f>
        <v>South</v>
      </c>
      <c r="P897" s="33">
        <f>IFERROR(VLOOKUP(D897,Products!$A:$D,4,FALSE),"")</f>
        <v>1052</v>
      </c>
      <c r="Q897" s="33">
        <f t="shared" si="13"/>
        <v>0.5953846153846154</v>
      </c>
    </row>
    <row r="898" spans="1:17" x14ac:dyDescent="0.3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  <c r="L898" t="str">
        <f>IFERROR(VLOOKUP(D898,Products!$A:$C,3,FALSE),"")</f>
        <v>Electronics</v>
      </c>
      <c r="M898" t="str">
        <f>IFERROR(VLOOKUP(C898,Customers!$A:$E,5,FALSE),"")</f>
        <v>Retail</v>
      </c>
      <c r="N898">
        <f>IFERROR(VLOOKUP(C898,Customers!$A:$E,3,FALSE),"")</f>
        <v>48</v>
      </c>
      <c r="O898" s="33" t="str">
        <f>IFERROR(VLOOKUP(E898,Sales_Reps!$A:$C,3,FALSE),"")</f>
        <v>West</v>
      </c>
      <c r="P898" s="33">
        <f>IFERROR(VLOOKUP(D898,Products!$A:$D,4,FALSE),"")</f>
        <v>517</v>
      </c>
      <c r="Q898" s="33">
        <f t="shared" si="13"/>
        <v>0.57622950819672136</v>
      </c>
    </row>
    <row r="899" spans="1:17" x14ac:dyDescent="0.3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  <c r="L899" t="str">
        <f>IFERROR(VLOOKUP(D899,Products!$A:$C,3,FALSE),"")</f>
        <v>Electronics</v>
      </c>
      <c r="M899" t="str">
        <f>IFERROR(VLOOKUP(C899,Customers!$A:$E,5,FALSE),"")</f>
        <v/>
      </c>
      <c r="N899" t="str">
        <f>IFERROR(VLOOKUP(C899,Customers!$A:$E,3,FALSE),"")</f>
        <v/>
      </c>
      <c r="O899" s="33" t="str">
        <f>IFERROR(VLOOKUP(E899,Sales_Reps!$A:$C,3,FALSE),"")</f>
        <v>South</v>
      </c>
      <c r="P899" s="33">
        <f>IFERROR(VLOOKUP(D899,Products!$A:$D,4,FALSE),"")</f>
        <v>861</v>
      </c>
      <c r="Q899" s="33">
        <f t="shared" ref="Q899:Q962" si="14">IFERROR((G899-P899)/G899,"")</f>
        <v>0.39790209790209791</v>
      </c>
    </row>
    <row r="900" spans="1:17" x14ac:dyDescent="0.3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  <c r="L900" t="str">
        <f>IFERROR(VLOOKUP(D900,Products!$A:$C,3,FALSE),"")</f>
        <v>Beauty</v>
      </c>
      <c r="M900" t="str">
        <f>IFERROR(VLOOKUP(C900,Customers!$A:$E,5,FALSE),"")</f>
        <v>Retail</v>
      </c>
      <c r="N900">
        <f>IFERROR(VLOOKUP(C900,Customers!$A:$E,3,FALSE),"")</f>
        <v>41</v>
      </c>
      <c r="O900" s="33" t="str">
        <f>IFERROR(VLOOKUP(E900,Sales_Reps!$A:$C,3,FALSE),"")</f>
        <v>West</v>
      </c>
      <c r="P900" s="33">
        <f>IFERROR(VLOOKUP(D900,Products!$A:$D,4,FALSE),"")</f>
        <v>2768</v>
      </c>
      <c r="Q900" s="33">
        <f t="shared" si="14"/>
        <v>0.43278688524590164</v>
      </c>
    </row>
    <row r="901" spans="1:17" x14ac:dyDescent="0.3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  <c r="L901" t="str">
        <f>IFERROR(VLOOKUP(D901,Products!$A:$C,3,FALSE),"")</f>
        <v>Beauty</v>
      </c>
      <c r="M901" t="str">
        <f>IFERROR(VLOOKUP(C901,Customers!$A:$E,5,FALSE),"")</f>
        <v>SMB</v>
      </c>
      <c r="N901">
        <f>IFERROR(VLOOKUP(C901,Customers!$A:$E,3,FALSE),"")</f>
        <v>31</v>
      </c>
      <c r="O901" s="33" t="str">
        <f>IFERROR(VLOOKUP(E901,Sales_Reps!$A:$C,3,FALSE),"")</f>
        <v>West</v>
      </c>
      <c r="P901" s="33">
        <f>IFERROR(VLOOKUP(D901,Products!$A:$D,4,FALSE),"")</f>
        <v>2617</v>
      </c>
      <c r="Q901" s="33">
        <f t="shared" si="14"/>
        <v>0.56957236842105263</v>
      </c>
    </row>
    <row r="902" spans="1:17" x14ac:dyDescent="0.3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  <c r="L902" t="str">
        <f>IFERROR(VLOOKUP(D902,Products!$A:$C,3,FALSE),"")</f>
        <v>Beauty</v>
      </c>
      <c r="M902" t="str">
        <f>IFERROR(VLOOKUP(C902,Customers!$A:$E,5,FALSE),"")</f>
        <v>Corporate</v>
      </c>
      <c r="N902">
        <f>IFERROR(VLOOKUP(C902,Customers!$A:$E,3,FALSE),"")</f>
        <v>34</v>
      </c>
      <c r="O902" s="33" t="str">
        <f>IFERROR(VLOOKUP(E902,Sales_Reps!$A:$C,3,FALSE),"")</f>
        <v>South</v>
      </c>
      <c r="P902" s="33">
        <f>IFERROR(VLOOKUP(D902,Products!$A:$D,4,FALSE),"")</f>
        <v>1626</v>
      </c>
      <c r="Q902" s="33">
        <f t="shared" si="14"/>
        <v>0.46158940397350995</v>
      </c>
    </row>
    <row r="903" spans="1:17" x14ac:dyDescent="0.3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  <c r="L903" t="str">
        <f>IFERROR(VLOOKUP(D903,Products!$A:$C,3,FALSE),"")</f>
        <v>Apparel</v>
      </c>
      <c r="M903" t="str">
        <f>IFERROR(VLOOKUP(C903,Customers!$A:$E,5,FALSE),"")</f>
        <v>Corporate</v>
      </c>
      <c r="N903">
        <f>IFERROR(VLOOKUP(C903,Customers!$A:$E,3,FALSE),"")</f>
        <v>59</v>
      </c>
      <c r="O903" s="33" t="str">
        <f>IFERROR(VLOOKUP(E903,Sales_Reps!$A:$C,3,FALSE),"")</f>
        <v>South</v>
      </c>
      <c r="P903" s="33">
        <f>IFERROR(VLOOKUP(D903,Products!$A:$D,4,FALSE),"")</f>
        <v>1962</v>
      </c>
      <c r="Q903" s="33">
        <f t="shared" si="14"/>
        <v>0.2786764705882353</v>
      </c>
    </row>
    <row r="904" spans="1:17" x14ac:dyDescent="0.3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  <c r="L904" t="str">
        <f>IFERROR(VLOOKUP(D904,Products!$A:$C,3,FALSE),"")</f>
        <v>Electronics</v>
      </c>
      <c r="M904" t="str">
        <f>IFERROR(VLOOKUP(C904,Customers!$A:$E,5,FALSE),"")</f>
        <v>SMB</v>
      </c>
      <c r="N904">
        <f>IFERROR(VLOOKUP(C904,Customers!$A:$E,3,FALSE),"")</f>
        <v>55</v>
      </c>
      <c r="O904" s="33" t="str">
        <f>IFERROR(VLOOKUP(E904,Sales_Reps!$A:$C,3,FALSE),"")</f>
        <v>West</v>
      </c>
      <c r="P904" s="33">
        <f>IFERROR(VLOOKUP(D904,Products!$A:$D,4,FALSE),"")</f>
        <v>1665</v>
      </c>
      <c r="Q904" s="33">
        <f t="shared" si="14"/>
        <v>0.53361344537815125</v>
      </c>
    </row>
    <row r="905" spans="1:17" x14ac:dyDescent="0.3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  <c r="L905" t="str">
        <f>IFERROR(VLOOKUP(D905,Products!$A:$C,3,FALSE),"")</f>
        <v>Home</v>
      </c>
      <c r="M905" t="str">
        <f>IFERROR(VLOOKUP(C905,Customers!$A:$E,5,FALSE),"")</f>
        <v>SMB</v>
      </c>
      <c r="N905">
        <f>IFERROR(VLOOKUP(C905,Customers!$A:$E,3,FALSE),"")</f>
        <v>47</v>
      </c>
      <c r="O905" s="33" t="str">
        <f>IFERROR(VLOOKUP(E905,Sales_Reps!$A:$C,3,FALSE),"")</f>
        <v>South</v>
      </c>
      <c r="P905" s="33">
        <f>IFERROR(VLOOKUP(D905,Products!$A:$D,4,FALSE),"")</f>
        <v>519</v>
      </c>
      <c r="Q905" s="33">
        <f t="shared" si="14"/>
        <v>0.51944444444444449</v>
      </c>
    </row>
    <row r="906" spans="1:17" x14ac:dyDescent="0.3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  <c r="L906" t="str">
        <f>IFERROR(VLOOKUP(D906,Products!$A:$C,3,FALSE),"")</f>
        <v>Home</v>
      </c>
      <c r="M906" t="str">
        <f>IFERROR(VLOOKUP(C906,Customers!$A:$E,5,FALSE),"")</f>
        <v>Retail</v>
      </c>
      <c r="N906">
        <f>IFERROR(VLOOKUP(C906,Customers!$A:$E,3,FALSE),"")</f>
        <v>37</v>
      </c>
      <c r="O906" s="33" t="str">
        <f>IFERROR(VLOOKUP(E906,Sales_Reps!$A:$C,3,FALSE),"")</f>
        <v>South</v>
      </c>
      <c r="P906" s="33">
        <f>IFERROR(VLOOKUP(D906,Products!$A:$D,4,FALSE),"")</f>
        <v>464</v>
      </c>
      <c r="Q906" s="33">
        <f t="shared" si="14"/>
        <v>0.57431192660550456</v>
      </c>
    </row>
    <row r="907" spans="1:17" x14ac:dyDescent="0.3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  <c r="L907" t="str">
        <f>IFERROR(VLOOKUP(D907,Products!$A:$C,3,FALSE),"")</f>
        <v>Apparel</v>
      </c>
      <c r="M907" t="str">
        <f>IFERROR(VLOOKUP(C907,Customers!$A:$E,5,FALSE),"")</f>
        <v>SMB</v>
      </c>
      <c r="N907">
        <f>IFERROR(VLOOKUP(C907,Customers!$A:$E,3,FALSE),"")</f>
        <v>51</v>
      </c>
      <c r="O907" s="33" t="str">
        <f>IFERROR(VLOOKUP(E907,Sales_Reps!$A:$C,3,FALSE),"")</f>
        <v>West</v>
      </c>
      <c r="P907" s="33">
        <f>IFERROR(VLOOKUP(D907,Products!$A:$D,4,FALSE),"")</f>
        <v>2629</v>
      </c>
      <c r="Q907" s="33">
        <f t="shared" si="14"/>
        <v>0.26151685393258428</v>
      </c>
    </row>
    <row r="908" spans="1:17" x14ac:dyDescent="0.3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  <c r="L908" t="str">
        <f>IFERROR(VLOOKUP(D908,Products!$A:$C,3,FALSE),"")</f>
        <v>Sports</v>
      </c>
      <c r="M908" t="str">
        <f>IFERROR(VLOOKUP(C908,Customers!$A:$E,5,FALSE),"")</f>
        <v>SMB</v>
      </c>
      <c r="N908">
        <f>IFERROR(VLOOKUP(C908,Customers!$A:$E,3,FALSE),"")</f>
        <v>54</v>
      </c>
      <c r="O908" s="33" t="str">
        <f>IFERROR(VLOOKUP(E908,Sales_Reps!$A:$C,3,FALSE),"")</f>
        <v>East</v>
      </c>
      <c r="P908" s="33">
        <f>IFERROR(VLOOKUP(D908,Products!$A:$D,4,FALSE),"")</f>
        <v>147</v>
      </c>
      <c r="Q908" s="33">
        <f t="shared" si="14"/>
        <v>0.22631578947368422</v>
      </c>
    </row>
    <row r="909" spans="1:17" x14ac:dyDescent="0.3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  <c r="L909" t="str">
        <f>IFERROR(VLOOKUP(D909,Products!$A:$C,3,FALSE),"")</f>
        <v>Grocery</v>
      </c>
      <c r="M909" t="str">
        <f>IFERROR(VLOOKUP(C909,Customers!$A:$E,5,FALSE),"")</f>
        <v>Retail</v>
      </c>
      <c r="N909">
        <f>IFERROR(VLOOKUP(C909,Customers!$A:$E,3,FALSE),"")</f>
        <v>24</v>
      </c>
      <c r="O909" s="33" t="str">
        <f>IFERROR(VLOOKUP(E909,Sales_Reps!$A:$C,3,FALSE),"")</f>
        <v>West</v>
      </c>
      <c r="P909" s="33">
        <f>IFERROR(VLOOKUP(D909,Products!$A:$D,4,FALSE),"")</f>
        <v>2911</v>
      </c>
      <c r="Q909" s="33">
        <f t="shared" si="14"/>
        <v>0.28300492610837441</v>
      </c>
    </row>
    <row r="910" spans="1:17" x14ac:dyDescent="0.3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  <c r="L910" t="str">
        <f>IFERROR(VLOOKUP(D910,Products!$A:$C,3,FALSE),"")</f>
        <v>Home</v>
      </c>
      <c r="M910" t="str">
        <f>IFERROR(VLOOKUP(C910,Customers!$A:$E,5,FALSE),"")</f>
        <v>Corporate</v>
      </c>
      <c r="N910">
        <f>IFERROR(VLOOKUP(C910,Customers!$A:$E,3,FALSE),"")</f>
        <v>40</v>
      </c>
      <c r="O910" s="33" t="str">
        <f>IFERROR(VLOOKUP(E910,Sales_Reps!$A:$C,3,FALSE),"")</f>
        <v>East</v>
      </c>
      <c r="P910" s="33">
        <f>IFERROR(VLOOKUP(D910,Products!$A:$D,4,FALSE),"")</f>
        <v>1850</v>
      </c>
      <c r="Q910" s="33">
        <f t="shared" si="14"/>
        <v>0.59869848156182215</v>
      </c>
    </row>
    <row r="911" spans="1:17" x14ac:dyDescent="0.3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  <c r="L911" t="str">
        <f>IFERROR(VLOOKUP(D911,Products!$A:$C,3,FALSE),"")</f>
        <v>Grocery</v>
      </c>
      <c r="M911" t="str">
        <f>IFERROR(VLOOKUP(C911,Customers!$A:$E,5,FALSE),"")</f>
        <v>Corporate</v>
      </c>
      <c r="N911">
        <f>IFERROR(VLOOKUP(C911,Customers!$A:$E,3,FALSE),"")</f>
        <v>22</v>
      </c>
      <c r="O911" s="33" t="str">
        <f>IFERROR(VLOOKUP(E911,Sales_Reps!$A:$C,3,FALSE),"")</f>
        <v>East</v>
      </c>
      <c r="P911" s="33">
        <f>IFERROR(VLOOKUP(D911,Products!$A:$D,4,FALSE),"")</f>
        <v>2027</v>
      </c>
      <c r="Q911" s="33">
        <f t="shared" si="14"/>
        <v>0.50196560196560192</v>
      </c>
    </row>
    <row r="912" spans="1:17" x14ac:dyDescent="0.3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  <c r="L912" t="str">
        <f>IFERROR(VLOOKUP(D912,Products!$A:$C,3,FALSE),"")</f>
        <v>Apparel</v>
      </c>
      <c r="M912" t="str">
        <f>IFERROR(VLOOKUP(C912,Customers!$A:$E,5,FALSE),"")</f>
        <v>Retail</v>
      </c>
      <c r="N912">
        <f>IFERROR(VLOOKUP(C912,Customers!$A:$E,3,FALSE),"")</f>
        <v>27</v>
      </c>
      <c r="O912" s="33" t="str">
        <f>IFERROR(VLOOKUP(E912,Sales_Reps!$A:$C,3,FALSE),"")</f>
        <v>North</v>
      </c>
      <c r="P912" s="33">
        <f>IFERROR(VLOOKUP(D912,Products!$A:$D,4,FALSE),"")</f>
        <v>2509</v>
      </c>
      <c r="Q912" s="33">
        <f t="shared" si="14"/>
        <v>0.3069060773480663</v>
      </c>
    </row>
    <row r="913" spans="1:17" x14ac:dyDescent="0.3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  <c r="L913" t="str">
        <f>IFERROR(VLOOKUP(D913,Products!$A:$C,3,FALSE),"")</f>
        <v>Electronics</v>
      </c>
      <c r="M913" t="str">
        <f>IFERROR(VLOOKUP(C913,Customers!$A:$E,5,FALSE),"")</f>
        <v>SMB</v>
      </c>
      <c r="N913">
        <f>IFERROR(VLOOKUP(C913,Customers!$A:$E,3,FALSE),"")</f>
        <v>57</v>
      </c>
      <c r="O913" s="33" t="str">
        <f>IFERROR(VLOOKUP(E913,Sales_Reps!$A:$C,3,FALSE),"")</f>
        <v>West</v>
      </c>
      <c r="P913" s="33">
        <f>IFERROR(VLOOKUP(D913,Products!$A:$D,4,FALSE),"")</f>
        <v>2865</v>
      </c>
      <c r="Q913" s="33">
        <f t="shared" si="14"/>
        <v>0.27833753148614609</v>
      </c>
    </row>
    <row r="914" spans="1:17" x14ac:dyDescent="0.3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  <c r="L914" t="str">
        <f>IFERROR(VLOOKUP(D914,Products!$A:$C,3,FALSE),"")</f>
        <v>Grocery</v>
      </c>
      <c r="M914" t="str">
        <f>IFERROR(VLOOKUP(C914,Customers!$A:$E,5,FALSE),"")</f>
        <v>Corporate</v>
      </c>
      <c r="N914">
        <f>IFERROR(VLOOKUP(C914,Customers!$A:$E,3,FALSE),"")</f>
        <v>42</v>
      </c>
      <c r="O914" s="33" t="str">
        <f>IFERROR(VLOOKUP(E914,Sales_Reps!$A:$C,3,FALSE),"")</f>
        <v>West</v>
      </c>
      <c r="P914" s="33">
        <f>IFERROR(VLOOKUP(D914,Products!$A:$D,4,FALSE),"")</f>
        <v>434</v>
      </c>
      <c r="Q914" s="33">
        <f t="shared" si="14"/>
        <v>0.5525773195876289</v>
      </c>
    </row>
    <row r="915" spans="1:17" x14ac:dyDescent="0.3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  <c r="L915" t="str">
        <f>IFERROR(VLOOKUP(D915,Products!$A:$C,3,FALSE),"")</f>
        <v>Sports</v>
      </c>
      <c r="M915" t="str">
        <f>IFERROR(VLOOKUP(C915,Customers!$A:$E,5,FALSE),"")</f>
        <v>Retail</v>
      </c>
      <c r="N915">
        <f>IFERROR(VLOOKUP(C915,Customers!$A:$E,3,FALSE),"")</f>
        <v>29</v>
      </c>
      <c r="O915" s="33" t="str">
        <f>IFERROR(VLOOKUP(E915,Sales_Reps!$A:$C,3,FALSE),"")</f>
        <v>East</v>
      </c>
      <c r="P915" s="33">
        <f>IFERROR(VLOOKUP(D915,Products!$A:$D,4,FALSE),"")</f>
        <v>705</v>
      </c>
      <c r="Q915" s="33">
        <f t="shared" si="14"/>
        <v>0.265625</v>
      </c>
    </row>
    <row r="916" spans="1:17" x14ac:dyDescent="0.3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  <c r="L916" t="str">
        <f>IFERROR(VLOOKUP(D916,Products!$A:$C,3,FALSE),"")</f>
        <v>Electronics</v>
      </c>
      <c r="M916" t="str">
        <f>IFERROR(VLOOKUP(C916,Customers!$A:$E,5,FALSE),"")</f>
        <v>Retail</v>
      </c>
      <c r="N916">
        <f>IFERROR(VLOOKUP(C916,Customers!$A:$E,3,FALSE),"")</f>
        <v>54</v>
      </c>
      <c r="O916" s="33" t="str">
        <f>IFERROR(VLOOKUP(E916,Sales_Reps!$A:$C,3,FALSE),"")</f>
        <v>South</v>
      </c>
      <c r="P916" s="33">
        <f>IFERROR(VLOOKUP(D916,Products!$A:$D,4,FALSE),"")</f>
        <v>128</v>
      </c>
      <c r="Q916" s="33">
        <f t="shared" si="14"/>
        <v>0.57333333333333336</v>
      </c>
    </row>
    <row r="917" spans="1:17" x14ac:dyDescent="0.3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  <c r="L917" t="str">
        <f>IFERROR(VLOOKUP(D917,Products!$A:$C,3,FALSE),"")</f>
        <v>Electronics</v>
      </c>
      <c r="M917" t="str">
        <f>IFERROR(VLOOKUP(C917,Customers!$A:$E,5,FALSE),"")</f>
        <v>Retail</v>
      </c>
      <c r="N917">
        <f>IFERROR(VLOOKUP(C917,Customers!$A:$E,3,FALSE),"")</f>
        <v>46</v>
      </c>
      <c r="O917" s="33" t="str">
        <f>IFERROR(VLOOKUP(E917,Sales_Reps!$A:$C,3,FALSE),"")</f>
        <v>South</v>
      </c>
      <c r="P917" s="33">
        <f>IFERROR(VLOOKUP(D917,Products!$A:$D,4,FALSE),"")</f>
        <v>1052</v>
      </c>
      <c r="Q917" s="33">
        <f t="shared" si="14"/>
        <v>0.5953846153846154</v>
      </c>
    </row>
    <row r="918" spans="1:17" x14ac:dyDescent="0.3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  <c r="L918" t="str">
        <f>IFERROR(VLOOKUP(D918,Products!$A:$C,3,FALSE),"")</f>
        <v>Home</v>
      </c>
      <c r="M918" t="str">
        <f>IFERROR(VLOOKUP(C918,Customers!$A:$E,5,FALSE),"")</f>
        <v>Retail</v>
      </c>
      <c r="N918">
        <f>IFERROR(VLOOKUP(C918,Customers!$A:$E,3,FALSE),"")</f>
        <v>49</v>
      </c>
      <c r="O918" s="33" t="str">
        <f>IFERROR(VLOOKUP(E918,Sales_Reps!$A:$C,3,FALSE),"")</f>
        <v>North</v>
      </c>
      <c r="P918" s="33">
        <f>IFERROR(VLOOKUP(D918,Products!$A:$D,4,FALSE),"")</f>
        <v>288</v>
      </c>
      <c r="Q918" s="33">
        <f t="shared" si="14"/>
        <v>0.22162162162162163</v>
      </c>
    </row>
    <row r="919" spans="1:17" x14ac:dyDescent="0.3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  <c r="L919" t="str">
        <f>IFERROR(VLOOKUP(D919,Products!$A:$C,3,FALSE),"")</f>
        <v>Beauty</v>
      </c>
      <c r="M919" t="str">
        <f>IFERROR(VLOOKUP(C919,Customers!$A:$E,5,FALSE),"")</f>
        <v>Corporate</v>
      </c>
      <c r="N919">
        <f>IFERROR(VLOOKUP(C919,Customers!$A:$E,3,FALSE),"")</f>
        <v>55</v>
      </c>
      <c r="O919" s="33" t="str">
        <f>IFERROR(VLOOKUP(E919,Sales_Reps!$A:$C,3,FALSE),"")</f>
        <v>West</v>
      </c>
      <c r="P919" s="33">
        <f>IFERROR(VLOOKUP(D919,Products!$A:$D,4,FALSE),"")</f>
        <v>2420</v>
      </c>
      <c r="Q919" s="33">
        <f t="shared" si="14"/>
        <v>0.29855072463768118</v>
      </c>
    </row>
    <row r="920" spans="1:17" x14ac:dyDescent="0.3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  <c r="L920" t="str">
        <f>IFERROR(VLOOKUP(D920,Products!$A:$C,3,FALSE),"")</f>
        <v>Apparel</v>
      </c>
      <c r="M920" t="str">
        <f>IFERROR(VLOOKUP(C920,Customers!$A:$E,5,FALSE),"")</f>
        <v>SMB</v>
      </c>
      <c r="N920">
        <f>IFERROR(VLOOKUP(C920,Customers!$A:$E,3,FALSE),"")</f>
        <v>29</v>
      </c>
      <c r="O920" s="33" t="str">
        <f>IFERROR(VLOOKUP(E920,Sales_Reps!$A:$C,3,FALSE),"")</f>
        <v>East</v>
      </c>
      <c r="P920" s="33">
        <f>IFERROR(VLOOKUP(D920,Products!$A:$D,4,FALSE),"")</f>
        <v>1173</v>
      </c>
      <c r="Q920" s="33">
        <f t="shared" si="14"/>
        <v>0.52701612903225803</v>
      </c>
    </row>
    <row r="921" spans="1:17" x14ac:dyDescent="0.3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  <c r="L921" t="str">
        <f>IFERROR(VLOOKUP(D921,Products!$A:$C,3,FALSE),"")</f>
        <v>Grocery</v>
      </c>
      <c r="M921" t="str">
        <f>IFERROR(VLOOKUP(C921,Customers!$A:$E,5,FALSE),"")</f>
        <v>Corporate</v>
      </c>
      <c r="N921">
        <f>IFERROR(VLOOKUP(C921,Customers!$A:$E,3,FALSE),"")</f>
        <v>60</v>
      </c>
      <c r="O921" s="33" t="str">
        <f>IFERROR(VLOOKUP(E921,Sales_Reps!$A:$C,3,FALSE),"")</f>
        <v>East</v>
      </c>
      <c r="P921" s="33">
        <f>IFERROR(VLOOKUP(D921,Products!$A:$D,4,FALSE),"")</f>
        <v>2214</v>
      </c>
      <c r="Q921" s="33">
        <f t="shared" si="14"/>
        <v>0.39508196721311473</v>
      </c>
    </row>
    <row r="922" spans="1:17" x14ac:dyDescent="0.3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  <c r="L922" t="str">
        <f>IFERROR(VLOOKUP(D922,Products!$A:$C,3,FALSE),"")</f>
        <v>Beauty</v>
      </c>
      <c r="M922" t="str">
        <f>IFERROR(VLOOKUP(C922,Customers!$A:$E,5,FALSE),"")</f>
        <v>Retail</v>
      </c>
      <c r="N922">
        <f>IFERROR(VLOOKUP(C922,Customers!$A:$E,3,FALSE),"")</f>
        <v>26</v>
      </c>
      <c r="O922" s="33" t="str">
        <f>IFERROR(VLOOKUP(E922,Sales_Reps!$A:$C,3,FALSE),"")</f>
        <v>East</v>
      </c>
      <c r="P922" s="33">
        <f>IFERROR(VLOOKUP(D922,Products!$A:$D,4,FALSE),"")</f>
        <v>1222</v>
      </c>
      <c r="Q922" s="33">
        <f t="shared" si="14"/>
        <v>0.2593939393939394</v>
      </c>
    </row>
    <row r="923" spans="1:17" x14ac:dyDescent="0.3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  <c r="L923" t="str">
        <f>IFERROR(VLOOKUP(D923,Products!$A:$C,3,FALSE),"")</f>
        <v>Sports</v>
      </c>
      <c r="M923" t="str">
        <f>IFERROR(VLOOKUP(C923,Customers!$A:$E,5,FALSE),"")</f>
        <v>Corporate</v>
      </c>
      <c r="N923">
        <f>IFERROR(VLOOKUP(C923,Customers!$A:$E,3,FALSE),"")</f>
        <v>56</v>
      </c>
      <c r="O923" s="33" t="str">
        <f>IFERROR(VLOOKUP(E923,Sales_Reps!$A:$C,3,FALSE),"")</f>
        <v>West</v>
      </c>
      <c r="P923" s="33">
        <f>IFERROR(VLOOKUP(D923,Products!$A:$D,4,FALSE),"")</f>
        <v>147</v>
      </c>
      <c r="Q923" s="33">
        <f t="shared" si="14"/>
        <v>0.22631578947368422</v>
      </c>
    </row>
    <row r="924" spans="1:17" x14ac:dyDescent="0.3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  <c r="L924" t="str">
        <f>IFERROR(VLOOKUP(D924,Products!$A:$C,3,FALSE),"")</f>
        <v>Grocery</v>
      </c>
      <c r="M924" t="str">
        <f>IFERROR(VLOOKUP(C924,Customers!$A:$E,5,FALSE),"")</f>
        <v>Corporate</v>
      </c>
      <c r="N924">
        <f>IFERROR(VLOOKUP(C924,Customers!$A:$E,3,FALSE),"")</f>
        <v>40</v>
      </c>
      <c r="O924" s="33" t="str">
        <f>IFERROR(VLOOKUP(E924,Sales_Reps!$A:$C,3,FALSE),"")</f>
        <v>North</v>
      </c>
      <c r="P924" s="33">
        <f>IFERROR(VLOOKUP(D924,Products!$A:$D,4,FALSE),"")</f>
        <v>1412</v>
      </c>
      <c r="Q924" s="33">
        <f t="shared" si="14"/>
        <v>0.37797356828193834</v>
      </c>
    </row>
    <row r="925" spans="1:17" x14ac:dyDescent="0.3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  <c r="L925" t="str">
        <f>IFERROR(VLOOKUP(D925,Products!$A:$C,3,FALSE),"")</f>
        <v>Grocery</v>
      </c>
      <c r="M925" t="str">
        <f>IFERROR(VLOOKUP(C925,Customers!$A:$E,5,FALSE),"")</f>
        <v>Retail</v>
      </c>
      <c r="N925">
        <f>IFERROR(VLOOKUP(C925,Customers!$A:$E,3,FALSE),"")</f>
        <v>61</v>
      </c>
      <c r="O925" s="33" t="str">
        <f>IFERROR(VLOOKUP(E925,Sales_Reps!$A:$C,3,FALSE),"")</f>
        <v>South</v>
      </c>
      <c r="P925" s="33">
        <f>IFERROR(VLOOKUP(D925,Products!$A:$D,4,FALSE),"")</f>
        <v>1203</v>
      </c>
      <c r="Q925" s="33">
        <f t="shared" si="14"/>
        <v>0.47004405286343615</v>
      </c>
    </row>
    <row r="926" spans="1:17" x14ac:dyDescent="0.3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  <c r="L926" t="str">
        <f>IFERROR(VLOOKUP(D926,Products!$A:$C,3,FALSE),"")</f>
        <v>Apparel</v>
      </c>
      <c r="M926" t="str">
        <f>IFERROR(VLOOKUP(C926,Customers!$A:$E,5,FALSE),"")</f>
        <v>Retail</v>
      </c>
      <c r="N926">
        <f>IFERROR(VLOOKUP(C926,Customers!$A:$E,3,FALSE),"")</f>
        <v>52</v>
      </c>
      <c r="O926" s="33" t="str">
        <f>IFERROR(VLOOKUP(E926,Sales_Reps!$A:$C,3,FALSE),"")</f>
        <v>East</v>
      </c>
      <c r="P926" s="33">
        <f>IFERROR(VLOOKUP(D926,Products!$A:$D,4,FALSE),"")</f>
        <v>1748</v>
      </c>
      <c r="Q926" s="33">
        <f t="shared" si="14"/>
        <v>0.49333333333333335</v>
      </c>
    </row>
    <row r="927" spans="1:17" x14ac:dyDescent="0.3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  <c r="L927" t="str">
        <f>IFERROR(VLOOKUP(D927,Products!$A:$C,3,FALSE),"")</f>
        <v>Beauty</v>
      </c>
      <c r="M927" t="str">
        <f>IFERROR(VLOOKUP(C927,Customers!$A:$E,5,FALSE),"")</f>
        <v>Retail</v>
      </c>
      <c r="N927">
        <f>IFERROR(VLOOKUP(C927,Customers!$A:$E,3,FALSE),"")</f>
        <v>44</v>
      </c>
      <c r="O927" s="33" t="str">
        <f>IFERROR(VLOOKUP(E927,Sales_Reps!$A:$C,3,FALSE),"")</f>
        <v>West</v>
      </c>
      <c r="P927" s="33">
        <f>IFERROR(VLOOKUP(D927,Products!$A:$D,4,FALSE),"")</f>
        <v>1626</v>
      </c>
      <c r="Q927" s="33">
        <f t="shared" si="14"/>
        <v>0.46158940397350995</v>
      </c>
    </row>
    <row r="928" spans="1:17" x14ac:dyDescent="0.3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  <c r="L928" t="str">
        <f>IFERROR(VLOOKUP(D928,Products!$A:$C,3,FALSE),"")</f>
        <v>Home</v>
      </c>
      <c r="M928" t="str">
        <f>IFERROR(VLOOKUP(C928,Customers!$A:$E,5,FALSE),"")</f>
        <v>Retail</v>
      </c>
      <c r="N928">
        <f>IFERROR(VLOOKUP(C928,Customers!$A:$E,3,FALSE),"")</f>
        <v>47</v>
      </c>
      <c r="O928" s="33" t="str">
        <f>IFERROR(VLOOKUP(E928,Sales_Reps!$A:$C,3,FALSE),"")</f>
        <v>South</v>
      </c>
      <c r="P928" s="33">
        <f>IFERROR(VLOOKUP(D928,Products!$A:$D,4,FALSE),"")</f>
        <v>1143</v>
      </c>
      <c r="Q928" s="33">
        <f t="shared" si="14"/>
        <v>0.43694581280788175</v>
      </c>
    </row>
    <row r="929" spans="1:17" x14ac:dyDescent="0.3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  <c r="L929" t="str">
        <f>IFERROR(VLOOKUP(D929,Products!$A:$C,3,FALSE),"")</f>
        <v>Apparel</v>
      </c>
      <c r="M929" t="str">
        <f>IFERROR(VLOOKUP(C929,Customers!$A:$E,5,FALSE),"")</f>
        <v>Retail</v>
      </c>
      <c r="N929">
        <f>IFERROR(VLOOKUP(C929,Customers!$A:$E,3,FALSE),"")</f>
        <v>38</v>
      </c>
      <c r="O929" s="33" t="str">
        <f>IFERROR(VLOOKUP(E929,Sales_Reps!$A:$C,3,FALSE),"")</f>
        <v>South</v>
      </c>
      <c r="P929" s="33">
        <f>IFERROR(VLOOKUP(D929,Products!$A:$D,4,FALSE),"")</f>
        <v>1748</v>
      </c>
      <c r="Q929" s="33">
        <f t="shared" si="14"/>
        <v>0.49333333333333335</v>
      </c>
    </row>
    <row r="930" spans="1:17" x14ac:dyDescent="0.3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  <c r="L930" t="str">
        <f>IFERROR(VLOOKUP(D930,Products!$A:$C,3,FALSE),"")</f>
        <v>Beauty</v>
      </c>
      <c r="M930" t="str">
        <f>IFERROR(VLOOKUP(C930,Customers!$A:$E,5,FALSE),"")</f>
        <v>Retail</v>
      </c>
      <c r="N930">
        <f>IFERROR(VLOOKUP(C930,Customers!$A:$E,3,FALSE),"")</f>
        <v>44</v>
      </c>
      <c r="O930" s="33" t="str">
        <f>IFERROR(VLOOKUP(E930,Sales_Reps!$A:$C,3,FALSE),"")</f>
        <v>West</v>
      </c>
      <c r="P930" s="33">
        <f>IFERROR(VLOOKUP(D930,Products!$A:$D,4,FALSE),"")</f>
        <v>675</v>
      </c>
      <c r="Q930" s="33">
        <f t="shared" si="14"/>
        <v>0.296875</v>
      </c>
    </row>
    <row r="931" spans="1:17" x14ac:dyDescent="0.3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  <c r="L931" t="str">
        <f>IFERROR(VLOOKUP(D931,Products!$A:$C,3,FALSE),"")</f>
        <v>Electronics</v>
      </c>
      <c r="M931" t="str">
        <f>IFERROR(VLOOKUP(C931,Customers!$A:$E,5,FALSE),"")</f>
        <v>Retail</v>
      </c>
      <c r="N931">
        <f>IFERROR(VLOOKUP(C931,Customers!$A:$E,3,FALSE),"")</f>
        <v>52</v>
      </c>
      <c r="O931" s="33" t="str">
        <f>IFERROR(VLOOKUP(E931,Sales_Reps!$A:$C,3,FALSE),"")</f>
        <v>North</v>
      </c>
      <c r="P931" s="33">
        <f>IFERROR(VLOOKUP(D931,Products!$A:$D,4,FALSE),"")</f>
        <v>2865</v>
      </c>
      <c r="Q931" s="33">
        <f t="shared" si="14"/>
        <v>0.27833753148614609</v>
      </c>
    </row>
    <row r="932" spans="1:17" x14ac:dyDescent="0.3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  <c r="L932" t="str">
        <f>IFERROR(VLOOKUP(D932,Products!$A:$C,3,FALSE),"")</f>
        <v>Sports</v>
      </c>
      <c r="M932" t="str">
        <f>IFERROR(VLOOKUP(C932,Customers!$A:$E,5,FALSE),"")</f>
        <v>Corporate</v>
      </c>
      <c r="N932">
        <f>IFERROR(VLOOKUP(C932,Customers!$A:$E,3,FALSE),"")</f>
        <v>46</v>
      </c>
      <c r="O932" s="33" t="str">
        <f>IFERROR(VLOOKUP(E932,Sales_Reps!$A:$C,3,FALSE),"")</f>
        <v>West</v>
      </c>
      <c r="P932" s="33">
        <f>IFERROR(VLOOKUP(D932,Products!$A:$D,4,FALSE),"")</f>
        <v>2265</v>
      </c>
      <c r="Q932" s="33">
        <f t="shared" si="14"/>
        <v>0.58133086876155271</v>
      </c>
    </row>
    <row r="933" spans="1:17" x14ac:dyDescent="0.3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  <c r="L933" t="str">
        <f>IFERROR(VLOOKUP(D933,Products!$A:$C,3,FALSE),"")</f>
        <v>Electronics</v>
      </c>
      <c r="M933" t="str">
        <f>IFERROR(VLOOKUP(C933,Customers!$A:$E,5,FALSE),"")</f>
        <v>Corporate</v>
      </c>
      <c r="N933">
        <f>IFERROR(VLOOKUP(C933,Customers!$A:$E,3,FALSE),"")</f>
        <v>37</v>
      </c>
      <c r="O933" s="33" t="str">
        <f>IFERROR(VLOOKUP(E933,Sales_Reps!$A:$C,3,FALSE),"")</f>
        <v>North</v>
      </c>
      <c r="P933" s="33">
        <f>IFERROR(VLOOKUP(D933,Products!$A:$D,4,FALSE),"")</f>
        <v>1665</v>
      </c>
      <c r="Q933" s="33">
        <f t="shared" si="14"/>
        <v>0.53361344537815125</v>
      </c>
    </row>
    <row r="934" spans="1:17" x14ac:dyDescent="0.3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  <c r="L934" t="str">
        <f>IFERROR(VLOOKUP(D934,Products!$A:$C,3,FALSE),"")</f>
        <v>Electronics</v>
      </c>
      <c r="M934" t="str">
        <f>IFERROR(VLOOKUP(C934,Customers!$A:$E,5,FALSE),"")</f>
        <v>SMB</v>
      </c>
      <c r="N934">
        <f>IFERROR(VLOOKUP(C934,Customers!$A:$E,3,FALSE),"")</f>
        <v>54</v>
      </c>
      <c r="O934" s="33" t="str">
        <f>IFERROR(VLOOKUP(E934,Sales_Reps!$A:$C,3,FALSE),"")</f>
        <v>South</v>
      </c>
      <c r="P934" s="33">
        <f>IFERROR(VLOOKUP(D934,Products!$A:$D,4,FALSE),"")</f>
        <v>1052</v>
      </c>
      <c r="Q934" s="33">
        <f t="shared" si="14"/>
        <v>0.5953846153846154</v>
      </c>
    </row>
    <row r="935" spans="1:17" x14ac:dyDescent="0.3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  <c r="L935" t="str">
        <f>IFERROR(VLOOKUP(D935,Products!$A:$C,3,FALSE),"")</f>
        <v>Sports</v>
      </c>
      <c r="M935" t="str">
        <f>IFERROR(VLOOKUP(C935,Customers!$A:$E,5,FALSE),"")</f>
        <v>Corporate</v>
      </c>
      <c r="N935">
        <f>IFERROR(VLOOKUP(C935,Customers!$A:$E,3,FALSE),"")</f>
        <v>55</v>
      </c>
      <c r="O935" s="33" t="str">
        <f>IFERROR(VLOOKUP(E935,Sales_Reps!$A:$C,3,FALSE),"")</f>
        <v>West</v>
      </c>
      <c r="P935" s="33">
        <f>IFERROR(VLOOKUP(D935,Products!$A:$D,4,FALSE),"")</f>
        <v>302</v>
      </c>
      <c r="Q935" s="33">
        <f t="shared" si="14"/>
        <v>0.35744680851063831</v>
      </c>
    </row>
    <row r="936" spans="1:17" x14ac:dyDescent="0.3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  <c r="L936" t="str">
        <f>IFERROR(VLOOKUP(D936,Products!$A:$C,3,FALSE),"")</f>
        <v>Sports</v>
      </c>
      <c r="M936" t="str">
        <f>IFERROR(VLOOKUP(C936,Customers!$A:$E,5,FALSE),"")</f>
        <v>Retail</v>
      </c>
      <c r="N936">
        <f>IFERROR(VLOOKUP(C936,Customers!$A:$E,3,FALSE),"")</f>
        <v>29</v>
      </c>
      <c r="O936" s="33" t="str">
        <f>IFERROR(VLOOKUP(E936,Sales_Reps!$A:$C,3,FALSE),"")</f>
        <v>West</v>
      </c>
      <c r="P936" s="33">
        <f>IFERROR(VLOOKUP(D936,Products!$A:$D,4,FALSE),"")</f>
        <v>302</v>
      </c>
      <c r="Q936" s="33">
        <f t="shared" si="14"/>
        <v>0.35744680851063831</v>
      </c>
    </row>
    <row r="937" spans="1:17" x14ac:dyDescent="0.3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  <c r="L937" t="str">
        <f>IFERROR(VLOOKUP(D937,Products!$A:$C,3,FALSE),"")</f>
        <v>Sports</v>
      </c>
      <c r="M937" t="str">
        <f>IFERROR(VLOOKUP(C937,Customers!$A:$E,5,FALSE),"")</f>
        <v>SMB</v>
      </c>
      <c r="N937">
        <f>IFERROR(VLOOKUP(C937,Customers!$A:$E,3,FALSE),"")</f>
        <v>51</v>
      </c>
      <c r="O937" s="33" t="str">
        <f>IFERROR(VLOOKUP(E937,Sales_Reps!$A:$C,3,FALSE),"")</f>
        <v>North</v>
      </c>
      <c r="P937" s="33">
        <f>IFERROR(VLOOKUP(D937,Products!$A:$D,4,FALSE),"")</f>
        <v>1860</v>
      </c>
      <c r="Q937" s="33">
        <f t="shared" si="14"/>
        <v>0.50793650793650791</v>
      </c>
    </row>
    <row r="938" spans="1:17" x14ac:dyDescent="0.3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  <c r="L938" t="str">
        <f>IFERROR(VLOOKUP(D938,Products!$A:$C,3,FALSE),"")</f>
        <v>Sports</v>
      </c>
      <c r="M938" t="str">
        <f>IFERROR(VLOOKUP(C938,Customers!$A:$E,5,FALSE),"")</f>
        <v>Retail</v>
      </c>
      <c r="N938">
        <f>IFERROR(VLOOKUP(C938,Customers!$A:$E,3,FALSE),"")</f>
        <v>56</v>
      </c>
      <c r="O938" s="33" t="str">
        <f>IFERROR(VLOOKUP(E938,Sales_Reps!$A:$C,3,FALSE),"")</f>
        <v>East</v>
      </c>
      <c r="P938" s="33">
        <f>IFERROR(VLOOKUP(D938,Products!$A:$D,4,FALSE),"")</f>
        <v>2827</v>
      </c>
      <c r="Q938" s="33">
        <f t="shared" si="14"/>
        <v>0.5926512968299712</v>
      </c>
    </row>
    <row r="939" spans="1:17" x14ac:dyDescent="0.3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  <c r="L939" t="str">
        <f>IFERROR(VLOOKUP(D939,Products!$A:$C,3,FALSE),"")</f>
        <v>Electronics</v>
      </c>
      <c r="M939" t="str">
        <f>IFERROR(VLOOKUP(C939,Customers!$A:$E,5,FALSE),"")</f>
        <v>Retail</v>
      </c>
      <c r="N939">
        <f>IFERROR(VLOOKUP(C939,Customers!$A:$E,3,FALSE),"")</f>
        <v>22</v>
      </c>
      <c r="O939" s="33" t="str">
        <f>IFERROR(VLOOKUP(E939,Sales_Reps!$A:$C,3,FALSE),"")</f>
        <v>West</v>
      </c>
      <c r="P939" s="33">
        <f>IFERROR(VLOOKUP(D939,Products!$A:$D,4,FALSE),"")</f>
        <v>1559</v>
      </c>
      <c r="Q939" s="33">
        <f t="shared" si="14"/>
        <v>0.59715762273901807</v>
      </c>
    </row>
    <row r="940" spans="1:17" x14ac:dyDescent="0.3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  <c r="L940" t="str">
        <f>IFERROR(VLOOKUP(D940,Products!$A:$C,3,FALSE),"")</f>
        <v>Sports</v>
      </c>
      <c r="M940" t="str">
        <f>IFERROR(VLOOKUP(C940,Customers!$A:$E,5,FALSE),"")</f>
        <v>Corporate</v>
      </c>
      <c r="N940">
        <f>IFERROR(VLOOKUP(C940,Customers!$A:$E,3,FALSE),"")</f>
        <v>41</v>
      </c>
      <c r="O940" s="33" t="str">
        <f>IFERROR(VLOOKUP(E940,Sales_Reps!$A:$C,3,FALSE),"")</f>
        <v>South</v>
      </c>
      <c r="P940" s="33">
        <f>IFERROR(VLOOKUP(D940,Products!$A:$D,4,FALSE),"")</f>
        <v>2265</v>
      </c>
      <c r="Q940" s="33">
        <f t="shared" si="14"/>
        <v>0.58133086876155271</v>
      </c>
    </row>
    <row r="941" spans="1:17" x14ac:dyDescent="0.3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  <c r="L941" t="str">
        <f>IFERROR(VLOOKUP(D941,Products!$A:$C,3,FALSE),"")</f>
        <v>Electronics</v>
      </c>
      <c r="M941" t="str">
        <f>IFERROR(VLOOKUP(C941,Customers!$A:$E,5,FALSE),"")</f>
        <v>Corporate</v>
      </c>
      <c r="N941">
        <f>IFERROR(VLOOKUP(C941,Customers!$A:$E,3,FALSE),"")</f>
        <v>47</v>
      </c>
      <c r="O941" s="33" t="str">
        <f>IFERROR(VLOOKUP(E941,Sales_Reps!$A:$C,3,FALSE),"")</f>
        <v>West</v>
      </c>
      <c r="P941" s="33">
        <f>IFERROR(VLOOKUP(D941,Products!$A:$D,4,FALSE),"")</f>
        <v>2865</v>
      </c>
      <c r="Q941" s="33">
        <f t="shared" si="14"/>
        <v>0.27833753148614609</v>
      </c>
    </row>
    <row r="942" spans="1:17" x14ac:dyDescent="0.3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  <c r="L942" t="str">
        <f>IFERROR(VLOOKUP(D942,Products!$A:$C,3,FALSE),"")</f>
        <v>Sports</v>
      </c>
      <c r="M942" t="str">
        <f>IFERROR(VLOOKUP(C942,Customers!$A:$E,5,FALSE),"")</f>
        <v>Retail</v>
      </c>
      <c r="N942">
        <f>IFERROR(VLOOKUP(C942,Customers!$A:$E,3,FALSE),"")</f>
        <v>53</v>
      </c>
      <c r="O942" s="33" t="str">
        <f>IFERROR(VLOOKUP(E942,Sales_Reps!$A:$C,3,FALSE),"")</f>
        <v>North</v>
      </c>
      <c r="P942" s="33">
        <f>IFERROR(VLOOKUP(D942,Products!$A:$D,4,FALSE),"")</f>
        <v>2827</v>
      </c>
      <c r="Q942" s="33">
        <f t="shared" si="14"/>
        <v>0.5926512968299712</v>
      </c>
    </row>
    <row r="943" spans="1:17" x14ac:dyDescent="0.3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  <c r="L943" t="str">
        <f>IFERROR(VLOOKUP(D943,Products!$A:$C,3,FALSE),"")</f>
        <v>Apparel</v>
      </c>
      <c r="M943" t="str">
        <f>IFERROR(VLOOKUP(C943,Customers!$A:$E,5,FALSE),"")</f>
        <v>Corporate</v>
      </c>
      <c r="N943">
        <f>IFERROR(VLOOKUP(C943,Customers!$A:$E,3,FALSE),"")</f>
        <v>55</v>
      </c>
      <c r="O943" s="33" t="str">
        <f>IFERROR(VLOOKUP(E943,Sales_Reps!$A:$C,3,FALSE),"")</f>
        <v>North</v>
      </c>
      <c r="P943" s="33">
        <f>IFERROR(VLOOKUP(D943,Products!$A:$D,4,FALSE),"")</f>
        <v>1886</v>
      </c>
      <c r="Q943" s="33">
        <f t="shared" si="14"/>
        <v>0.4031645569620253</v>
      </c>
    </row>
    <row r="944" spans="1:17" x14ac:dyDescent="0.3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  <c r="L944" t="str">
        <f>IFERROR(VLOOKUP(D944,Products!$A:$C,3,FALSE),"")</f>
        <v>Apparel</v>
      </c>
      <c r="M944" t="str">
        <f>IFERROR(VLOOKUP(C944,Customers!$A:$E,5,FALSE),"")</f>
        <v>Corporate</v>
      </c>
      <c r="N944">
        <f>IFERROR(VLOOKUP(C944,Customers!$A:$E,3,FALSE),"")</f>
        <v>43</v>
      </c>
      <c r="O944" s="33" t="str">
        <f>IFERROR(VLOOKUP(E944,Sales_Reps!$A:$C,3,FALSE),"")</f>
        <v>West</v>
      </c>
      <c r="P944" s="33">
        <f>IFERROR(VLOOKUP(D944,Products!$A:$D,4,FALSE),"")</f>
        <v>391</v>
      </c>
      <c r="Q944" s="33">
        <f t="shared" si="14"/>
        <v>0.52317073170731709</v>
      </c>
    </row>
    <row r="945" spans="1:17" x14ac:dyDescent="0.3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  <c r="L945" t="str">
        <f>IFERROR(VLOOKUP(D945,Products!$A:$C,3,FALSE),"")</f>
        <v>Beauty</v>
      </c>
      <c r="M945" t="str">
        <f>IFERROR(VLOOKUP(C945,Customers!$A:$E,5,FALSE),"")</f>
        <v>SMB</v>
      </c>
      <c r="N945">
        <f>IFERROR(VLOOKUP(C945,Customers!$A:$E,3,FALSE),"")</f>
        <v>34</v>
      </c>
      <c r="O945" s="33" t="str">
        <f>IFERROR(VLOOKUP(E945,Sales_Reps!$A:$C,3,FALSE),"")</f>
        <v>West</v>
      </c>
      <c r="P945" s="33">
        <f>IFERROR(VLOOKUP(D945,Products!$A:$D,4,FALSE),"")</f>
        <v>647</v>
      </c>
      <c r="Q945" s="33">
        <f t="shared" si="14"/>
        <v>0.57987012987012987</v>
      </c>
    </row>
    <row r="946" spans="1:17" x14ac:dyDescent="0.3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  <c r="L946" t="str">
        <f>IFERROR(VLOOKUP(D946,Products!$A:$C,3,FALSE),"")</f>
        <v>Electronics</v>
      </c>
      <c r="M946" t="str">
        <f>IFERROR(VLOOKUP(C946,Customers!$A:$E,5,FALSE),"")</f>
        <v>Retail</v>
      </c>
      <c r="N946">
        <f>IFERROR(VLOOKUP(C946,Customers!$A:$E,3,FALSE),"")</f>
        <v>29</v>
      </c>
      <c r="O946" s="33" t="str">
        <f>IFERROR(VLOOKUP(E946,Sales_Reps!$A:$C,3,FALSE),"")</f>
        <v>North</v>
      </c>
      <c r="P946" s="33">
        <f>IFERROR(VLOOKUP(D946,Products!$A:$D,4,FALSE),"")</f>
        <v>1559</v>
      </c>
      <c r="Q946" s="33">
        <f t="shared" si="14"/>
        <v>0.59715762273901807</v>
      </c>
    </row>
    <row r="947" spans="1:17" x14ac:dyDescent="0.3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  <c r="L947" t="str">
        <f>IFERROR(VLOOKUP(D947,Products!$A:$C,3,FALSE),"")</f>
        <v>Electronics</v>
      </c>
      <c r="M947" t="str">
        <f>IFERROR(VLOOKUP(C947,Customers!$A:$E,5,FALSE),"")</f>
        <v>Retail</v>
      </c>
      <c r="N947">
        <f>IFERROR(VLOOKUP(C947,Customers!$A:$E,3,FALSE),"")</f>
        <v>50</v>
      </c>
      <c r="O947" s="33" t="str">
        <f>IFERROR(VLOOKUP(E947,Sales_Reps!$A:$C,3,FALSE),"")</f>
        <v>North</v>
      </c>
      <c r="P947" s="33">
        <f>IFERROR(VLOOKUP(D947,Products!$A:$D,4,FALSE),"")</f>
        <v>1259</v>
      </c>
      <c r="Q947" s="33">
        <f t="shared" si="14"/>
        <v>0.52669172932330832</v>
      </c>
    </row>
    <row r="948" spans="1:17" x14ac:dyDescent="0.3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  <c r="L948" t="str">
        <f>IFERROR(VLOOKUP(D948,Products!$A:$C,3,FALSE),"")</f>
        <v>Electronics</v>
      </c>
      <c r="M948" t="str">
        <f>IFERROR(VLOOKUP(C948,Customers!$A:$E,5,FALSE),"")</f>
        <v>SMB</v>
      </c>
      <c r="N948">
        <f>IFERROR(VLOOKUP(C948,Customers!$A:$E,3,FALSE),"")</f>
        <v>51</v>
      </c>
      <c r="O948" s="33" t="str">
        <f>IFERROR(VLOOKUP(E948,Sales_Reps!$A:$C,3,FALSE),"")</f>
        <v>South</v>
      </c>
      <c r="P948" s="33">
        <f>IFERROR(VLOOKUP(D948,Products!$A:$D,4,FALSE),"")</f>
        <v>1665</v>
      </c>
      <c r="Q948" s="33">
        <f t="shared" si="14"/>
        <v>0.53361344537815125</v>
      </c>
    </row>
    <row r="949" spans="1:17" x14ac:dyDescent="0.3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  <c r="L949" t="str">
        <f>IFERROR(VLOOKUP(D949,Products!$A:$C,3,FALSE),"")</f>
        <v>Home</v>
      </c>
      <c r="M949" t="str">
        <f>IFERROR(VLOOKUP(C949,Customers!$A:$E,5,FALSE),"")</f>
        <v>SMB</v>
      </c>
      <c r="N949">
        <f>IFERROR(VLOOKUP(C949,Customers!$A:$E,3,FALSE),"")</f>
        <v>52</v>
      </c>
      <c r="O949" s="33" t="str">
        <f>IFERROR(VLOOKUP(E949,Sales_Reps!$A:$C,3,FALSE),"")</f>
        <v>North</v>
      </c>
      <c r="P949" s="33">
        <f>IFERROR(VLOOKUP(D949,Products!$A:$D,4,FALSE),"")</f>
        <v>1143</v>
      </c>
      <c r="Q949" s="33">
        <f t="shared" si="14"/>
        <v>0.43694581280788175</v>
      </c>
    </row>
    <row r="950" spans="1:17" x14ac:dyDescent="0.3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  <c r="L950" t="str">
        <f>IFERROR(VLOOKUP(D950,Products!$A:$C,3,FALSE),"")</f>
        <v>Apparel</v>
      </c>
      <c r="M950" t="str">
        <f>IFERROR(VLOOKUP(C950,Customers!$A:$E,5,FALSE),"")</f>
        <v>Corporate</v>
      </c>
      <c r="N950">
        <f>IFERROR(VLOOKUP(C950,Customers!$A:$E,3,FALSE),"")</f>
        <v>43</v>
      </c>
      <c r="O950" s="33" t="str">
        <f>IFERROR(VLOOKUP(E950,Sales_Reps!$A:$C,3,FALSE),"")</f>
        <v>South</v>
      </c>
      <c r="P950" s="33">
        <f>IFERROR(VLOOKUP(D950,Products!$A:$D,4,FALSE),"")</f>
        <v>1886</v>
      </c>
      <c r="Q950" s="33">
        <f t="shared" si="14"/>
        <v>0.4031645569620253</v>
      </c>
    </row>
    <row r="951" spans="1:17" x14ac:dyDescent="0.3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  <c r="L951" t="str">
        <f>IFERROR(VLOOKUP(D951,Products!$A:$C,3,FALSE),"")</f>
        <v>Home</v>
      </c>
      <c r="M951" t="str">
        <f>IFERROR(VLOOKUP(C951,Customers!$A:$E,5,FALSE),"")</f>
        <v>SMB</v>
      </c>
      <c r="N951">
        <f>IFERROR(VLOOKUP(C951,Customers!$A:$E,3,FALSE),"")</f>
        <v>55</v>
      </c>
      <c r="O951" s="33" t="str">
        <f>IFERROR(VLOOKUP(E951,Sales_Reps!$A:$C,3,FALSE),"")</f>
        <v>South</v>
      </c>
      <c r="P951" s="33">
        <f>IFERROR(VLOOKUP(D951,Products!$A:$D,4,FALSE),"")</f>
        <v>2459</v>
      </c>
      <c r="Q951" s="33">
        <f t="shared" si="14"/>
        <v>0.51594488188976373</v>
      </c>
    </row>
    <row r="952" spans="1:17" x14ac:dyDescent="0.3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  <c r="L952" t="str">
        <f>IFERROR(VLOOKUP(D952,Products!$A:$C,3,FALSE),"")</f>
        <v>Beauty</v>
      </c>
      <c r="M952" t="str">
        <f>IFERROR(VLOOKUP(C952,Customers!$A:$E,5,FALSE),"")</f>
        <v>Corporate</v>
      </c>
      <c r="N952">
        <f>IFERROR(VLOOKUP(C952,Customers!$A:$E,3,FALSE),"")</f>
        <v>37</v>
      </c>
      <c r="O952" s="33" t="str">
        <f>IFERROR(VLOOKUP(E952,Sales_Reps!$A:$C,3,FALSE),"")</f>
        <v>South</v>
      </c>
      <c r="P952" s="33">
        <f>IFERROR(VLOOKUP(D952,Products!$A:$D,4,FALSE),"")</f>
        <v>2420</v>
      </c>
      <c r="Q952" s="33">
        <f t="shared" si="14"/>
        <v>0.29855072463768118</v>
      </c>
    </row>
    <row r="953" spans="1:17" x14ac:dyDescent="0.3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  <c r="L953" t="str">
        <f>IFERROR(VLOOKUP(D953,Products!$A:$C,3,FALSE),"")</f>
        <v>Sports</v>
      </c>
      <c r="M953" t="str">
        <f>IFERROR(VLOOKUP(C953,Customers!$A:$E,5,FALSE),"")</f>
        <v>Retail</v>
      </c>
      <c r="N953">
        <f>IFERROR(VLOOKUP(C953,Customers!$A:$E,3,FALSE),"")</f>
        <v>39</v>
      </c>
      <c r="O953" s="33" t="str">
        <f>IFERROR(VLOOKUP(E953,Sales_Reps!$A:$C,3,FALSE),"")</f>
        <v>South</v>
      </c>
      <c r="P953" s="33">
        <f>IFERROR(VLOOKUP(D953,Products!$A:$D,4,FALSE),"")</f>
        <v>2467</v>
      </c>
      <c r="Q953" s="33">
        <f t="shared" si="14"/>
        <v>0.28492753623188405</v>
      </c>
    </row>
    <row r="954" spans="1:17" x14ac:dyDescent="0.3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  <c r="L954" t="str">
        <f>IFERROR(VLOOKUP(D954,Products!$A:$C,3,FALSE),"")</f>
        <v>Electronics</v>
      </c>
      <c r="M954" t="str">
        <f>IFERROR(VLOOKUP(C954,Customers!$A:$E,5,FALSE),"")</f>
        <v>Retail</v>
      </c>
      <c r="N954">
        <f>IFERROR(VLOOKUP(C954,Customers!$A:$E,3,FALSE),"")</f>
        <v>26</v>
      </c>
      <c r="O954" s="33" t="str">
        <f>IFERROR(VLOOKUP(E954,Sales_Reps!$A:$C,3,FALSE),"")</f>
        <v>West</v>
      </c>
      <c r="P954" s="33">
        <f>IFERROR(VLOOKUP(D954,Products!$A:$D,4,FALSE),"")</f>
        <v>2405</v>
      </c>
      <c r="Q954" s="33">
        <f t="shared" si="14"/>
        <v>0.54878048780487809</v>
      </c>
    </row>
    <row r="955" spans="1:17" x14ac:dyDescent="0.3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  <c r="L955" t="str">
        <f>IFERROR(VLOOKUP(D955,Products!$A:$C,3,FALSE),"")</f>
        <v>Grocery</v>
      </c>
      <c r="M955" t="str">
        <f>IFERROR(VLOOKUP(C955,Customers!$A:$E,5,FALSE),"")</f>
        <v>Retail</v>
      </c>
      <c r="N955">
        <f>IFERROR(VLOOKUP(C955,Customers!$A:$E,3,FALSE),"")</f>
        <v>52</v>
      </c>
      <c r="O955" s="33" t="str">
        <f>IFERROR(VLOOKUP(E955,Sales_Reps!$A:$C,3,FALSE),"")</f>
        <v>North</v>
      </c>
      <c r="P955" s="33">
        <f>IFERROR(VLOOKUP(D955,Products!$A:$D,4,FALSE),"")</f>
        <v>1010</v>
      </c>
      <c r="Q955" s="33">
        <f t="shared" si="14"/>
        <v>0.54298642533936647</v>
      </c>
    </row>
    <row r="956" spans="1:17" x14ac:dyDescent="0.3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  <c r="L956" t="str">
        <f>IFERROR(VLOOKUP(D956,Products!$A:$C,3,FALSE),"")</f>
        <v>Home</v>
      </c>
      <c r="M956" t="str">
        <f>IFERROR(VLOOKUP(C956,Customers!$A:$E,5,FALSE),"")</f>
        <v>Retail</v>
      </c>
      <c r="N956">
        <f>IFERROR(VLOOKUP(C956,Customers!$A:$E,3,FALSE),"")</f>
        <v>41</v>
      </c>
      <c r="O956" s="33" t="str">
        <f>IFERROR(VLOOKUP(E956,Sales_Reps!$A:$C,3,FALSE),"")</f>
        <v>West</v>
      </c>
      <c r="P956" s="33">
        <f>IFERROR(VLOOKUP(D956,Products!$A:$D,4,FALSE),"")</f>
        <v>519</v>
      </c>
      <c r="Q956" s="33">
        <f t="shared" si="14"/>
        <v>0.51944444444444449</v>
      </c>
    </row>
    <row r="957" spans="1:17" x14ac:dyDescent="0.3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  <c r="L957" t="str">
        <f>IFERROR(VLOOKUP(D957,Products!$A:$C,3,FALSE),"")</f>
        <v>Apparel</v>
      </c>
      <c r="M957" t="str">
        <f>IFERROR(VLOOKUP(C957,Customers!$A:$E,5,FALSE),"")</f>
        <v>SMB</v>
      </c>
      <c r="N957">
        <f>IFERROR(VLOOKUP(C957,Customers!$A:$E,3,FALSE),"")</f>
        <v>44</v>
      </c>
      <c r="O957" s="33" t="str">
        <f>IFERROR(VLOOKUP(E957,Sales_Reps!$A:$C,3,FALSE),"")</f>
        <v>South</v>
      </c>
      <c r="P957" s="33">
        <f>IFERROR(VLOOKUP(D957,Products!$A:$D,4,FALSE),"")</f>
        <v>2509</v>
      </c>
      <c r="Q957" s="33">
        <f t="shared" si="14"/>
        <v>0.3069060773480663</v>
      </c>
    </row>
    <row r="958" spans="1:17" x14ac:dyDescent="0.3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  <c r="L958" t="str">
        <f>IFERROR(VLOOKUP(D958,Products!$A:$C,3,FALSE),"")</f>
        <v>Apparel</v>
      </c>
      <c r="M958" t="str">
        <f>IFERROR(VLOOKUP(C958,Customers!$A:$E,5,FALSE),"")</f>
        <v>Retail</v>
      </c>
      <c r="N958">
        <f>IFERROR(VLOOKUP(C958,Customers!$A:$E,3,FALSE),"")</f>
        <v>36</v>
      </c>
      <c r="O958" s="33" t="str">
        <f>IFERROR(VLOOKUP(E958,Sales_Reps!$A:$C,3,FALSE),"")</f>
        <v>South</v>
      </c>
      <c r="P958" s="33">
        <f>IFERROR(VLOOKUP(D958,Products!$A:$D,4,FALSE),"")</f>
        <v>2629</v>
      </c>
      <c r="Q958" s="33">
        <f t="shared" si="14"/>
        <v>0.26151685393258428</v>
      </c>
    </row>
    <row r="959" spans="1:17" x14ac:dyDescent="0.3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  <c r="L959" t="str">
        <f>IFERROR(VLOOKUP(D959,Products!$A:$C,3,FALSE),"")</f>
        <v>Home</v>
      </c>
      <c r="M959" t="str">
        <f>IFERROR(VLOOKUP(C959,Customers!$A:$E,5,FALSE),"")</f>
        <v>Retail</v>
      </c>
      <c r="N959">
        <f>IFERROR(VLOOKUP(C959,Customers!$A:$E,3,FALSE),"")</f>
        <v>41</v>
      </c>
      <c r="O959" s="33" t="str">
        <f>IFERROR(VLOOKUP(E959,Sales_Reps!$A:$C,3,FALSE),"")</f>
        <v>West</v>
      </c>
      <c r="P959" s="33">
        <f>IFERROR(VLOOKUP(D959,Products!$A:$D,4,FALSE),"")</f>
        <v>1143</v>
      </c>
      <c r="Q959" s="33">
        <f t="shared" si="14"/>
        <v>0.43694581280788175</v>
      </c>
    </row>
    <row r="960" spans="1:17" x14ac:dyDescent="0.3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  <c r="L960" t="str">
        <f>IFERROR(VLOOKUP(D960,Products!$A:$C,3,FALSE),"")</f>
        <v>Beauty</v>
      </c>
      <c r="M960" t="str">
        <f>IFERROR(VLOOKUP(C960,Customers!$A:$E,5,FALSE),"")</f>
        <v>SMB</v>
      </c>
      <c r="N960">
        <f>IFERROR(VLOOKUP(C960,Customers!$A:$E,3,FALSE),"")</f>
        <v>51</v>
      </c>
      <c r="O960" s="33" t="str">
        <f>IFERROR(VLOOKUP(E960,Sales_Reps!$A:$C,3,FALSE),"")</f>
        <v>South</v>
      </c>
      <c r="P960" s="33">
        <f>IFERROR(VLOOKUP(D960,Products!$A:$D,4,FALSE),"")</f>
        <v>1222</v>
      </c>
      <c r="Q960" s="33">
        <f t="shared" si="14"/>
        <v>0.2593939393939394</v>
      </c>
    </row>
    <row r="961" spans="1:17" x14ac:dyDescent="0.3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  <c r="L961" t="str">
        <f>IFERROR(VLOOKUP(D961,Products!$A:$C,3,FALSE),"")</f>
        <v>Grocery</v>
      </c>
      <c r="M961" t="str">
        <f>IFERROR(VLOOKUP(C961,Customers!$A:$E,5,FALSE),"")</f>
        <v>SMB</v>
      </c>
      <c r="N961">
        <f>IFERROR(VLOOKUP(C961,Customers!$A:$E,3,FALSE),"")</f>
        <v>65</v>
      </c>
      <c r="O961" s="33" t="str">
        <f>IFERROR(VLOOKUP(E961,Sales_Reps!$A:$C,3,FALSE),"")</f>
        <v>East</v>
      </c>
      <c r="P961" s="33">
        <f>IFERROR(VLOOKUP(D961,Products!$A:$D,4,FALSE),"")</f>
        <v>1435</v>
      </c>
      <c r="Q961" s="33">
        <f t="shared" si="14"/>
        <v>0.48007246376811596</v>
      </c>
    </row>
    <row r="962" spans="1:17" x14ac:dyDescent="0.3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  <c r="L962" t="str">
        <f>IFERROR(VLOOKUP(D962,Products!$A:$C,3,FALSE),"")</f>
        <v>Electronics</v>
      </c>
      <c r="M962" t="str">
        <f>IFERROR(VLOOKUP(C962,Customers!$A:$E,5,FALSE),"")</f>
        <v>Corporate</v>
      </c>
      <c r="N962">
        <f>IFERROR(VLOOKUP(C962,Customers!$A:$E,3,FALSE),"")</f>
        <v>47</v>
      </c>
      <c r="O962" s="33" t="str">
        <f>IFERROR(VLOOKUP(E962,Sales_Reps!$A:$C,3,FALSE),"")</f>
        <v>South</v>
      </c>
      <c r="P962" s="33">
        <f>IFERROR(VLOOKUP(D962,Products!$A:$D,4,FALSE),"")</f>
        <v>2865</v>
      </c>
      <c r="Q962" s="33">
        <f t="shared" si="14"/>
        <v>0.27833753148614609</v>
      </c>
    </row>
    <row r="963" spans="1:17" x14ac:dyDescent="0.3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  <c r="L963" t="str">
        <f>IFERROR(VLOOKUP(D963,Products!$A:$C,3,FALSE),"")</f>
        <v>Beauty</v>
      </c>
      <c r="M963" t="str">
        <f>IFERROR(VLOOKUP(C963,Customers!$A:$E,5,FALSE),"")</f>
        <v>SMB</v>
      </c>
      <c r="N963">
        <f>IFERROR(VLOOKUP(C963,Customers!$A:$E,3,FALSE),"")</f>
        <v>49</v>
      </c>
      <c r="O963" s="33" t="str">
        <f>IFERROR(VLOOKUP(E963,Sales_Reps!$A:$C,3,FALSE),"")</f>
        <v>South</v>
      </c>
      <c r="P963" s="33">
        <f>IFERROR(VLOOKUP(D963,Products!$A:$D,4,FALSE),"")</f>
        <v>2617</v>
      </c>
      <c r="Q963" s="33">
        <f t="shared" ref="Q963:Q1026" si="15">IFERROR((G963-P963)/G963,"")</f>
        <v>0.56957236842105263</v>
      </c>
    </row>
    <row r="964" spans="1:17" x14ac:dyDescent="0.3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  <c r="L964" t="str">
        <f>IFERROR(VLOOKUP(D964,Products!$A:$C,3,FALSE),"")</f>
        <v>Grocery</v>
      </c>
      <c r="M964" t="str">
        <f>IFERROR(VLOOKUP(C964,Customers!$A:$E,5,FALSE),"")</f>
        <v>Retail</v>
      </c>
      <c r="N964">
        <f>IFERROR(VLOOKUP(C964,Customers!$A:$E,3,FALSE),"")</f>
        <v>43</v>
      </c>
      <c r="O964" s="33" t="str">
        <f>IFERROR(VLOOKUP(E964,Sales_Reps!$A:$C,3,FALSE),"")</f>
        <v>North</v>
      </c>
      <c r="P964" s="33">
        <f>IFERROR(VLOOKUP(D964,Products!$A:$D,4,FALSE),"")</f>
        <v>1203</v>
      </c>
      <c r="Q964" s="33">
        <f t="shared" si="15"/>
        <v>0.47004405286343615</v>
      </c>
    </row>
    <row r="965" spans="1:17" x14ac:dyDescent="0.3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  <c r="L965" t="str">
        <f>IFERROR(VLOOKUP(D965,Products!$A:$C,3,FALSE),"")</f>
        <v>Electronics</v>
      </c>
      <c r="M965" t="str">
        <f>IFERROR(VLOOKUP(C965,Customers!$A:$E,5,FALSE),"")</f>
        <v>Corporate</v>
      </c>
      <c r="N965">
        <f>IFERROR(VLOOKUP(C965,Customers!$A:$E,3,FALSE),"")</f>
        <v>47</v>
      </c>
      <c r="O965" s="33" t="str">
        <f>IFERROR(VLOOKUP(E965,Sales_Reps!$A:$C,3,FALSE),"")</f>
        <v>North</v>
      </c>
      <c r="P965" s="33">
        <f>IFERROR(VLOOKUP(D965,Products!$A:$D,4,FALSE),"")</f>
        <v>2865</v>
      </c>
      <c r="Q965" s="33">
        <f t="shared" si="15"/>
        <v>0.27833753148614609</v>
      </c>
    </row>
    <row r="966" spans="1:17" x14ac:dyDescent="0.3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  <c r="L966" t="str">
        <f>IFERROR(VLOOKUP(D966,Products!$A:$C,3,FALSE),"")</f>
        <v>Beauty</v>
      </c>
      <c r="M966" t="str">
        <f>IFERROR(VLOOKUP(C966,Customers!$A:$E,5,FALSE),"")</f>
        <v>Retail</v>
      </c>
      <c r="N966">
        <f>IFERROR(VLOOKUP(C966,Customers!$A:$E,3,FALSE),"")</f>
        <v>26</v>
      </c>
      <c r="O966" s="33" t="str">
        <f>IFERROR(VLOOKUP(E966,Sales_Reps!$A:$C,3,FALSE),"")</f>
        <v>South</v>
      </c>
      <c r="P966" s="33">
        <f>IFERROR(VLOOKUP(D966,Products!$A:$D,4,FALSE),"")</f>
        <v>2237</v>
      </c>
      <c r="Q966" s="33">
        <f t="shared" si="15"/>
        <v>0.56137254901960787</v>
      </c>
    </row>
    <row r="967" spans="1:17" x14ac:dyDescent="0.3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  <c r="L967" t="str">
        <f>IFERROR(VLOOKUP(D967,Products!$A:$C,3,FALSE),"")</f>
        <v>Beauty</v>
      </c>
      <c r="M967" t="str">
        <f>IFERROR(VLOOKUP(C967,Customers!$A:$E,5,FALSE),"")</f>
        <v>Corporate</v>
      </c>
      <c r="N967">
        <f>IFERROR(VLOOKUP(C967,Customers!$A:$E,3,FALSE),"")</f>
        <v>33</v>
      </c>
      <c r="O967" s="33" t="str">
        <f>IFERROR(VLOOKUP(E967,Sales_Reps!$A:$C,3,FALSE),"")</f>
        <v>West</v>
      </c>
      <c r="P967" s="33">
        <f>IFERROR(VLOOKUP(D967,Products!$A:$D,4,FALSE),"")</f>
        <v>1626</v>
      </c>
      <c r="Q967" s="33">
        <f t="shared" si="15"/>
        <v>0.46158940397350995</v>
      </c>
    </row>
    <row r="968" spans="1:17" x14ac:dyDescent="0.3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  <c r="L968" t="str">
        <f>IFERROR(VLOOKUP(D968,Products!$A:$C,3,FALSE),"")</f>
        <v>Sports</v>
      </c>
      <c r="M968" t="str">
        <f>IFERROR(VLOOKUP(C968,Customers!$A:$E,5,FALSE),"")</f>
        <v>Retail</v>
      </c>
      <c r="N968">
        <f>IFERROR(VLOOKUP(C968,Customers!$A:$E,3,FALSE),"")</f>
        <v>37</v>
      </c>
      <c r="O968" s="33" t="str">
        <f>IFERROR(VLOOKUP(E968,Sales_Reps!$A:$C,3,FALSE),"")</f>
        <v>South</v>
      </c>
      <c r="P968" s="33">
        <f>IFERROR(VLOOKUP(D968,Products!$A:$D,4,FALSE),"")</f>
        <v>705</v>
      </c>
      <c r="Q968" s="33">
        <f t="shared" si="15"/>
        <v>0.265625</v>
      </c>
    </row>
    <row r="969" spans="1:17" x14ac:dyDescent="0.3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  <c r="L969" t="str">
        <f>IFERROR(VLOOKUP(D969,Products!$A:$C,3,FALSE),"")</f>
        <v>Apparel</v>
      </c>
      <c r="M969" t="str">
        <f>IFERROR(VLOOKUP(C969,Customers!$A:$E,5,FALSE),"")</f>
        <v>SMB</v>
      </c>
      <c r="N969">
        <f>IFERROR(VLOOKUP(C969,Customers!$A:$E,3,FALSE),"")</f>
        <v>65</v>
      </c>
      <c r="O969" s="33" t="str">
        <f>IFERROR(VLOOKUP(E969,Sales_Reps!$A:$C,3,FALSE),"")</f>
        <v>North</v>
      </c>
      <c r="P969" s="33">
        <f>IFERROR(VLOOKUP(D969,Products!$A:$D,4,FALSE),"")</f>
        <v>1173</v>
      </c>
      <c r="Q969" s="33">
        <f t="shared" si="15"/>
        <v>0.52701612903225803</v>
      </c>
    </row>
    <row r="970" spans="1:17" x14ac:dyDescent="0.3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  <c r="L970" t="str">
        <f>IFERROR(VLOOKUP(D970,Products!$A:$C,3,FALSE),"")</f>
        <v>Grocery</v>
      </c>
      <c r="M970" t="str">
        <f>IFERROR(VLOOKUP(C970,Customers!$A:$E,5,FALSE),"")</f>
        <v/>
      </c>
      <c r="N970" t="str">
        <f>IFERROR(VLOOKUP(C970,Customers!$A:$E,3,FALSE),"")</f>
        <v/>
      </c>
      <c r="O970" s="33" t="str">
        <f>IFERROR(VLOOKUP(E970,Sales_Reps!$A:$C,3,FALSE),"")</f>
        <v>South</v>
      </c>
      <c r="P970" s="33">
        <f>IFERROR(VLOOKUP(D970,Products!$A:$D,4,FALSE),"")</f>
        <v>434</v>
      </c>
      <c r="Q970" s="33">
        <f t="shared" si="15"/>
        <v>0.5525773195876289</v>
      </c>
    </row>
    <row r="971" spans="1:17" x14ac:dyDescent="0.3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  <c r="L971" t="str">
        <f>IFERROR(VLOOKUP(D971,Products!$A:$C,3,FALSE),"")</f>
        <v>Grocery</v>
      </c>
      <c r="M971" t="str">
        <f>IFERROR(VLOOKUP(C971,Customers!$A:$E,5,FALSE),"")</f>
        <v>SMB</v>
      </c>
      <c r="N971">
        <f>IFERROR(VLOOKUP(C971,Customers!$A:$E,3,FALSE),"")</f>
        <v>53</v>
      </c>
      <c r="O971" s="33" t="str">
        <f>IFERROR(VLOOKUP(E971,Sales_Reps!$A:$C,3,FALSE),"")</f>
        <v>East</v>
      </c>
      <c r="P971" s="33">
        <f>IFERROR(VLOOKUP(D971,Products!$A:$D,4,FALSE),"")</f>
        <v>1182</v>
      </c>
      <c r="Q971" s="33">
        <f t="shared" si="15"/>
        <v>0.50336134453781511</v>
      </c>
    </row>
    <row r="972" spans="1:17" x14ac:dyDescent="0.3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  <c r="L972" t="str">
        <f>IFERROR(VLOOKUP(D972,Products!$A:$C,3,FALSE),"")</f>
        <v>Sports</v>
      </c>
      <c r="M972" t="str">
        <f>IFERROR(VLOOKUP(C972,Customers!$A:$E,5,FALSE),"")</f>
        <v>Retail</v>
      </c>
      <c r="N972">
        <f>IFERROR(VLOOKUP(C972,Customers!$A:$E,3,FALSE),"")</f>
        <v>60</v>
      </c>
      <c r="O972" s="33" t="str">
        <f>IFERROR(VLOOKUP(E972,Sales_Reps!$A:$C,3,FALSE),"")</f>
        <v>North</v>
      </c>
      <c r="P972" s="33">
        <f>IFERROR(VLOOKUP(D972,Products!$A:$D,4,FALSE),"")</f>
        <v>2265</v>
      </c>
      <c r="Q972" s="33">
        <f t="shared" si="15"/>
        <v>0.58133086876155271</v>
      </c>
    </row>
    <row r="973" spans="1:17" x14ac:dyDescent="0.3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  <c r="L973" t="str">
        <f>IFERROR(VLOOKUP(D973,Products!$A:$C,3,FALSE),"")</f>
        <v>Home</v>
      </c>
      <c r="M973" t="str">
        <f>IFERROR(VLOOKUP(C973,Customers!$A:$E,5,FALSE),"")</f>
        <v>Retail</v>
      </c>
      <c r="N973">
        <f>IFERROR(VLOOKUP(C973,Customers!$A:$E,3,FALSE),"")</f>
        <v>28</v>
      </c>
      <c r="O973" s="33" t="str">
        <f>IFERROR(VLOOKUP(E973,Sales_Reps!$A:$C,3,FALSE),"")</f>
        <v>East</v>
      </c>
      <c r="P973" s="33">
        <f>IFERROR(VLOOKUP(D973,Products!$A:$D,4,FALSE),"")</f>
        <v>2459</v>
      </c>
      <c r="Q973" s="33">
        <f t="shared" si="15"/>
        <v>0.51594488188976373</v>
      </c>
    </row>
    <row r="974" spans="1:17" x14ac:dyDescent="0.3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  <c r="L974" t="str">
        <f>IFERROR(VLOOKUP(D974,Products!$A:$C,3,FALSE),"")</f>
        <v>Electronics</v>
      </c>
      <c r="M974" t="str">
        <f>IFERROR(VLOOKUP(C974,Customers!$A:$E,5,FALSE),"")</f>
        <v>Retail</v>
      </c>
      <c r="N974">
        <f>IFERROR(VLOOKUP(C974,Customers!$A:$E,3,FALSE),"")</f>
        <v>39</v>
      </c>
      <c r="O974" s="33" t="str">
        <f>IFERROR(VLOOKUP(E974,Sales_Reps!$A:$C,3,FALSE),"")</f>
        <v>West</v>
      </c>
      <c r="P974" s="33">
        <f>IFERROR(VLOOKUP(D974,Products!$A:$D,4,FALSE),"")</f>
        <v>861</v>
      </c>
      <c r="Q974" s="33">
        <f t="shared" si="15"/>
        <v>0.39790209790209791</v>
      </c>
    </row>
    <row r="975" spans="1:17" x14ac:dyDescent="0.3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  <c r="L975" t="str">
        <f>IFERROR(VLOOKUP(D975,Products!$A:$C,3,FALSE),"")</f>
        <v>Home</v>
      </c>
      <c r="M975" t="str">
        <f>IFERROR(VLOOKUP(C975,Customers!$A:$E,5,FALSE),"")</f>
        <v>SMB</v>
      </c>
      <c r="N975">
        <f>IFERROR(VLOOKUP(C975,Customers!$A:$E,3,FALSE),"")</f>
        <v>38</v>
      </c>
      <c r="O975" s="33" t="str">
        <f>IFERROR(VLOOKUP(E975,Sales_Reps!$A:$C,3,FALSE),"")</f>
        <v>South</v>
      </c>
      <c r="P975" s="33">
        <f>IFERROR(VLOOKUP(D975,Products!$A:$D,4,FALSE),"")</f>
        <v>329</v>
      </c>
      <c r="Q975" s="33">
        <f t="shared" si="15"/>
        <v>0.50151515151515147</v>
      </c>
    </row>
    <row r="976" spans="1:17" x14ac:dyDescent="0.3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  <c r="L976" t="str">
        <f>IFERROR(VLOOKUP(D976,Products!$A:$C,3,FALSE),"")</f>
        <v>Beauty</v>
      </c>
      <c r="M976" t="str">
        <f>IFERROR(VLOOKUP(C976,Customers!$A:$E,5,FALSE),"")</f>
        <v>Retail</v>
      </c>
      <c r="N976">
        <f>IFERROR(VLOOKUP(C976,Customers!$A:$E,3,FALSE),"")</f>
        <v>36</v>
      </c>
      <c r="O976" s="33" t="str">
        <f>IFERROR(VLOOKUP(E976,Sales_Reps!$A:$C,3,FALSE),"")</f>
        <v>North</v>
      </c>
      <c r="P976" s="33">
        <f>IFERROR(VLOOKUP(D976,Products!$A:$D,4,FALSE),"")</f>
        <v>647</v>
      </c>
      <c r="Q976" s="33">
        <f t="shared" si="15"/>
        <v>0.57987012987012987</v>
      </c>
    </row>
    <row r="977" spans="1:17" x14ac:dyDescent="0.3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  <c r="L977" t="str">
        <f>IFERROR(VLOOKUP(D977,Products!$A:$C,3,FALSE),"")</f>
        <v>Grocery</v>
      </c>
      <c r="M977" t="str">
        <f>IFERROR(VLOOKUP(C977,Customers!$A:$E,5,FALSE),"")</f>
        <v>SMB</v>
      </c>
      <c r="N977">
        <f>IFERROR(VLOOKUP(C977,Customers!$A:$E,3,FALSE),"")</f>
        <v>48</v>
      </c>
      <c r="O977" s="33" t="str">
        <f>IFERROR(VLOOKUP(E977,Sales_Reps!$A:$C,3,FALSE),"")</f>
        <v>North</v>
      </c>
      <c r="P977" s="33">
        <f>IFERROR(VLOOKUP(D977,Products!$A:$D,4,FALSE),"")</f>
        <v>1010</v>
      </c>
      <c r="Q977" s="33">
        <f t="shared" si="15"/>
        <v>0.54298642533936647</v>
      </c>
    </row>
    <row r="978" spans="1:17" x14ac:dyDescent="0.3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  <c r="L978" t="str">
        <f>IFERROR(VLOOKUP(D978,Products!$A:$C,3,FALSE),"")</f>
        <v>Sports</v>
      </c>
      <c r="M978" t="str">
        <f>IFERROR(VLOOKUP(C978,Customers!$A:$E,5,FALSE),"")</f>
        <v>Retail</v>
      </c>
      <c r="N978">
        <f>IFERROR(VLOOKUP(C978,Customers!$A:$E,3,FALSE),"")</f>
        <v>44</v>
      </c>
      <c r="O978" s="33" t="str">
        <f>IFERROR(VLOOKUP(E978,Sales_Reps!$A:$C,3,FALSE),"")</f>
        <v>East</v>
      </c>
      <c r="P978" s="33">
        <f>IFERROR(VLOOKUP(D978,Products!$A:$D,4,FALSE),"")</f>
        <v>705</v>
      </c>
      <c r="Q978" s="33">
        <f t="shared" si="15"/>
        <v>0.265625</v>
      </c>
    </row>
    <row r="979" spans="1:17" x14ac:dyDescent="0.3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  <c r="L979" t="str">
        <f>IFERROR(VLOOKUP(D979,Products!$A:$C,3,FALSE),"")</f>
        <v>Beauty</v>
      </c>
      <c r="M979" t="str">
        <f>IFERROR(VLOOKUP(C979,Customers!$A:$E,5,FALSE),"")</f>
        <v>Retail</v>
      </c>
      <c r="N979">
        <f>IFERROR(VLOOKUP(C979,Customers!$A:$E,3,FALSE),"")</f>
        <v>38</v>
      </c>
      <c r="O979" s="33" t="str">
        <f>IFERROR(VLOOKUP(E979,Sales_Reps!$A:$C,3,FALSE),"")</f>
        <v>East</v>
      </c>
      <c r="P979" s="33">
        <f>IFERROR(VLOOKUP(D979,Products!$A:$D,4,FALSE),"")</f>
        <v>2420</v>
      </c>
      <c r="Q979" s="33">
        <f t="shared" si="15"/>
        <v>0.29855072463768118</v>
      </c>
    </row>
    <row r="980" spans="1:17" x14ac:dyDescent="0.3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  <c r="L980" t="str">
        <f>IFERROR(VLOOKUP(D980,Products!$A:$C,3,FALSE),"")</f>
        <v>Home</v>
      </c>
      <c r="M980" t="str">
        <f>IFERROR(VLOOKUP(C980,Customers!$A:$E,5,FALSE),"")</f>
        <v/>
      </c>
      <c r="N980" t="str">
        <f>IFERROR(VLOOKUP(C980,Customers!$A:$E,3,FALSE),"")</f>
        <v/>
      </c>
      <c r="O980" s="33" t="str">
        <f>IFERROR(VLOOKUP(E980,Sales_Reps!$A:$C,3,FALSE),"")</f>
        <v>North</v>
      </c>
      <c r="P980" s="33">
        <f>IFERROR(VLOOKUP(D980,Products!$A:$D,4,FALSE),"")</f>
        <v>1143</v>
      </c>
      <c r="Q980" s="33">
        <f t="shared" si="15"/>
        <v>0.43694581280788175</v>
      </c>
    </row>
    <row r="981" spans="1:17" x14ac:dyDescent="0.3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  <c r="L981" t="str">
        <f>IFERROR(VLOOKUP(D981,Products!$A:$C,3,FALSE),"")</f>
        <v>Apparel</v>
      </c>
      <c r="M981" t="str">
        <f>IFERROR(VLOOKUP(C981,Customers!$A:$E,5,FALSE),"")</f>
        <v>SMB</v>
      </c>
      <c r="N981">
        <f>IFERROR(VLOOKUP(C981,Customers!$A:$E,3,FALSE),"")</f>
        <v>24</v>
      </c>
      <c r="O981" s="33" t="str">
        <f>IFERROR(VLOOKUP(E981,Sales_Reps!$A:$C,3,FALSE),"")</f>
        <v>South</v>
      </c>
      <c r="P981" s="33">
        <f>IFERROR(VLOOKUP(D981,Products!$A:$D,4,FALSE),"")</f>
        <v>1748</v>
      </c>
      <c r="Q981" s="33">
        <f t="shared" si="15"/>
        <v>0.49333333333333335</v>
      </c>
    </row>
    <row r="982" spans="1:17" x14ac:dyDescent="0.3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  <c r="L982" t="str">
        <f>IFERROR(VLOOKUP(D982,Products!$A:$C,3,FALSE),"")</f>
        <v>Grocery</v>
      </c>
      <c r="M982" t="str">
        <f>IFERROR(VLOOKUP(C982,Customers!$A:$E,5,FALSE),"")</f>
        <v>Retail</v>
      </c>
      <c r="N982">
        <f>IFERROR(VLOOKUP(C982,Customers!$A:$E,3,FALSE),"")</f>
        <v>49</v>
      </c>
      <c r="O982" s="33" t="str">
        <f>IFERROR(VLOOKUP(E982,Sales_Reps!$A:$C,3,FALSE),"")</f>
        <v>South</v>
      </c>
      <c r="P982" s="33">
        <f>IFERROR(VLOOKUP(D982,Products!$A:$D,4,FALSE),"")</f>
        <v>2436</v>
      </c>
      <c r="Q982" s="33">
        <f t="shared" si="15"/>
        <v>0.35555555555555557</v>
      </c>
    </row>
    <row r="983" spans="1:17" x14ac:dyDescent="0.3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  <c r="L983" t="str">
        <f>IFERROR(VLOOKUP(D983,Products!$A:$C,3,FALSE),"")</f>
        <v>Grocery</v>
      </c>
      <c r="M983" t="str">
        <f>IFERROR(VLOOKUP(C983,Customers!$A:$E,5,FALSE),"")</f>
        <v>Retail</v>
      </c>
      <c r="N983">
        <f>IFERROR(VLOOKUP(C983,Customers!$A:$E,3,FALSE),"")</f>
        <v>50</v>
      </c>
      <c r="O983" s="33" t="str">
        <f>IFERROR(VLOOKUP(E983,Sales_Reps!$A:$C,3,FALSE),"")</f>
        <v>North</v>
      </c>
      <c r="P983" s="33">
        <f>IFERROR(VLOOKUP(D983,Products!$A:$D,4,FALSE),"")</f>
        <v>1435</v>
      </c>
      <c r="Q983" s="33">
        <f t="shared" si="15"/>
        <v>0.48007246376811596</v>
      </c>
    </row>
    <row r="984" spans="1:17" x14ac:dyDescent="0.3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  <c r="L984" t="str">
        <f>IFERROR(VLOOKUP(D984,Products!$A:$C,3,FALSE),"")</f>
        <v>Beauty</v>
      </c>
      <c r="M984" t="str">
        <f>IFERROR(VLOOKUP(C984,Customers!$A:$E,5,FALSE),"")</f>
        <v>Retail</v>
      </c>
      <c r="N984">
        <f>IFERROR(VLOOKUP(C984,Customers!$A:$E,3,FALSE),"")</f>
        <v>31</v>
      </c>
      <c r="O984" s="33" t="str">
        <f>IFERROR(VLOOKUP(E984,Sales_Reps!$A:$C,3,FALSE),"")</f>
        <v>West</v>
      </c>
      <c r="P984" s="33">
        <f>IFERROR(VLOOKUP(D984,Products!$A:$D,4,FALSE),"")</f>
        <v>647</v>
      </c>
      <c r="Q984" s="33">
        <f t="shared" si="15"/>
        <v>0.57987012987012987</v>
      </c>
    </row>
    <row r="985" spans="1:17" x14ac:dyDescent="0.3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  <c r="L985" t="str">
        <f>IFERROR(VLOOKUP(D985,Products!$A:$C,3,FALSE),"")</f>
        <v>Home</v>
      </c>
      <c r="M985" t="str">
        <f>IFERROR(VLOOKUP(C985,Customers!$A:$E,5,FALSE),"")</f>
        <v>Retail</v>
      </c>
      <c r="N985">
        <f>IFERROR(VLOOKUP(C985,Customers!$A:$E,3,FALSE),"")</f>
        <v>27</v>
      </c>
      <c r="O985" s="33" t="str">
        <f>IFERROR(VLOOKUP(E985,Sales_Reps!$A:$C,3,FALSE),"")</f>
        <v>North</v>
      </c>
      <c r="P985" s="33">
        <f>IFERROR(VLOOKUP(D985,Products!$A:$D,4,FALSE),"")</f>
        <v>2135</v>
      </c>
      <c r="Q985" s="33">
        <f t="shared" si="15"/>
        <v>0.42761394101876676</v>
      </c>
    </row>
    <row r="986" spans="1:17" x14ac:dyDescent="0.3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  <c r="L986" t="str">
        <f>IFERROR(VLOOKUP(D986,Products!$A:$C,3,FALSE),"")</f>
        <v>Home</v>
      </c>
      <c r="M986" t="str">
        <f>IFERROR(VLOOKUP(C986,Customers!$A:$E,5,FALSE),"")</f>
        <v>Retail</v>
      </c>
      <c r="N986">
        <f>IFERROR(VLOOKUP(C986,Customers!$A:$E,3,FALSE),"")</f>
        <v>52</v>
      </c>
      <c r="O986" s="33" t="str">
        <f>IFERROR(VLOOKUP(E986,Sales_Reps!$A:$C,3,FALSE),"")</f>
        <v>West</v>
      </c>
      <c r="P986" s="33">
        <f>IFERROR(VLOOKUP(D986,Products!$A:$D,4,FALSE),"")</f>
        <v>2135</v>
      </c>
      <c r="Q986" s="33">
        <f t="shared" si="15"/>
        <v>0.42761394101876676</v>
      </c>
    </row>
    <row r="987" spans="1:17" x14ac:dyDescent="0.3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  <c r="L987" t="str">
        <f>IFERROR(VLOOKUP(D987,Products!$A:$C,3,FALSE),"")</f>
        <v>Apparel</v>
      </c>
      <c r="M987" t="str">
        <f>IFERROR(VLOOKUP(C987,Customers!$A:$E,5,FALSE),"")</f>
        <v>Retail</v>
      </c>
      <c r="N987">
        <f>IFERROR(VLOOKUP(C987,Customers!$A:$E,3,FALSE),"")</f>
        <v>62</v>
      </c>
      <c r="O987" s="33" t="str">
        <f>IFERROR(VLOOKUP(E987,Sales_Reps!$A:$C,3,FALSE),"")</f>
        <v>South</v>
      </c>
      <c r="P987" s="33">
        <f>IFERROR(VLOOKUP(D987,Products!$A:$D,4,FALSE),"")</f>
        <v>1886</v>
      </c>
      <c r="Q987" s="33">
        <f t="shared" si="15"/>
        <v>0.4031645569620253</v>
      </c>
    </row>
    <row r="988" spans="1:17" x14ac:dyDescent="0.3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  <c r="L988" t="str">
        <f>IFERROR(VLOOKUP(D988,Products!$A:$C,3,FALSE),"")</f>
        <v>Beauty</v>
      </c>
      <c r="M988" t="str">
        <f>IFERROR(VLOOKUP(C988,Customers!$A:$E,5,FALSE),"")</f>
        <v>Retail</v>
      </c>
      <c r="N988">
        <f>IFERROR(VLOOKUP(C988,Customers!$A:$E,3,FALSE),"")</f>
        <v>53</v>
      </c>
      <c r="O988" s="33" t="str">
        <f>IFERROR(VLOOKUP(E988,Sales_Reps!$A:$C,3,FALSE),"")</f>
        <v>East</v>
      </c>
      <c r="P988" s="33">
        <f>IFERROR(VLOOKUP(D988,Products!$A:$D,4,FALSE),"")</f>
        <v>1219</v>
      </c>
      <c r="Q988" s="33">
        <f t="shared" si="15"/>
        <v>0.46768558951965067</v>
      </c>
    </row>
    <row r="989" spans="1:17" x14ac:dyDescent="0.3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  <c r="L989" t="str">
        <f>IFERROR(VLOOKUP(D989,Products!$A:$C,3,FALSE),"")</f>
        <v>Electronics</v>
      </c>
      <c r="M989" t="str">
        <f>IFERROR(VLOOKUP(C989,Customers!$A:$E,5,FALSE),"")</f>
        <v>Corporate</v>
      </c>
      <c r="N989">
        <f>IFERROR(VLOOKUP(C989,Customers!$A:$E,3,FALSE),"")</f>
        <v>48</v>
      </c>
      <c r="O989" s="33" t="str">
        <f>IFERROR(VLOOKUP(E989,Sales_Reps!$A:$C,3,FALSE),"")</f>
        <v>South</v>
      </c>
      <c r="P989" s="33">
        <f>IFERROR(VLOOKUP(D989,Products!$A:$D,4,FALSE),"")</f>
        <v>1559</v>
      </c>
      <c r="Q989" s="33">
        <f t="shared" si="15"/>
        <v>0.59715762273901807</v>
      </c>
    </row>
    <row r="990" spans="1:17" x14ac:dyDescent="0.3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  <c r="L990" t="str">
        <f>IFERROR(VLOOKUP(D990,Products!$A:$C,3,FALSE),"")</f>
        <v>Electronics</v>
      </c>
      <c r="M990" t="str">
        <f>IFERROR(VLOOKUP(C990,Customers!$A:$E,5,FALSE),"")</f>
        <v>Retail</v>
      </c>
      <c r="N990">
        <f>IFERROR(VLOOKUP(C990,Customers!$A:$E,3,FALSE),"")</f>
        <v>55</v>
      </c>
      <c r="O990" s="33" t="str">
        <f>IFERROR(VLOOKUP(E990,Sales_Reps!$A:$C,3,FALSE),"")</f>
        <v>North</v>
      </c>
      <c r="P990" s="33">
        <f>IFERROR(VLOOKUP(D990,Products!$A:$D,4,FALSE),"")</f>
        <v>1665</v>
      </c>
      <c r="Q990" s="33">
        <f t="shared" si="15"/>
        <v>0.53361344537815125</v>
      </c>
    </row>
    <row r="991" spans="1:17" x14ac:dyDescent="0.3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  <c r="L991" t="str">
        <f>IFERROR(VLOOKUP(D991,Products!$A:$C,3,FALSE),"")</f>
        <v>Sports</v>
      </c>
      <c r="M991" t="str">
        <f>IFERROR(VLOOKUP(C991,Customers!$A:$E,5,FALSE),"")</f>
        <v>Retail</v>
      </c>
      <c r="N991">
        <f>IFERROR(VLOOKUP(C991,Customers!$A:$E,3,FALSE),"")</f>
        <v>38</v>
      </c>
      <c r="O991" s="33" t="str">
        <f>IFERROR(VLOOKUP(E991,Sales_Reps!$A:$C,3,FALSE),"")</f>
        <v>North</v>
      </c>
      <c r="P991" s="33">
        <f>IFERROR(VLOOKUP(D991,Products!$A:$D,4,FALSE),"")</f>
        <v>516</v>
      </c>
      <c r="Q991" s="33">
        <f t="shared" si="15"/>
        <v>0.4891089108910891</v>
      </c>
    </row>
    <row r="992" spans="1:17" x14ac:dyDescent="0.3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  <c r="L992" t="str">
        <f>IFERROR(VLOOKUP(D992,Products!$A:$C,3,FALSE),"")</f>
        <v>Beauty</v>
      </c>
      <c r="M992" t="str">
        <f>IFERROR(VLOOKUP(C992,Customers!$A:$E,5,FALSE),"")</f>
        <v>Corporate</v>
      </c>
      <c r="N992">
        <f>IFERROR(VLOOKUP(C992,Customers!$A:$E,3,FALSE),"")</f>
        <v>51</v>
      </c>
      <c r="O992" s="33" t="str">
        <f>IFERROR(VLOOKUP(E992,Sales_Reps!$A:$C,3,FALSE),"")</f>
        <v>North</v>
      </c>
      <c r="P992" s="33">
        <f>IFERROR(VLOOKUP(D992,Products!$A:$D,4,FALSE),"")</f>
        <v>1219</v>
      </c>
      <c r="Q992" s="33">
        <f t="shared" si="15"/>
        <v>0.46768558951965067</v>
      </c>
    </row>
    <row r="993" spans="1:17" x14ac:dyDescent="0.3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  <c r="L993" t="str">
        <f>IFERROR(VLOOKUP(D993,Products!$A:$C,3,FALSE),"")</f>
        <v>Home</v>
      </c>
      <c r="M993" t="str">
        <f>IFERROR(VLOOKUP(C993,Customers!$A:$E,5,FALSE),"")</f>
        <v>Corporate</v>
      </c>
      <c r="N993">
        <f>IFERROR(VLOOKUP(C993,Customers!$A:$E,3,FALSE),"")</f>
        <v>52</v>
      </c>
      <c r="O993" s="33" t="str">
        <f>IFERROR(VLOOKUP(E993,Sales_Reps!$A:$C,3,FALSE),"")</f>
        <v>East</v>
      </c>
      <c r="P993" s="33">
        <f>IFERROR(VLOOKUP(D993,Products!$A:$D,4,FALSE),"")</f>
        <v>1850</v>
      </c>
      <c r="Q993" s="33">
        <f t="shared" si="15"/>
        <v>0.59869848156182215</v>
      </c>
    </row>
    <row r="994" spans="1:17" x14ac:dyDescent="0.3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  <c r="L994" t="str">
        <f>IFERROR(VLOOKUP(D994,Products!$A:$C,3,FALSE),"")</f>
        <v>Apparel</v>
      </c>
      <c r="M994" t="str">
        <f>IFERROR(VLOOKUP(C994,Customers!$A:$E,5,FALSE),"")</f>
        <v>Corporate</v>
      </c>
      <c r="N994">
        <f>IFERROR(VLOOKUP(C994,Customers!$A:$E,3,FALSE),"")</f>
        <v>37</v>
      </c>
      <c r="O994" s="33" t="str">
        <f>IFERROR(VLOOKUP(E994,Sales_Reps!$A:$C,3,FALSE),"")</f>
        <v>North</v>
      </c>
      <c r="P994" s="33">
        <f>IFERROR(VLOOKUP(D994,Products!$A:$D,4,FALSE),"")</f>
        <v>1075</v>
      </c>
      <c r="Q994" s="33">
        <f t="shared" si="15"/>
        <v>0.57171314741035861</v>
      </c>
    </row>
    <row r="995" spans="1:17" x14ac:dyDescent="0.3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  <c r="L995" t="str">
        <f>IFERROR(VLOOKUP(D995,Products!$A:$C,3,FALSE),"")</f>
        <v>Beauty</v>
      </c>
      <c r="M995" t="str">
        <f>IFERROR(VLOOKUP(C995,Customers!$A:$E,5,FALSE),"")</f>
        <v>SMB</v>
      </c>
      <c r="N995">
        <f>IFERROR(VLOOKUP(C995,Customers!$A:$E,3,FALSE),"")</f>
        <v>27</v>
      </c>
      <c r="O995" s="33" t="str">
        <f>IFERROR(VLOOKUP(E995,Sales_Reps!$A:$C,3,FALSE),"")</f>
        <v>South</v>
      </c>
      <c r="P995" s="33">
        <f>IFERROR(VLOOKUP(D995,Products!$A:$D,4,FALSE),"")</f>
        <v>1626</v>
      </c>
      <c r="Q995" s="33">
        <f t="shared" si="15"/>
        <v>0.46158940397350995</v>
      </c>
    </row>
    <row r="996" spans="1:17" x14ac:dyDescent="0.3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  <c r="L996" t="str">
        <f>IFERROR(VLOOKUP(D996,Products!$A:$C,3,FALSE),"")</f>
        <v>Sports</v>
      </c>
      <c r="M996" t="str">
        <f>IFERROR(VLOOKUP(C996,Customers!$A:$E,5,FALSE),"")</f>
        <v>Retail</v>
      </c>
      <c r="N996">
        <f>IFERROR(VLOOKUP(C996,Customers!$A:$E,3,FALSE),"")</f>
        <v>62</v>
      </c>
      <c r="O996" s="33" t="str">
        <f>IFERROR(VLOOKUP(E996,Sales_Reps!$A:$C,3,FALSE),"")</f>
        <v>South</v>
      </c>
      <c r="P996" s="33">
        <f>IFERROR(VLOOKUP(D996,Products!$A:$D,4,FALSE),"")</f>
        <v>147</v>
      </c>
      <c r="Q996" s="33">
        <f t="shared" si="15"/>
        <v>0.22631578947368422</v>
      </c>
    </row>
    <row r="997" spans="1:17" x14ac:dyDescent="0.3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  <c r="L997" t="str">
        <f>IFERROR(VLOOKUP(D997,Products!$A:$C,3,FALSE),"")</f>
        <v>Home</v>
      </c>
      <c r="M997" t="str">
        <f>IFERROR(VLOOKUP(C997,Customers!$A:$E,5,FALSE),"")</f>
        <v>Retail</v>
      </c>
      <c r="N997">
        <f>IFERROR(VLOOKUP(C997,Customers!$A:$E,3,FALSE),"")</f>
        <v>36</v>
      </c>
      <c r="O997" s="33" t="str">
        <f>IFERROR(VLOOKUP(E997,Sales_Reps!$A:$C,3,FALSE),"")</f>
        <v>North</v>
      </c>
      <c r="P997" s="33">
        <f>IFERROR(VLOOKUP(D997,Products!$A:$D,4,FALSE),"")</f>
        <v>1143</v>
      </c>
      <c r="Q997" s="33">
        <f t="shared" si="15"/>
        <v>0.43694581280788175</v>
      </c>
    </row>
    <row r="998" spans="1:17" x14ac:dyDescent="0.3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  <c r="L998" t="str">
        <f>IFERROR(VLOOKUP(D998,Products!$A:$C,3,FALSE),"")</f>
        <v>Home</v>
      </c>
      <c r="M998" t="str">
        <f>IFERROR(VLOOKUP(C998,Customers!$A:$E,5,FALSE),"")</f>
        <v>Retail</v>
      </c>
      <c r="N998">
        <f>IFERROR(VLOOKUP(C998,Customers!$A:$E,3,FALSE),"")</f>
        <v>52</v>
      </c>
      <c r="O998" s="33" t="str">
        <f>IFERROR(VLOOKUP(E998,Sales_Reps!$A:$C,3,FALSE),"")</f>
        <v>South</v>
      </c>
      <c r="P998" s="33">
        <f>IFERROR(VLOOKUP(D998,Products!$A:$D,4,FALSE),"")</f>
        <v>1556</v>
      </c>
      <c r="Q998" s="33">
        <f t="shared" si="15"/>
        <v>0.52123076923076928</v>
      </c>
    </row>
    <row r="999" spans="1:17" x14ac:dyDescent="0.3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  <c r="L999" t="str">
        <f>IFERROR(VLOOKUP(D999,Products!$A:$C,3,FALSE),"")</f>
        <v>Home</v>
      </c>
      <c r="M999" t="str">
        <f>IFERROR(VLOOKUP(C999,Customers!$A:$E,5,FALSE),"")</f>
        <v>Retail</v>
      </c>
      <c r="N999">
        <f>IFERROR(VLOOKUP(C999,Customers!$A:$E,3,FALSE),"")</f>
        <v>65</v>
      </c>
      <c r="O999" s="33" t="str">
        <f>IFERROR(VLOOKUP(E999,Sales_Reps!$A:$C,3,FALSE),"")</f>
        <v>West</v>
      </c>
      <c r="P999" s="33">
        <f>IFERROR(VLOOKUP(D999,Products!$A:$D,4,FALSE),"")</f>
        <v>1143</v>
      </c>
      <c r="Q999" s="33">
        <f t="shared" si="15"/>
        <v>0.43694581280788175</v>
      </c>
    </row>
    <row r="1000" spans="1:17" x14ac:dyDescent="0.3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  <c r="L1000" t="str">
        <f>IFERROR(VLOOKUP(D1000,Products!$A:$C,3,FALSE),"")</f>
        <v>Grocery</v>
      </c>
      <c r="M1000" t="str">
        <f>IFERROR(VLOOKUP(C1000,Customers!$A:$E,5,FALSE),"")</f>
        <v>SMB</v>
      </c>
      <c r="N1000">
        <f>IFERROR(VLOOKUP(C1000,Customers!$A:$E,3,FALSE),"")</f>
        <v>47</v>
      </c>
      <c r="O1000" s="33" t="str">
        <f>IFERROR(VLOOKUP(E1000,Sales_Reps!$A:$C,3,FALSE),"")</f>
        <v>West</v>
      </c>
      <c r="P1000" s="33">
        <f>IFERROR(VLOOKUP(D1000,Products!$A:$D,4,FALSE),"")</f>
        <v>1182</v>
      </c>
      <c r="Q1000" s="33">
        <f t="shared" si="15"/>
        <v>0.50336134453781511</v>
      </c>
    </row>
    <row r="1001" spans="1:17" x14ac:dyDescent="0.3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  <c r="L1001" t="str">
        <f>IFERROR(VLOOKUP(D1001,Products!$A:$C,3,FALSE),"")</f>
        <v>Apparel</v>
      </c>
      <c r="M1001" t="str">
        <f>IFERROR(VLOOKUP(C1001,Customers!$A:$E,5,FALSE),"")</f>
        <v>Retail</v>
      </c>
      <c r="N1001">
        <f>IFERROR(VLOOKUP(C1001,Customers!$A:$E,3,FALSE),"")</f>
        <v>38</v>
      </c>
      <c r="O1001" s="33" t="str">
        <f>IFERROR(VLOOKUP(E1001,Sales_Reps!$A:$C,3,FALSE),"")</f>
        <v>West</v>
      </c>
      <c r="P1001" s="33">
        <f>IFERROR(VLOOKUP(D1001,Products!$A:$D,4,FALSE),"")</f>
        <v>1748</v>
      </c>
      <c r="Q1001" s="33">
        <f t="shared" si="15"/>
        <v>0.49333333333333335</v>
      </c>
    </row>
    <row r="1002" spans="1:17" x14ac:dyDescent="0.3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  <c r="L1002" t="str">
        <f>IFERROR(VLOOKUP(D1002,Products!$A:$C,3,FALSE),"")</f>
        <v>Apparel</v>
      </c>
      <c r="M1002" t="str">
        <f>IFERROR(VLOOKUP(C1002,Customers!$A:$E,5,FALSE),"")</f>
        <v>Corporate</v>
      </c>
      <c r="N1002">
        <f>IFERROR(VLOOKUP(C1002,Customers!$A:$E,3,FALSE),"")</f>
        <v>29</v>
      </c>
      <c r="O1002" s="33" t="str">
        <f>IFERROR(VLOOKUP(E1002,Sales_Reps!$A:$C,3,FALSE),"")</f>
        <v>North</v>
      </c>
      <c r="P1002" s="33">
        <f>IFERROR(VLOOKUP(D1002,Products!$A:$D,4,FALSE),"")</f>
        <v>1886</v>
      </c>
      <c r="Q1002" s="33">
        <f t="shared" si="15"/>
        <v>0.4031645569620253</v>
      </c>
    </row>
    <row r="1003" spans="1:17" x14ac:dyDescent="0.3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  <c r="L1003" t="str">
        <f>IFERROR(VLOOKUP(D1003,Products!$A:$C,3,FALSE),"")</f>
        <v>Home</v>
      </c>
      <c r="M1003" t="str">
        <f>IFERROR(VLOOKUP(C1003,Customers!$A:$E,5,FALSE),"")</f>
        <v>Retail</v>
      </c>
      <c r="N1003">
        <f>IFERROR(VLOOKUP(C1003,Customers!$A:$E,3,FALSE),"")</f>
        <v>60</v>
      </c>
      <c r="O1003" s="33" t="str">
        <f>IFERROR(VLOOKUP(E1003,Sales_Reps!$A:$C,3,FALSE),"")</f>
        <v>West</v>
      </c>
      <c r="P1003" s="33">
        <f>IFERROR(VLOOKUP(D1003,Products!$A:$D,4,FALSE),"")</f>
        <v>2549</v>
      </c>
      <c r="Q1003" s="33">
        <f t="shared" si="15"/>
        <v>0.53570127504553733</v>
      </c>
    </row>
    <row r="1004" spans="1:17" x14ac:dyDescent="0.3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  <c r="L1004" t="str">
        <f>IFERROR(VLOOKUP(D1004,Products!$A:$C,3,FALSE),"")</f>
        <v>Sports</v>
      </c>
      <c r="M1004" t="str">
        <f>IFERROR(VLOOKUP(C1004,Customers!$A:$E,5,FALSE),"")</f>
        <v>SMB</v>
      </c>
      <c r="N1004">
        <f>IFERROR(VLOOKUP(C1004,Customers!$A:$E,3,FALSE),"")</f>
        <v>46</v>
      </c>
      <c r="O1004" s="33" t="str">
        <f>IFERROR(VLOOKUP(E1004,Sales_Reps!$A:$C,3,FALSE),"")</f>
        <v>North</v>
      </c>
      <c r="P1004" s="33">
        <f>IFERROR(VLOOKUP(D1004,Products!$A:$D,4,FALSE),"")</f>
        <v>2028</v>
      </c>
      <c r="Q1004" s="33">
        <f t="shared" si="15"/>
        <v>0.29090909090909089</v>
      </c>
    </row>
    <row r="1005" spans="1:17" x14ac:dyDescent="0.3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  <c r="L1005" t="str">
        <f>IFERROR(VLOOKUP(D1005,Products!$A:$C,3,FALSE),"")</f>
        <v>Beauty</v>
      </c>
      <c r="M1005" t="str">
        <f>IFERROR(VLOOKUP(C1005,Customers!$A:$E,5,FALSE),"")</f>
        <v>Retail</v>
      </c>
      <c r="N1005">
        <f>IFERROR(VLOOKUP(C1005,Customers!$A:$E,3,FALSE),"")</f>
        <v>34</v>
      </c>
      <c r="O1005" s="33" t="str">
        <f>IFERROR(VLOOKUP(E1005,Sales_Reps!$A:$C,3,FALSE),"")</f>
        <v>South</v>
      </c>
      <c r="P1005" s="33">
        <f>IFERROR(VLOOKUP(D1005,Products!$A:$D,4,FALSE),"")</f>
        <v>675</v>
      </c>
      <c r="Q1005" s="33">
        <f t="shared" si="15"/>
        <v>0.296875</v>
      </c>
    </row>
    <row r="1006" spans="1:17" x14ac:dyDescent="0.3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  <c r="L1006" t="str">
        <f>IFERROR(VLOOKUP(D1006,Products!$A:$C,3,FALSE),"")</f>
        <v>Home</v>
      </c>
      <c r="M1006" t="str">
        <f>IFERROR(VLOOKUP(C1006,Customers!$A:$E,5,FALSE),"")</f>
        <v>Retail</v>
      </c>
      <c r="N1006">
        <f>IFERROR(VLOOKUP(C1006,Customers!$A:$E,3,FALSE),"")</f>
        <v>32</v>
      </c>
      <c r="O1006" s="33" t="str">
        <f>IFERROR(VLOOKUP(E1006,Sales_Reps!$A:$C,3,FALSE),"")</f>
        <v>North</v>
      </c>
      <c r="P1006" s="33">
        <f>IFERROR(VLOOKUP(D1006,Products!$A:$D,4,FALSE),"")</f>
        <v>519</v>
      </c>
      <c r="Q1006" s="33">
        <f t="shared" si="15"/>
        <v>0.51944444444444449</v>
      </c>
    </row>
    <row r="1007" spans="1:17" x14ac:dyDescent="0.3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  <c r="L1007" t="str">
        <f>IFERROR(VLOOKUP(D1007,Products!$A:$C,3,FALSE),"")</f>
        <v>Sports</v>
      </c>
      <c r="M1007" t="str">
        <f>IFERROR(VLOOKUP(C1007,Customers!$A:$E,5,FALSE),"")</f>
        <v>SMB</v>
      </c>
      <c r="N1007">
        <f>IFERROR(VLOOKUP(C1007,Customers!$A:$E,3,FALSE),"")</f>
        <v>54</v>
      </c>
      <c r="O1007" s="33" t="str">
        <f>IFERROR(VLOOKUP(E1007,Sales_Reps!$A:$C,3,FALSE),"")</f>
        <v>North</v>
      </c>
      <c r="P1007" s="33">
        <f>IFERROR(VLOOKUP(D1007,Products!$A:$D,4,FALSE),"")</f>
        <v>2028</v>
      </c>
      <c r="Q1007" s="33">
        <f t="shared" si="15"/>
        <v>0.29090909090909089</v>
      </c>
    </row>
    <row r="1008" spans="1:17" x14ac:dyDescent="0.3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  <c r="L1008" t="str">
        <f>IFERROR(VLOOKUP(D1008,Products!$A:$C,3,FALSE),"")</f>
        <v>Apparel</v>
      </c>
      <c r="M1008" t="str">
        <f>IFERROR(VLOOKUP(C1008,Customers!$A:$E,5,FALSE),"")</f>
        <v>Retail</v>
      </c>
      <c r="N1008">
        <f>IFERROR(VLOOKUP(C1008,Customers!$A:$E,3,FALSE),"")</f>
        <v>34</v>
      </c>
      <c r="O1008" s="33" t="str">
        <f>IFERROR(VLOOKUP(E1008,Sales_Reps!$A:$C,3,FALSE),"")</f>
        <v>North</v>
      </c>
      <c r="P1008" s="33">
        <f>IFERROR(VLOOKUP(D1008,Products!$A:$D,4,FALSE),"")</f>
        <v>2611</v>
      </c>
      <c r="Q1008" s="33">
        <f t="shared" si="15"/>
        <v>0.28269230769230769</v>
      </c>
    </row>
    <row r="1009" spans="1:17" x14ac:dyDescent="0.3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  <c r="L1009" t="str">
        <f>IFERROR(VLOOKUP(D1009,Products!$A:$C,3,FALSE),"")</f>
        <v>Apparel</v>
      </c>
      <c r="M1009" t="str">
        <f>IFERROR(VLOOKUP(C1009,Customers!$A:$E,5,FALSE),"")</f>
        <v>SMB</v>
      </c>
      <c r="N1009">
        <f>IFERROR(VLOOKUP(C1009,Customers!$A:$E,3,FALSE),"")</f>
        <v>40</v>
      </c>
      <c r="O1009" s="33" t="str">
        <f>IFERROR(VLOOKUP(E1009,Sales_Reps!$A:$C,3,FALSE),"")</f>
        <v>East</v>
      </c>
      <c r="P1009" s="33">
        <f>IFERROR(VLOOKUP(D1009,Products!$A:$D,4,FALSE),"")</f>
        <v>1962</v>
      </c>
      <c r="Q1009" s="33">
        <f t="shared" si="15"/>
        <v>0.2786764705882353</v>
      </c>
    </row>
    <row r="1010" spans="1:17" x14ac:dyDescent="0.3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  <c r="L1010" t="str">
        <f>IFERROR(VLOOKUP(D1010,Products!$A:$C,3,FALSE),"")</f>
        <v>Grocery</v>
      </c>
      <c r="M1010" t="str">
        <f>IFERROR(VLOOKUP(C1010,Customers!$A:$E,5,FALSE),"")</f>
        <v>SMB</v>
      </c>
      <c r="N1010">
        <f>IFERROR(VLOOKUP(C1010,Customers!$A:$E,3,FALSE),"")</f>
        <v>48</v>
      </c>
      <c r="O1010" s="33" t="str">
        <f>IFERROR(VLOOKUP(E1010,Sales_Reps!$A:$C,3,FALSE),"")</f>
        <v>North</v>
      </c>
      <c r="P1010" s="33">
        <f>IFERROR(VLOOKUP(D1010,Products!$A:$D,4,FALSE),"")</f>
        <v>1203</v>
      </c>
      <c r="Q1010" s="33">
        <f t="shared" si="15"/>
        <v>0.47004405286343615</v>
      </c>
    </row>
    <row r="1011" spans="1:17" x14ac:dyDescent="0.3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  <c r="L1011" t="str">
        <f>IFERROR(VLOOKUP(D1011,Products!$A:$C,3,FALSE),"")</f>
        <v>Electronics</v>
      </c>
      <c r="M1011" t="str">
        <f>IFERROR(VLOOKUP(C1011,Customers!$A:$E,5,FALSE),"")</f>
        <v>SMB</v>
      </c>
      <c r="N1011">
        <f>IFERROR(VLOOKUP(C1011,Customers!$A:$E,3,FALSE),"")</f>
        <v>25</v>
      </c>
      <c r="O1011" s="33" t="str">
        <f>IFERROR(VLOOKUP(E1011,Sales_Reps!$A:$C,3,FALSE),"")</f>
        <v>West</v>
      </c>
      <c r="P1011" s="33">
        <f>IFERROR(VLOOKUP(D1011,Products!$A:$D,4,FALSE),"")</f>
        <v>517</v>
      </c>
      <c r="Q1011" s="33">
        <f t="shared" si="15"/>
        <v>0.57622950819672136</v>
      </c>
    </row>
    <row r="1012" spans="1:17" x14ac:dyDescent="0.3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  <c r="L1012" t="str">
        <f>IFERROR(VLOOKUP(D1012,Products!$A:$C,3,FALSE),"")</f>
        <v>Electronics</v>
      </c>
      <c r="M1012" t="str">
        <f>IFERROR(VLOOKUP(C1012,Customers!$A:$E,5,FALSE),"")</f>
        <v>Retail</v>
      </c>
      <c r="N1012">
        <f>IFERROR(VLOOKUP(C1012,Customers!$A:$E,3,FALSE),"")</f>
        <v>29</v>
      </c>
      <c r="O1012" s="33" t="str">
        <f>IFERROR(VLOOKUP(E1012,Sales_Reps!$A:$C,3,FALSE),"")</f>
        <v>South</v>
      </c>
      <c r="P1012" s="33">
        <f>IFERROR(VLOOKUP(D1012,Products!$A:$D,4,FALSE),"")</f>
        <v>1149</v>
      </c>
      <c r="Q1012" s="33">
        <f t="shared" si="15"/>
        <v>0.56477272727272732</v>
      </c>
    </row>
    <row r="1013" spans="1:17" x14ac:dyDescent="0.3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  <c r="L1013" t="str">
        <f>IFERROR(VLOOKUP(D1013,Products!$A:$C,3,FALSE),"")</f>
        <v>Grocery</v>
      </c>
      <c r="M1013" t="str">
        <f>IFERROR(VLOOKUP(C1013,Customers!$A:$E,5,FALSE),"")</f>
        <v>SMB</v>
      </c>
      <c r="N1013">
        <f>IFERROR(VLOOKUP(C1013,Customers!$A:$E,3,FALSE),"")</f>
        <v>44</v>
      </c>
      <c r="O1013" s="33" t="str">
        <f>IFERROR(VLOOKUP(E1013,Sales_Reps!$A:$C,3,FALSE),"")</f>
        <v>South</v>
      </c>
      <c r="P1013" s="33">
        <f>IFERROR(VLOOKUP(D1013,Products!$A:$D,4,FALSE),"")</f>
        <v>434</v>
      </c>
      <c r="Q1013" s="33">
        <f t="shared" si="15"/>
        <v>0.5525773195876289</v>
      </c>
    </row>
    <row r="1014" spans="1:17" x14ac:dyDescent="0.3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  <c r="L1014" t="str">
        <f>IFERROR(VLOOKUP(D1014,Products!$A:$C,3,FALSE),"")</f>
        <v>Home</v>
      </c>
      <c r="M1014" t="str">
        <f>IFERROR(VLOOKUP(C1014,Customers!$A:$E,5,FALSE),"")</f>
        <v>Retail</v>
      </c>
      <c r="N1014">
        <f>IFERROR(VLOOKUP(C1014,Customers!$A:$E,3,FALSE),"")</f>
        <v>44</v>
      </c>
      <c r="O1014" s="33" t="str">
        <f>IFERROR(VLOOKUP(E1014,Sales_Reps!$A:$C,3,FALSE),"")</f>
        <v>West</v>
      </c>
      <c r="P1014" s="33">
        <f>IFERROR(VLOOKUP(D1014,Products!$A:$D,4,FALSE),"")</f>
        <v>2135</v>
      </c>
      <c r="Q1014" s="33">
        <f t="shared" si="15"/>
        <v>0.42761394101876676</v>
      </c>
    </row>
    <row r="1015" spans="1:17" x14ac:dyDescent="0.3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  <c r="L1015" t="str">
        <f>IFERROR(VLOOKUP(D1015,Products!$A:$C,3,FALSE),"")</f>
        <v>Grocery</v>
      </c>
      <c r="M1015" t="str">
        <f>IFERROR(VLOOKUP(C1015,Customers!$A:$E,5,FALSE),"")</f>
        <v>Retail</v>
      </c>
      <c r="N1015">
        <f>IFERROR(VLOOKUP(C1015,Customers!$A:$E,3,FALSE),"")</f>
        <v>31</v>
      </c>
      <c r="O1015" s="33" t="str">
        <f>IFERROR(VLOOKUP(E1015,Sales_Reps!$A:$C,3,FALSE),"")</f>
        <v>West</v>
      </c>
      <c r="P1015" s="33">
        <f>IFERROR(VLOOKUP(D1015,Products!$A:$D,4,FALSE),"")</f>
        <v>434</v>
      </c>
      <c r="Q1015" s="33">
        <f t="shared" si="15"/>
        <v>0.5525773195876289</v>
      </c>
    </row>
    <row r="1016" spans="1:17" x14ac:dyDescent="0.3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  <c r="L1016" t="str">
        <f>IFERROR(VLOOKUP(D1016,Products!$A:$C,3,FALSE),"")</f>
        <v>Electronics</v>
      </c>
      <c r="M1016" t="str">
        <f>IFERROR(VLOOKUP(C1016,Customers!$A:$E,5,FALSE),"")</f>
        <v>SMB</v>
      </c>
      <c r="N1016">
        <f>IFERROR(VLOOKUP(C1016,Customers!$A:$E,3,FALSE),"")</f>
        <v>28</v>
      </c>
      <c r="O1016" s="33" t="str">
        <f>IFERROR(VLOOKUP(E1016,Sales_Reps!$A:$C,3,FALSE),"")</f>
        <v>East</v>
      </c>
      <c r="P1016" s="33">
        <f>IFERROR(VLOOKUP(D1016,Products!$A:$D,4,FALSE),"")</f>
        <v>1665</v>
      </c>
      <c r="Q1016" s="33">
        <f t="shared" si="15"/>
        <v>0.53361344537815125</v>
      </c>
    </row>
    <row r="1017" spans="1:17" x14ac:dyDescent="0.3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  <c r="L1017" t="str">
        <f>IFERROR(VLOOKUP(D1017,Products!$A:$C,3,FALSE),"")</f>
        <v>Grocery</v>
      </c>
      <c r="M1017" t="str">
        <f>IFERROR(VLOOKUP(C1017,Customers!$A:$E,5,FALSE),"")</f>
        <v>Retail</v>
      </c>
      <c r="N1017">
        <f>IFERROR(VLOOKUP(C1017,Customers!$A:$E,3,FALSE),"")</f>
        <v>26</v>
      </c>
      <c r="O1017" s="33" t="str">
        <f>IFERROR(VLOOKUP(E1017,Sales_Reps!$A:$C,3,FALSE),"")</f>
        <v>South</v>
      </c>
      <c r="P1017" s="33">
        <f>IFERROR(VLOOKUP(D1017,Products!$A:$D,4,FALSE),"")</f>
        <v>434</v>
      </c>
      <c r="Q1017" s="33">
        <f t="shared" si="15"/>
        <v>0.5525773195876289</v>
      </c>
    </row>
    <row r="1018" spans="1:17" x14ac:dyDescent="0.3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  <c r="L1018" t="str">
        <f>IFERROR(VLOOKUP(D1018,Products!$A:$C,3,FALSE),"")</f>
        <v>Sports</v>
      </c>
      <c r="M1018" t="str">
        <f>IFERROR(VLOOKUP(C1018,Customers!$A:$E,5,FALSE),"")</f>
        <v>SMB</v>
      </c>
      <c r="N1018">
        <f>IFERROR(VLOOKUP(C1018,Customers!$A:$E,3,FALSE),"")</f>
        <v>50</v>
      </c>
      <c r="O1018" s="33" t="str">
        <f>IFERROR(VLOOKUP(E1018,Sales_Reps!$A:$C,3,FALSE),"")</f>
        <v>South</v>
      </c>
      <c r="P1018" s="33">
        <f>IFERROR(VLOOKUP(D1018,Products!$A:$D,4,FALSE),"")</f>
        <v>1860</v>
      </c>
      <c r="Q1018" s="33">
        <f t="shared" si="15"/>
        <v>0.50793650793650791</v>
      </c>
    </row>
    <row r="1019" spans="1:17" x14ac:dyDescent="0.3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  <c r="L1019" t="str">
        <f>IFERROR(VLOOKUP(D1019,Products!$A:$C,3,FALSE),"")</f>
        <v>Sports</v>
      </c>
      <c r="M1019" t="str">
        <f>IFERROR(VLOOKUP(C1019,Customers!$A:$E,5,FALSE),"")</f>
        <v>Retail</v>
      </c>
      <c r="N1019">
        <f>IFERROR(VLOOKUP(C1019,Customers!$A:$E,3,FALSE),"")</f>
        <v>28</v>
      </c>
      <c r="O1019" s="33" t="str">
        <f>IFERROR(VLOOKUP(E1019,Sales_Reps!$A:$C,3,FALSE),"")</f>
        <v>South</v>
      </c>
      <c r="P1019" s="33">
        <f>IFERROR(VLOOKUP(D1019,Products!$A:$D,4,FALSE),"")</f>
        <v>974</v>
      </c>
      <c r="Q1019" s="33">
        <f t="shared" si="15"/>
        <v>0.59416666666666662</v>
      </c>
    </row>
    <row r="1020" spans="1:17" x14ac:dyDescent="0.3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  <c r="L1020" t="str">
        <f>IFERROR(VLOOKUP(D1020,Products!$A:$C,3,FALSE),"")</f>
        <v>Home</v>
      </c>
      <c r="M1020" t="str">
        <f>IFERROR(VLOOKUP(C1020,Customers!$A:$E,5,FALSE),"")</f>
        <v>SMB</v>
      </c>
      <c r="N1020">
        <f>IFERROR(VLOOKUP(C1020,Customers!$A:$E,3,FALSE),"")</f>
        <v>38</v>
      </c>
      <c r="O1020" s="33" t="str">
        <f>IFERROR(VLOOKUP(E1020,Sales_Reps!$A:$C,3,FALSE),"")</f>
        <v>East</v>
      </c>
      <c r="P1020" s="33">
        <f>IFERROR(VLOOKUP(D1020,Products!$A:$D,4,FALSE),"")</f>
        <v>1556</v>
      </c>
      <c r="Q1020" s="33">
        <f t="shared" si="15"/>
        <v>0.52123076923076928</v>
      </c>
    </row>
    <row r="1021" spans="1:17" x14ac:dyDescent="0.3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  <c r="L1021" t="str">
        <f>IFERROR(VLOOKUP(D1021,Products!$A:$C,3,FALSE),"")</f>
        <v>Grocery</v>
      </c>
      <c r="M1021" t="str">
        <f>IFERROR(VLOOKUP(C1021,Customers!$A:$E,5,FALSE),"")</f>
        <v>Retail</v>
      </c>
      <c r="N1021">
        <f>IFERROR(VLOOKUP(C1021,Customers!$A:$E,3,FALSE),"")</f>
        <v>44</v>
      </c>
      <c r="O1021" s="33" t="str">
        <f>IFERROR(VLOOKUP(E1021,Sales_Reps!$A:$C,3,FALSE),"")</f>
        <v>South</v>
      </c>
      <c r="P1021" s="33">
        <f>IFERROR(VLOOKUP(D1021,Products!$A:$D,4,FALSE),"")</f>
        <v>1435</v>
      </c>
      <c r="Q1021" s="33">
        <f t="shared" si="15"/>
        <v>0.48007246376811596</v>
      </c>
    </row>
    <row r="1022" spans="1:17" x14ac:dyDescent="0.3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  <c r="L1022" t="str">
        <f>IFERROR(VLOOKUP(D1022,Products!$A:$C,3,FALSE),"")</f>
        <v>Electronics</v>
      </c>
      <c r="M1022" t="str">
        <f>IFERROR(VLOOKUP(C1022,Customers!$A:$E,5,FALSE),"")</f>
        <v>SMB</v>
      </c>
      <c r="N1022">
        <f>IFERROR(VLOOKUP(C1022,Customers!$A:$E,3,FALSE),"")</f>
        <v>64</v>
      </c>
      <c r="O1022" s="33" t="str">
        <f>IFERROR(VLOOKUP(E1022,Sales_Reps!$A:$C,3,FALSE),"")</f>
        <v>North</v>
      </c>
      <c r="P1022" s="33">
        <f>IFERROR(VLOOKUP(D1022,Products!$A:$D,4,FALSE),"")</f>
        <v>1665</v>
      </c>
      <c r="Q1022" s="33">
        <f t="shared" si="15"/>
        <v>0.53361344537815125</v>
      </c>
    </row>
    <row r="1023" spans="1:17" x14ac:dyDescent="0.3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  <c r="L1023" t="str">
        <f>IFERROR(VLOOKUP(D1023,Products!$A:$C,3,FALSE),"")</f>
        <v>Grocery</v>
      </c>
      <c r="M1023" t="str">
        <f>IFERROR(VLOOKUP(C1023,Customers!$A:$E,5,FALSE),"")</f>
        <v>Retail</v>
      </c>
      <c r="N1023">
        <f>IFERROR(VLOOKUP(C1023,Customers!$A:$E,3,FALSE),"")</f>
        <v>26</v>
      </c>
      <c r="O1023" s="33" t="str">
        <f>IFERROR(VLOOKUP(E1023,Sales_Reps!$A:$C,3,FALSE),"")</f>
        <v>South</v>
      </c>
      <c r="P1023" s="33">
        <f>IFERROR(VLOOKUP(D1023,Products!$A:$D,4,FALSE),"")</f>
        <v>2436</v>
      </c>
      <c r="Q1023" s="33">
        <f t="shared" si="15"/>
        <v>0.35555555555555557</v>
      </c>
    </row>
    <row r="1024" spans="1:17" x14ac:dyDescent="0.3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  <c r="L1024" t="str">
        <f>IFERROR(VLOOKUP(D1024,Products!$A:$C,3,FALSE),"")</f>
        <v>Electronics</v>
      </c>
      <c r="M1024" t="str">
        <f>IFERROR(VLOOKUP(C1024,Customers!$A:$E,5,FALSE),"")</f>
        <v>Retail</v>
      </c>
      <c r="N1024">
        <f>IFERROR(VLOOKUP(C1024,Customers!$A:$E,3,FALSE),"")</f>
        <v>61</v>
      </c>
      <c r="O1024" s="33" t="str">
        <f>IFERROR(VLOOKUP(E1024,Sales_Reps!$A:$C,3,FALSE),"")</f>
        <v>East</v>
      </c>
      <c r="P1024" s="33">
        <f>IFERROR(VLOOKUP(D1024,Products!$A:$D,4,FALSE),"")</f>
        <v>861</v>
      </c>
      <c r="Q1024" s="33">
        <f t="shared" si="15"/>
        <v>0.39790209790209791</v>
      </c>
    </row>
    <row r="1025" spans="1:17" x14ac:dyDescent="0.3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  <c r="L1025" t="str">
        <f>IFERROR(VLOOKUP(D1025,Products!$A:$C,3,FALSE),"")</f>
        <v>Grocery</v>
      </c>
      <c r="M1025" t="str">
        <f>IFERROR(VLOOKUP(C1025,Customers!$A:$E,5,FALSE),"")</f>
        <v>SMB</v>
      </c>
      <c r="N1025">
        <f>IFERROR(VLOOKUP(C1025,Customers!$A:$E,3,FALSE),"")</f>
        <v>29</v>
      </c>
      <c r="O1025" s="33" t="str">
        <f>IFERROR(VLOOKUP(E1025,Sales_Reps!$A:$C,3,FALSE),"")</f>
        <v>South</v>
      </c>
      <c r="P1025" s="33">
        <f>IFERROR(VLOOKUP(D1025,Products!$A:$D,4,FALSE),"")</f>
        <v>1412</v>
      </c>
      <c r="Q1025" s="33">
        <f t="shared" si="15"/>
        <v>0.37797356828193834</v>
      </c>
    </row>
    <row r="1026" spans="1:17" x14ac:dyDescent="0.3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  <c r="L1026" t="str">
        <f>IFERROR(VLOOKUP(D1026,Products!$A:$C,3,FALSE),"")</f>
        <v>Sports</v>
      </c>
      <c r="M1026" t="str">
        <f>IFERROR(VLOOKUP(C1026,Customers!$A:$E,5,FALSE),"")</f>
        <v>Corporate</v>
      </c>
      <c r="N1026">
        <f>IFERROR(VLOOKUP(C1026,Customers!$A:$E,3,FALSE),"")</f>
        <v>52</v>
      </c>
      <c r="O1026" s="33" t="str">
        <f>IFERROR(VLOOKUP(E1026,Sales_Reps!$A:$C,3,FALSE),"")</f>
        <v>South</v>
      </c>
      <c r="P1026" s="33">
        <f>IFERROR(VLOOKUP(D1026,Products!$A:$D,4,FALSE),"")</f>
        <v>516</v>
      </c>
      <c r="Q1026" s="33">
        <f t="shared" si="15"/>
        <v>0.4891089108910891</v>
      </c>
    </row>
    <row r="1027" spans="1:17" x14ac:dyDescent="0.3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  <c r="L1027" t="str">
        <f>IFERROR(VLOOKUP(D1027,Products!$A:$C,3,FALSE),"")</f>
        <v>Sports</v>
      </c>
      <c r="M1027" t="str">
        <f>IFERROR(VLOOKUP(C1027,Customers!$A:$E,5,FALSE),"")</f>
        <v>SMB</v>
      </c>
      <c r="N1027">
        <f>IFERROR(VLOOKUP(C1027,Customers!$A:$E,3,FALSE),"")</f>
        <v>40</v>
      </c>
      <c r="O1027" s="33" t="str">
        <f>IFERROR(VLOOKUP(E1027,Sales_Reps!$A:$C,3,FALSE),"")</f>
        <v>South</v>
      </c>
      <c r="P1027" s="33">
        <f>IFERROR(VLOOKUP(D1027,Products!$A:$D,4,FALSE),"")</f>
        <v>2028</v>
      </c>
      <c r="Q1027" s="33">
        <f t="shared" ref="Q1027:Q1090" si="16">IFERROR((G1027-P1027)/G1027,"")</f>
        <v>0.29090909090909089</v>
      </c>
    </row>
    <row r="1028" spans="1:17" x14ac:dyDescent="0.3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  <c r="L1028" t="str">
        <f>IFERROR(VLOOKUP(D1028,Products!$A:$C,3,FALSE),"")</f>
        <v>Electronics</v>
      </c>
      <c r="M1028" t="str">
        <f>IFERROR(VLOOKUP(C1028,Customers!$A:$E,5,FALSE),"")</f>
        <v>Corporate</v>
      </c>
      <c r="N1028">
        <f>IFERROR(VLOOKUP(C1028,Customers!$A:$E,3,FALSE),"")</f>
        <v>44</v>
      </c>
      <c r="O1028" s="33" t="str">
        <f>IFERROR(VLOOKUP(E1028,Sales_Reps!$A:$C,3,FALSE),"")</f>
        <v>East</v>
      </c>
      <c r="P1028" s="33">
        <f>IFERROR(VLOOKUP(D1028,Products!$A:$D,4,FALSE),"")</f>
        <v>1052</v>
      </c>
      <c r="Q1028" s="33">
        <f t="shared" si="16"/>
        <v>0.5953846153846154</v>
      </c>
    </row>
    <row r="1029" spans="1:17" x14ac:dyDescent="0.3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  <c r="L1029" t="str">
        <f>IFERROR(VLOOKUP(D1029,Products!$A:$C,3,FALSE),"")</f>
        <v>Sports</v>
      </c>
      <c r="M1029" t="str">
        <f>IFERROR(VLOOKUP(C1029,Customers!$A:$E,5,FALSE),"")</f>
        <v>Retail</v>
      </c>
      <c r="N1029">
        <f>IFERROR(VLOOKUP(C1029,Customers!$A:$E,3,FALSE),"")</f>
        <v>57</v>
      </c>
      <c r="O1029" s="33" t="str">
        <f>IFERROR(VLOOKUP(E1029,Sales_Reps!$A:$C,3,FALSE),"")</f>
        <v>West</v>
      </c>
      <c r="P1029" s="33">
        <f>IFERROR(VLOOKUP(D1029,Products!$A:$D,4,FALSE),"")</f>
        <v>302</v>
      </c>
      <c r="Q1029" s="33">
        <f t="shared" si="16"/>
        <v>0.35744680851063831</v>
      </c>
    </row>
    <row r="1030" spans="1:17" x14ac:dyDescent="0.3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  <c r="L1030" t="str">
        <f>IFERROR(VLOOKUP(D1030,Products!$A:$C,3,FALSE),"")</f>
        <v>Home</v>
      </c>
      <c r="M1030" t="str">
        <f>IFERROR(VLOOKUP(C1030,Customers!$A:$E,5,FALSE),"")</f>
        <v>Retail</v>
      </c>
      <c r="N1030">
        <f>IFERROR(VLOOKUP(C1030,Customers!$A:$E,3,FALSE),"")</f>
        <v>32</v>
      </c>
      <c r="O1030" s="33" t="str">
        <f>IFERROR(VLOOKUP(E1030,Sales_Reps!$A:$C,3,FALSE),"")</f>
        <v>South</v>
      </c>
      <c r="P1030" s="33">
        <f>IFERROR(VLOOKUP(D1030,Products!$A:$D,4,FALSE),"")</f>
        <v>329</v>
      </c>
      <c r="Q1030" s="33">
        <f t="shared" si="16"/>
        <v>0.50151515151515147</v>
      </c>
    </row>
    <row r="1031" spans="1:17" x14ac:dyDescent="0.3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  <c r="L1031" t="str">
        <f>IFERROR(VLOOKUP(D1031,Products!$A:$C,3,FALSE),"")</f>
        <v>Electronics</v>
      </c>
      <c r="M1031" t="str">
        <f>IFERROR(VLOOKUP(C1031,Customers!$A:$E,5,FALSE),"")</f>
        <v>SMB</v>
      </c>
      <c r="N1031">
        <f>IFERROR(VLOOKUP(C1031,Customers!$A:$E,3,FALSE),"")</f>
        <v>49</v>
      </c>
      <c r="O1031" s="33" t="str">
        <f>IFERROR(VLOOKUP(E1031,Sales_Reps!$A:$C,3,FALSE),"")</f>
        <v>East</v>
      </c>
      <c r="P1031" s="33">
        <f>IFERROR(VLOOKUP(D1031,Products!$A:$D,4,FALSE),"")</f>
        <v>517</v>
      </c>
      <c r="Q1031" s="33">
        <f t="shared" si="16"/>
        <v>0.57622950819672136</v>
      </c>
    </row>
    <row r="1032" spans="1:17" x14ac:dyDescent="0.3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  <c r="L1032" t="str">
        <f>IFERROR(VLOOKUP(D1032,Products!$A:$C,3,FALSE),"")</f>
        <v>Home</v>
      </c>
      <c r="M1032" t="str">
        <f>IFERROR(VLOOKUP(C1032,Customers!$A:$E,5,FALSE),"")</f>
        <v>SMB</v>
      </c>
      <c r="N1032">
        <f>IFERROR(VLOOKUP(C1032,Customers!$A:$E,3,FALSE),"")</f>
        <v>48</v>
      </c>
      <c r="O1032" s="33" t="str">
        <f>IFERROR(VLOOKUP(E1032,Sales_Reps!$A:$C,3,FALSE),"")</f>
        <v>South</v>
      </c>
      <c r="P1032" s="33">
        <f>IFERROR(VLOOKUP(D1032,Products!$A:$D,4,FALSE),"")</f>
        <v>1556</v>
      </c>
      <c r="Q1032" s="33">
        <f t="shared" si="16"/>
        <v>0.52123076923076928</v>
      </c>
    </row>
    <row r="1033" spans="1:17" x14ac:dyDescent="0.3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  <c r="L1033" t="str">
        <f>IFERROR(VLOOKUP(D1033,Products!$A:$C,3,FALSE),"")</f>
        <v>Apparel</v>
      </c>
      <c r="M1033" t="str">
        <f>IFERROR(VLOOKUP(C1033,Customers!$A:$E,5,FALSE),"")</f>
        <v>Retail</v>
      </c>
      <c r="N1033">
        <f>IFERROR(VLOOKUP(C1033,Customers!$A:$E,3,FALSE),"")</f>
        <v>36</v>
      </c>
      <c r="O1033" s="33" t="str">
        <f>IFERROR(VLOOKUP(E1033,Sales_Reps!$A:$C,3,FALSE),"")</f>
        <v>East</v>
      </c>
      <c r="P1033" s="33">
        <f>IFERROR(VLOOKUP(D1033,Products!$A:$D,4,FALSE),"")</f>
        <v>396</v>
      </c>
      <c r="Q1033" s="33">
        <f t="shared" si="16"/>
        <v>0.36129032258064514</v>
      </c>
    </row>
    <row r="1034" spans="1:17" x14ac:dyDescent="0.3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  <c r="L1034" t="str">
        <f>IFERROR(VLOOKUP(D1034,Products!$A:$C,3,FALSE),"")</f>
        <v>Grocery</v>
      </c>
      <c r="M1034" t="str">
        <f>IFERROR(VLOOKUP(C1034,Customers!$A:$E,5,FALSE),"")</f>
        <v>Retail</v>
      </c>
      <c r="N1034">
        <f>IFERROR(VLOOKUP(C1034,Customers!$A:$E,3,FALSE),"")</f>
        <v>49</v>
      </c>
      <c r="O1034" s="33" t="str">
        <f>IFERROR(VLOOKUP(E1034,Sales_Reps!$A:$C,3,FALSE),"")</f>
        <v>North</v>
      </c>
      <c r="P1034" s="33">
        <f>IFERROR(VLOOKUP(D1034,Products!$A:$D,4,FALSE),"")</f>
        <v>2027</v>
      </c>
      <c r="Q1034" s="33">
        <f t="shared" si="16"/>
        <v>0.50196560196560192</v>
      </c>
    </row>
    <row r="1035" spans="1:17" x14ac:dyDescent="0.3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  <c r="L1035" t="str">
        <f>IFERROR(VLOOKUP(D1035,Products!$A:$C,3,FALSE),"")</f>
        <v>Apparel</v>
      </c>
      <c r="M1035" t="str">
        <f>IFERROR(VLOOKUP(C1035,Customers!$A:$E,5,FALSE),"")</f>
        <v>Retail</v>
      </c>
      <c r="N1035">
        <f>IFERROR(VLOOKUP(C1035,Customers!$A:$E,3,FALSE),"")</f>
        <v>27</v>
      </c>
      <c r="O1035" s="33" t="str">
        <f>IFERROR(VLOOKUP(E1035,Sales_Reps!$A:$C,3,FALSE),"")</f>
        <v>North</v>
      </c>
      <c r="P1035" s="33">
        <f>IFERROR(VLOOKUP(D1035,Products!$A:$D,4,FALSE),"")</f>
        <v>1886</v>
      </c>
      <c r="Q1035" s="33">
        <f t="shared" si="16"/>
        <v>0.4031645569620253</v>
      </c>
    </row>
    <row r="1036" spans="1:17" x14ac:dyDescent="0.3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  <c r="L1036" t="str">
        <f>IFERROR(VLOOKUP(D1036,Products!$A:$C,3,FALSE),"")</f>
        <v>Grocery</v>
      </c>
      <c r="M1036" t="str">
        <f>IFERROR(VLOOKUP(C1036,Customers!$A:$E,5,FALSE),"")</f>
        <v>Retail</v>
      </c>
      <c r="N1036">
        <f>IFERROR(VLOOKUP(C1036,Customers!$A:$E,3,FALSE),"")</f>
        <v>36</v>
      </c>
      <c r="O1036" s="33" t="str">
        <f>IFERROR(VLOOKUP(E1036,Sales_Reps!$A:$C,3,FALSE),"")</f>
        <v>East</v>
      </c>
      <c r="P1036" s="33">
        <f>IFERROR(VLOOKUP(D1036,Products!$A:$D,4,FALSE),"")</f>
        <v>1010</v>
      </c>
      <c r="Q1036" s="33">
        <f t="shared" si="16"/>
        <v>0.54298642533936647</v>
      </c>
    </row>
    <row r="1037" spans="1:17" x14ac:dyDescent="0.3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  <c r="L1037" t="str">
        <f>IFERROR(VLOOKUP(D1037,Products!$A:$C,3,FALSE),"")</f>
        <v>Sports</v>
      </c>
      <c r="M1037" t="str">
        <f>IFERROR(VLOOKUP(C1037,Customers!$A:$E,5,FALSE),"")</f>
        <v>Retail</v>
      </c>
      <c r="N1037">
        <f>IFERROR(VLOOKUP(C1037,Customers!$A:$E,3,FALSE),"")</f>
        <v>61</v>
      </c>
      <c r="O1037" s="33" t="str">
        <f>IFERROR(VLOOKUP(E1037,Sales_Reps!$A:$C,3,FALSE),"")</f>
        <v>West</v>
      </c>
      <c r="P1037" s="33">
        <f>IFERROR(VLOOKUP(D1037,Products!$A:$D,4,FALSE),"")</f>
        <v>302</v>
      </c>
      <c r="Q1037" s="33">
        <f t="shared" si="16"/>
        <v>0.35744680851063831</v>
      </c>
    </row>
    <row r="1038" spans="1:17" x14ac:dyDescent="0.3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  <c r="L1038" t="str">
        <f>IFERROR(VLOOKUP(D1038,Products!$A:$C,3,FALSE),"")</f>
        <v>Home</v>
      </c>
      <c r="M1038" t="str">
        <f>IFERROR(VLOOKUP(C1038,Customers!$A:$E,5,FALSE),"")</f>
        <v>Retail</v>
      </c>
      <c r="N1038">
        <f>IFERROR(VLOOKUP(C1038,Customers!$A:$E,3,FALSE),"")</f>
        <v>38</v>
      </c>
      <c r="O1038" s="33" t="str">
        <f>IFERROR(VLOOKUP(E1038,Sales_Reps!$A:$C,3,FALSE),"")</f>
        <v>East</v>
      </c>
      <c r="P1038" s="33">
        <f>IFERROR(VLOOKUP(D1038,Products!$A:$D,4,FALSE),"")</f>
        <v>288</v>
      </c>
      <c r="Q1038" s="33">
        <f t="shared" si="16"/>
        <v>0.22162162162162163</v>
      </c>
    </row>
    <row r="1039" spans="1:17" x14ac:dyDescent="0.3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  <c r="L1039" t="str">
        <f>IFERROR(VLOOKUP(D1039,Products!$A:$C,3,FALSE),"")</f>
        <v>Sports</v>
      </c>
      <c r="M1039" t="str">
        <f>IFERROR(VLOOKUP(C1039,Customers!$A:$E,5,FALSE),"")</f>
        <v>Retail</v>
      </c>
      <c r="N1039">
        <f>IFERROR(VLOOKUP(C1039,Customers!$A:$E,3,FALSE),"")</f>
        <v>44</v>
      </c>
      <c r="O1039" s="33" t="str">
        <f>IFERROR(VLOOKUP(E1039,Sales_Reps!$A:$C,3,FALSE),"")</f>
        <v>East</v>
      </c>
      <c r="P1039" s="33">
        <f>IFERROR(VLOOKUP(D1039,Products!$A:$D,4,FALSE),"")</f>
        <v>1860</v>
      </c>
      <c r="Q1039" s="33">
        <f t="shared" si="16"/>
        <v>0.50793650793650791</v>
      </c>
    </row>
    <row r="1040" spans="1:17" x14ac:dyDescent="0.3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  <c r="L1040" t="str">
        <f>IFERROR(VLOOKUP(D1040,Products!$A:$C,3,FALSE),"")</f>
        <v>Sports</v>
      </c>
      <c r="M1040" t="str">
        <f>IFERROR(VLOOKUP(C1040,Customers!$A:$E,5,FALSE),"")</f>
        <v>Retail</v>
      </c>
      <c r="N1040">
        <f>IFERROR(VLOOKUP(C1040,Customers!$A:$E,3,FALSE),"")</f>
        <v>59</v>
      </c>
      <c r="O1040" s="33" t="str">
        <f>IFERROR(VLOOKUP(E1040,Sales_Reps!$A:$C,3,FALSE),"")</f>
        <v>South</v>
      </c>
      <c r="P1040" s="33">
        <f>IFERROR(VLOOKUP(D1040,Products!$A:$D,4,FALSE),"")</f>
        <v>2827</v>
      </c>
      <c r="Q1040" s="33">
        <f t="shared" si="16"/>
        <v>0.5926512968299712</v>
      </c>
    </row>
    <row r="1041" spans="1:17" x14ac:dyDescent="0.3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  <c r="L1041" t="str">
        <f>IFERROR(VLOOKUP(D1041,Products!$A:$C,3,FALSE),"")</f>
        <v>Home</v>
      </c>
      <c r="M1041" t="str">
        <f>IFERROR(VLOOKUP(C1041,Customers!$A:$E,5,FALSE),"")</f>
        <v>SMB</v>
      </c>
      <c r="N1041">
        <f>IFERROR(VLOOKUP(C1041,Customers!$A:$E,3,FALSE),"")</f>
        <v>48</v>
      </c>
      <c r="O1041" s="33" t="str">
        <f>IFERROR(VLOOKUP(E1041,Sales_Reps!$A:$C,3,FALSE),"")</f>
        <v>East</v>
      </c>
      <c r="P1041" s="33">
        <f>IFERROR(VLOOKUP(D1041,Products!$A:$D,4,FALSE),"")</f>
        <v>2135</v>
      </c>
      <c r="Q1041" s="33">
        <f t="shared" si="16"/>
        <v>0.42761394101876676</v>
      </c>
    </row>
    <row r="1042" spans="1:17" x14ac:dyDescent="0.3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  <c r="L1042" t="str">
        <f>IFERROR(VLOOKUP(D1042,Products!$A:$C,3,FALSE),"")</f>
        <v>Home</v>
      </c>
      <c r="M1042" t="str">
        <f>IFERROR(VLOOKUP(C1042,Customers!$A:$E,5,FALSE),"")</f>
        <v>Retail</v>
      </c>
      <c r="N1042">
        <f>IFERROR(VLOOKUP(C1042,Customers!$A:$E,3,FALSE),"")</f>
        <v>37</v>
      </c>
      <c r="O1042" s="33" t="str">
        <f>IFERROR(VLOOKUP(E1042,Sales_Reps!$A:$C,3,FALSE),"")</f>
        <v>West</v>
      </c>
      <c r="P1042" s="33">
        <f>IFERROR(VLOOKUP(D1042,Products!$A:$D,4,FALSE),"")</f>
        <v>2459</v>
      </c>
      <c r="Q1042" s="33">
        <f t="shared" si="16"/>
        <v>0.51594488188976373</v>
      </c>
    </row>
    <row r="1043" spans="1:17" x14ac:dyDescent="0.3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  <c r="L1043" t="str">
        <f>IFERROR(VLOOKUP(D1043,Products!$A:$C,3,FALSE),"")</f>
        <v>Sports</v>
      </c>
      <c r="M1043" t="str">
        <f>IFERROR(VLOOKUP(C1043,Customers!$A:$E,5,FALSE),"")</f>
        <v>Retail</v>
      </c>
      <c r="N1043">
        <f>IFERROR(VLOOKUP(C1043,Customers!$A:$E,3,FALSE),"")</f>
        <v>32</v>
      </c>
      <c r="O1043" s="33" t="str">
        <f>IFERROR(VLOOKUP(E1043,Sales_Reps!$A:$C,3,FALSE),"")</f>
        <v>North</v>
      </c>
      <c r="P1043" s="33">
        <f>IFERROR(VLOOKUP(D1043,Products!$A:$D,4,FALSE),"")</f>
        <v>2265</v>
      </c>
      <c r="Q1043" s="33">
        <f t="shared" si="16"/>
        <v>0.58133086876155271</v>
      </c>
    </row>
    <row r="1044" spans="1:17" x14ac:dyDescent="0.3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  <c r="L1044" t="str">
        <f>IFERROR(VLOOKUP(D1044,Products!$A:$C,3,FALSE),"")</f>
        <v>Apparel</v>
      </c>
      <c r="M1044" t="str">
        <f>IFERROR(VLOOKUP(C1044,Customers!$A:$E,5,FALSE),"")</f>
        <v>Retail</v>
      </c>
      <c r="N1044">
        <f>IFERROR(VLOOKUP(C1044,Customers!$A:$E,3,FALSE),"")</f>
        <v>44</v>
      </c>
      <c r="O1044" s="33" t="str">
        <f>IFERROR(VLOOKUP(E1044,Sales_Reps!$A:$C,3,FALSE),"")</f>
        <v>West</v>
      </c>
      <c r="P1044" s="33">
        <f>IFERROR(VLOOKUP(D1044,Products!$A:$D,4,FALSE),"")</f>
        <v>1962</v>
      </c>
      <c r="Q1044" s="33">
        <f t="shared" si="16"/>
        <v>0.2786764705882353</v>
      </c>
    </row>
    <row r="1045" spans="1:17" x14ac:dyDescent="0.3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  <c r="L1045" t="str">
        <f>IFERROR(VLOOKUP(D1045,Products!$A:$C,3,FALSE),"")</f>
        <v>Electronics</v>
      </c>
      <c r="M1045" t="str">
        <f>IFERROR(VLOOKUP(C1045,Customers!$A:$E,5,FALSE),"")</f>
        <v>SMB</v>
      </c>
      <c r="N1045">
        <f>IFERROR(VLOOKUP(C1045,Customers!$A:$E,3,FALSE),"")</f>
        <v>44</v>
      </c>
      <c r="O1045" s="33" t="str">
        <f>IFERROR(VLOOKUP(E1045,Sales_Reps!$A:$C,3,FALSE),"")</f>
        <v>South</v>
      </c>
      <c r="P1045" s="33">
        <f>IFERROR(VLOOKUP(D1045,Products!$A:$D,4,FALSE),"")</f>
        <v>517</v>
      </c>
      <c r="Q1045" s="33">
        <f t="shared" si="16"/>
        <v>0.57622950819672136</v>
      </c>
    </row>
    <row r="1046" spans="1:17" x14ac:dyDescent="0.3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  <c r="L1046" t="str">
        <f>IFERROR(VLOOKUP(D1046,Products!$A:$C,3,FALSE),"")</f>
        <v>Beauty</v>
      </c>
      <c r="M1046" t="str">
        <f>IFERROR(VLOOKUP(C1046,Customers!$A:$E,5,FALSE),"")</f>
        <v>Retail</v>
      </c>
      <c r="N1046">
        <f>IFERROR(VLOOKUP(C1046,Customers!$A:$E,3,FALSE),"")</f>
        <v>31</v>
      </c>
      <c r="O1046" s="33" t="str">
        <f>IFERROR(VLOOKUP(E1046,Sales_Reps!$A:$C,3,FALSE),"")</f>
        <v>North</v>
      </c>
      <c r="P1046" s="33">
        <f>IFERROR(VLOOKUP(D1046,Products!$A:$D,4,FALSE),"")</f>
        <v>2768</v>
      </c>
      <c r="Q1046" s="33">
        <f t="shared" si="16"/>
        <v>0.43278688524590164</v>
      </c>
    </row>
    <row r="1047" spans="1:17" x14ac:dyDescent="0.3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  <c r="L1047" t="str">
        <f>IFERROR(VLOOKUP(D1047,Products!$A:$C,3,FALSE),"")</f>
        <v>Grocery</v>
      </c>
      <c r="M1047" t="str">
        <f>IFERROR(VLOOKUP(C1047,Customers!$A:$E,5,FALSE),"")</f>
        <v>Corporate</v>
      </c>
      <c r="N1047">
        <f>IFERROR(VLOOKUP(C1047,Customers!$A:$E,3,FALSE),"")</f>
        <v>62</v>
      </c>
      <c r="O1047" s="33" t="str">
        <f>IFERROR(VLOOKUP(E1047,Sales_Reps!$A:$C,3,FALSE),"")</f>
        <v>East</v>
      </c>
      <c r="P1047" s="33">
        <f>IFERROR(VLOOKUP(D1047,Products!$A:$D,4,FALSE),"")</f>
        <v>1412</v>
      </c>
      <c r="Q1047" s="33">
        <f t="shared" si="16"/>
        <v>0.37797356828193834</v>
      </c>
    </row>
    <row r="1048" spans="1:17" x14ac:dyDescent="0.3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  <c r="L1048" t="str">
        <f>IFERROR(VLOOKUP(D1048,Products!$A:$C,3,FALSE),"")</f>
        <v>Grocery</v>
      </c>
      <c r="M1048" t="str">
        <f>IFERROR(VLOOKUP(C1048,Customers!$A:$E,5,FALSE),"")</f>
        <v>SMB</v>
      </c>
      <c r="N1048">
        <f>IFERROR(VLOOKUP(C1048,Customers!$A:$E,3,FALSE),"")</f>
        <v>53</v>
      </c>
      <c r="O1048" s="33" t="str">
        <f>IFERROR(VLOOKUP(E1048,Sales_Reps!$A:$C,3,FALSE),"")</f>
        <v>North</v>
      </c>
      <c r="P1048" s="33">
        <f>IFERROR(VLOOKUP(D1048,Products!$A:$D,4,FALSE),"")</f>
        <v>434</v>
      </c>
      <c r="Q1048" s="33">
        <f t="shared" si="16"/>
        <v>0.5525773195876289</v>
      </c>
    </row>
    <row r="1049" spans="1:17" x14ac:dyDescent="0.3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  <c r="L1049" t="str">
        <f>IFERROR(VLOOKUP(D1049,Products!$A:$C,3,FALSE),"")</f>
        <v>Grocery</v>
      </c>
      <c r="M1049" t="str">
        <f>IFERROR(VLOOKUP(C1049,Customers!$A:$E,5,FALSE),"")</f>
        <v>Corporate</v>
      </c>
      <c r="N1049">
        <f>IFERROR(VLOOKUP(C1049,Customers!$A:$E,3,FALSE),"")</f>
        <v>27</v>
      </c>
      <c r="O1049" s="33" t="str">
        <f>IFERROR(VLOOKUP(E1049,Sales_Reps!$A:$C,3,FALSE),"")</f>
        <v>South</v>
      </c>
      <c r="P1049" s="33">
        <f>IFERROR(VLOOKUP(D1049,Products!$A:$D,4,FALSE),"")</f>
        <v>1182</v>
      </c>
      <c r="Q1049" s="33">
        <f t="shared" si="16"/>
        <v>0.50336134453781511</v>
      </c>
    </row>
    <row r="1050" spans="1:17" x14ac:dyDescent="0.3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  <c r="L1050" t="str">
        <f>IFERROR(VLOOKUP(D1050,Products!$A:$C,3,FALSE),"")</f>
        <v>Apparel</v>
      </c>
      <c r="M1050" t="str">
        <f>IFERROR(VLOOKUP(C1050,Customers!$A:$E,5,FALSE),"")</f>
        <v>Corporate</v>
      </c>
      <c r="N1050">
        <f>IFERROR(VLOOKUP(C1050,Customers!$A:$E,3,FALSE),"")</f>
        <v>25</v>
      </c>
      <c r="O1050" s="33" t="str">
        <f>IFERROR(VLOOKUP(E1050,Sales_Reps!$A:$C,3,FALSE),"")</f>
        <v>South</v>
      </c>
      <c r="P1050" s="33">
        <f>IFERROR(VLOOKUP(D1050,Products!$A:$D,4,FALSE),"")</f>
        <v>2509</v>
      </c>
      <c r="Q1050" s="33">
        <f t="shared" si="16"/>
        <v>0.3069060773480663</v>
      </c>
    </row>
    <row r="1051" spans="1:17" x14ac:dyDescent="0.3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  <c r="L1051" t="str">
        <f>IFERROR(VLOOKUP(D1051,Products!$A:$C,3,FALSE),"")</f>
        <v>Grocery</v>
      </c>
      <c r="M1051" t="str">
        <f>IFERROR(VLOOKUP(C1051,Customers!$A:$E,5,FALSE),"")</f>
        <v>Retail</v>
      </c>
      <c r="N1051">
        <f>IFERROR(VLOOKUP(C1051,Customers!$A:$E,3,FALSE),"")</f>
        <v>59</v>
      </c>
      <c r="O1051" s="33" t="str">
        <f>IFERROR(VLOOKUP(E1051,Sales_Reps!$A:$C,3,FALSE),"")</f>
        <v>West</v>
      </c>
      <c r="P1051" s="33">
        <f>IFERROR(VLOOKUP(D1051,Products!$A:$D,4,FALSE),"")</f>
        <v>2027</v>
      </c>
      <c r="Q1051" s="33">
        <f t="shared" si="16"/>
        <v>0.50196560196560192</v>
      </c>
    </row>
    <row r="1052" spans="1:17" x14ac:dyDescent="0.3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  <c r="L1052" t="str">
        <f>IFERROR(VLOOKUP(D1052,Products!$A:$C,3,FALSE),"")</f>
        <v>Beauty</v>
      </c>
      <c r="M1052" t="str">
        <f>IFERROR(VLOOKUP(C1052,Customers!$A:$E,5,FALSE),"")</f>
        <v>Corporate</v>
      </c>
      <c r="N1052">
        <f>IFERROR(VLOOKUP(C1052,Customers!$A:$E,3,FALSE),"")</f>
        <v>43</v>
      </c>
      <c r="O1052" s="33" t="str">
        <f>IFERROR(VLOOKUP(E1052,Sales_Reps!$A:$C,3,FALSE),"")</f>
        <v>West</v>
      </c>
      <c r="P1052" s="33">
        <f>IFERROR(VLOOKUP(D1052,Products!$A:$D,4,FALSE),"")</f>
        <v>2237</v>
      </c>
      <c r="Q1052" s="33">
        <f t="shared" si="16"/>
        <v>0.56137254901960787</v>
      </c>
    </row>
    <row r="1053" spans="1:17" x14ac:dyDescent="0.3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  <c r="L1053" t="str">
        <f>IFERROR(VLOOKUP(D1053,Products!$A:$C,3,FALSE),"")</f>
        <v>Beauty</v>
      </c>
      <c r="M1053" t="str">
        <f>IFERROR(VLOOKUP(C1053,Customers!$A:$E,5,FALSE),"")</f>
        <v>Corporate</v>
      </c>
      <c r="N1053">
        <f>IFERROR(VLOOKUP(C1053,Customers!$A:$E,3,FALSE),"")</f>
        <v>62</v>
      </c>
      <c r="O1053" s="33" t="str">
        <f>IFERROR(VLOOKUP(E1053,Sales_Reps!$A:$C,3,FALSE),"")</f>
        <v>East</v>
      </c>
      <c r="P1053" s="33">
        <f>IFERROR(VLOOKUP(D1053,Products!$A:$D,4,FALSE),"")</f>
        <v>1626</v>
      </c>
      <c r="Q1053" s="33">
        <f t="shared" si="16"/>
        <v>0.46158940397350995</v>
      </c>
    </row>
    <row r="1054" spans="1:17" x14ac:dyDescent="0.3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  <c r="L1054" t="str">
        <f>IFERROR(VLOOKUP(D1054,Products!$A:$C,3,FALSE),"")</f>
        <v>Beauty</v>
      </c>
      <c r="M1054" t="str">
        <f>IFERROR(VLOOKUP(C1054,Customers!$A:$E,5,FALSE),"")</f>
        <v>Corporate</v>
      </c>
      <c r="N1054">
        <f>IFERROR(VLOOKUP(C1054,Customers!$A:$E,3,FALSE),"")</f>
        <v>42</v>
      </c>
      <c r="O1054" s="33" t="str">
        <f>IFERROR(VLOOKUP(E1054,Sales_Reps!$A:$C,3,FALSE),"")</f>
        <v>North</v>
      </c>
      <c r="P1054" s="33">
        <f>IFERROR(VLOOKUP(D1054,Products!$A:$D,4,FALSE),"")</f>
        <v>675</v>
      </c>
      <c r="Q1054" s="33">
        <f t="shared" si="16"/>
        <v>0.296875</v>
      </c>
    </row>
    <row r="1055" spans="1:17" x14ac:dyDescent="0.3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  <c r="L1055" t="str">
        <f>IFERROR(VLOOKUP(D1055,Products!$A:$C,3,FALSE),"")</f>
        <v>Home</v>
      </c>
      <c r="M1055" t="str">
        <f>IFERROR(VLOOKUP(C1055,Customers!$A:$E,5,FALSE),"")</f>
        <v>Retail</v>
      </c>
      <c r="N1055">
        <f>IFERROR(VLOOKUP(C1055,Customers!$A:$E,3,FALSE),"")</f>
        <v>61</v>
      </c>
      <c r="O1055" s="33" t="str">
        <f>IFERROR(VLOOKUP(E1055,Sales_Reps!$A:$C,3,FALSE),"")</f>
        <v>South</v>
      </c>
      <c r="P1055" s="33">
        <f>IFERROR(VLOOKUP(D1055,Products!$A:$D,4,FALSE),"")</f>
        <v>2459</v>
      </c>
      <c r="Q1055" s="33">
        <f t="shared" si="16"/>
        <v>0.51594488188976373</v>
      </c>
    </row>
    <row r="1056" spans="1:17" x14ac:dyDescent="0.3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  <c r="L1056" t="str">
        <f>IFERROR(VLOOKUP(D1056,Products!$A:$C,3,FALSE),"")</f>
        <v>Beauty</v>
      </c>
      <c r="M1056" t="str">
        <f>IFERROR(VLOOKUP(C1056,Customers!$A:$E,5,FALSE),"")</f>
        <v>Corporate</v>
      </c>
      <c r="N1056">
        <f>IFERROR(VLOOKUP(C1056,Customers!$A:$E,3,FALSE),"")</f>
        <v>34</v>
      </c>
      <c r="O1056" s="33" t="str">
        <f>IFERROR(VLOOKUP(E1056,Sales_Reps!$A:$C,3,FALSE),"")</f>
        <v>South</v>
      </c>
      <c r="P1056" s="33">
        <f>IFERROR(VLOOKUP(D1056,Products!$A:$D,4,FALSE),"")</f>
        <v>2617</v>
      </c>
      <c r="Q1056" s="33">
        <f t="shared" si="16"/>
        <v>0.56957236842105263</v>
      </c>
    </row>
    <row r="1057" spans="1:17" x14ac:dyDescent="0.3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  <c r="L1057" t="str">
        <f>IFERROR(VLOOKUP(D1057,Products!$A:$C,3,FALSE),"")</f>
        <v>Beauty</v>
      </c>
      <c r="M1057" t="str">
        <f>IFERROR(VLOOKUP(C1057,Customers!$A:$E,5,FALSE),"")</f>
        <v>Retail</v>
      </c>
      <c r="N1057">
        <f>IFERROR(VLOOKUP(C1057,Customers!$A:$E,3,FALSE),"")</f>
        <v>38</v>
      </c>
      <c r="O1057" s="33" t="str">
        <f>IFERROR(VLOOKUP(E1057,Sales_Reps!$A:$C,3,FALSE),"")</f>
        <v>South</v>
      </c>
      <c r="P1057" s="33">
        <f>IFERROR(VLOOKUP(D1057,Products!$A:$D,4,FALSE),"")</f>
        <v>647</v>
      </c>
      <c r="Q1057" s="33">
        <f t="shared" si="16"/>
        <v>0.57987012987012987</v>
      </c>
    </row>
    <row r="1058" spans="1:17" x14ac:dyDescent="0.3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  <c r="L1058" t="str">
        <f>IFERROR(VLOOKUP(D1058,Products!$A:$C,3,FALSE),"")</f>
        <v>Sports</v>
      </c>
      <c r="M1058" t="str">
        <f>IFERROR(VLOOKUP(C1058,Customers!$A:$E,5,FALSE),"")</f>
        <v>Retail</v>
      </c>
      <c r="N1058">
        <f>IFERROR(VLOOKUP(C1058,Customers!$A:$E,3,FALSE),"")</f>
        <v>27</v>
      </c>
      <c r="O1058" s="33" t="str">
        <f>IFERROR(VLOOKUP(E1058,Sales_Reps!$A:$C,3,FALSE),"")</f>
        <v>West</v>
      </c>
      <c r="P1058" s="33">
        <f>IFERROR(VLOOKUP(D1058,Products!$A:$D,4,FALSE),"")</f>
        <v>516</v>
      </c>
      <c r="Q1058" s="33">
        <f t="shared" si="16"/>
        <v>0.4891089108910891</v>
      </c>
    </row>
    <row r="1059" spans="1:17" x14ac:dyDescent="0.3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  <c r="L1059" t="str">
        <f>IFERROR(VLOOKUP(D1059,Products!$A:$C,3,FALSE),"")</f>
        <v>Beauty</v>
      </c>
      <c r="M1059" t="str">
        <f>IFERROR(VLOOKUP(C1059,Customers!$A:$E,5,FALSE),"")</f>
        <v>SMB</v>
      </c>
      <c r="N1059">
        <f>IFERROR(VLOOKUP(C1059,Customers!$A:$E,3,FALSE),"")</f>
        <v>48</v>
      </c>
      <c r="O1059" s="33" t="str">
        <f>IFERROR(VLOOKUP(E1059,Sales_Reps!$A:$C,3,FALSE),"")</f>
        <v>West</v>
      </c>
      <c r="P1059" s="33">
        <f>IFERROR(VLOOKUP(D1059,Products!$A:$D,4,FALSE),"")</f>
        <v>675</v>
      </c>
      <c r="Q1059" s="33">
        <f t="shared" si="16"/>
        <v>0.296875</v>
      </c>
    </row>
    <row r="1060" spans="1:17" x14ac:dyDescent="0.3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  <c r="L1060" t="str">
        <f>IFERROR(VLOOKUP(D1060,Products!$A:$C,3,FALSE),"")</f>
        <v>Beauty</v>
      </c>
      <c r="M1060" t="str">
        <f>IFERROR(VLOOKUP(C1060,Customers!$A:$E,5,FALSE),"")</f>
        <v>SMB</v>
      </c>
      <c r="N1060">
        <f>IFERROR(VLOOKUP(C1060,Customers!$A:$E,3,FALSE),"")</f>
        <v>64</v>
      </c>
      <c r="O1060" s="33" t="str">
        <f>IFERROR(VLOOKUP(E1060,Sales_Reps!$A:$C,3,FALSE),"")</f>
        <v>South</v>
      </c>
      <c r="P1060" s="33">
        <f>IFERROR(VLOOKUP(D1060,Products!$A:$D,4,FALSE),"")</f>
        <v>647</v>
      </c>
      <c r="Q1060" s="33">
        <f t="shared" si="16"/>
        <v>0.57987012987012987</v>
      </c>
    </row>
    <row r="1061" spans="1:17" x14ac:dyDescent="0.3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  <c r="L1061" t="str">
        <f>IFERROR(VLOOKUP(D1061,Products!$A:$C,3,FALSE),"")</f>
        <v>Beauty</v>
      </c>
      <c r="M1061" t="str">
        <f>IFERROR(VLOOKUP(C1061,Customers!$A:$E,5,FALSE),"")</f>
        <v>SMB</v>
      </c>
      <c r="N1061">
        <f>IFERROR(VLOOKUP(C1061,Customers!$A:$E,3,FALSE),"")</f>
        <v>45</v>
      </c>
      <c r="O1061" s="33" t="str">
        <f>IFERROR(VLOOKUP(E1061,Sales_Reps!$A:$C,3,FALSE),"")</f>
        <v>East</v>
      </c>
      <c r="P1061" s="33">
        <f>IFERROR(VLOOKUP(D1061,Products!$A:$D,4,FALSE),"")</f>
        <v>1728</v>
      </c>
      <c r="Q1061" s="33">
        <f t="shared" si="16"/>
        <v>0.48417910447761192</v>
      </c>
    </row>
    <row r="1062" spans="1:17" x14ac:dyDescent="0.3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  <c r="L1062" t="str">
        <f>IFERROR(VLOOKUP(D1062,Products!$A:$C,3,FALSE),"")</f>
        <v>Sports</v>
      </c>
      <c r="M1062" t="str">
        <f>IFERROR(VLOOKUP(C1062,Customers!$A:$E,5,FALSE),"")</f>
        <v>Retail</v>
      </c>
      <c r="N1062">
        <f>IFERROR(VLOOKUP(C1062,Customers!$A:$E,3,FALSE),"")</f>
        <v>31</v>
      </c>
      <c r="O1062" s="33" t="str">
        <f>IFERROR(VLOOKUP(E1062,Sales_Reps!$A:$C,3,FALSE),"")</f>
        <v>East</v>
      </c>
      <c r="P1062" s="33">
        <f>IFERROR(VLOOKUP(D1062,Products!$A:$D,4,FALSE),"")</f>
        <v>2467</v>
      </c>
      <c r="Q1062" s="33">
        <f t="shared" si="16"/>
        <v>0.28492753623188405</v>
      </c>
    </row>
    <row r="1063" spans="1:17" x14ac:dyDescent="0.3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  <c r="L1063" t="str">
        <f>IFERROR(VLOOKUP(D1063,Products!$A:$C,3,FALSE),"")</f>
        <v>Sports</v>
      </c>
      <c r="M1063" t="str">
        <f>IFERROR(VLOOKUP(C1063,Customers!$A:$E,5,FALSE),"")</f>
        <v>SMB</v>
      </c>
      <c r="N1063">
        <f>IFERROR(VLOOKUP(C1063,Customers!$A:$E,3,FALSE),"")</f>
        <v>43</v>
      </c>
      <c r="O1063" s="33" t="str">
        <f>IFERROR(VLOOKUP(E1063,Sales_Reps!$A:$C,3,FALSE),"")</f>
        <v>East</v>
      </c>
      <c r="P1063" s="33">
        <f>IFERROR(VLOOKUP(D1063,Products!$A:$D,4,FALSE),"")</f>
        <v>705</v>
      </c>
      <c r="Q1063" s="33">
        <f t="shared" si="16"/>
        <v>0.265625</v>
      </c>
    </row>
    <row r="1064" spans="1:17" x14ac:dyDescent="0.3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  <c r="L1064" t="str">
        <f>IFERROR(VLOOKUP(D1064,Products!$A:$C,3,FALSE),"")</f>
        <v>Apparel</v>
      </c>
      <c r="M1064" t="str">
        <f>IFERROR(VLOOKUP(C1064,Customers!$A:$E,5,FALSE),"")</f>
        <v>Retail</v>
      </c>
      <c r="N1064">
        <f>IFERROR(VLOOKUP(C1064,Customers!$A:$E,3,FALSE),"")</f>
        <v>55</v>
      </c>
      <c r="O1064" s="33" t="str">
        <f>IFERROR(VLOOKUP(E1064,Sales_Reps!$A:$C,3,FALSE),"")</f>
        <v>South</v>
      </c>
      <c r="P1064" s="33">
        <f>IFERROR(VLOOKUP(D1064,Products!$A:$D,4,FALSE),"")</f>
        <v>2611</v>
      </c>
      <c r="Q1064" s="33">
        <f t="shared" si="16"/>
        <v>0.28269230769230769</v>
      </c>
    </row>
    <row r="1065" spans="1:17" x14ac:dyDescent="0.3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  <c r="L1065" t="str">
        <f>IFERROR(VLOOKUP(D1065,Products!$A:$C,3,FALSE),"")</f>
        <v>Grocery</v>
      </c>
      <c r="M1065" t="str">
        <f>IFERROR(VLOOKUP(C1065,Customers!$A:$E,5,FALSE),"")</f>
        <v>Retail</v>
      </c>
      <c r="N1065">
        <f>IFERROR(VLOOKUP(C1065,Customers!$A:$E,3,FALSE),"")</f>
        <v>27</v>
      </c>
      <c r="O1065" s="33" t="str">
        <f>IFERROR(VLOOKUP(E1065,Sales_Reps!$A:$C,3,FALSE),"")</f>
        <v>East</v>
      </c>
      <c r="P1065" s="33">
        <f>IFERROR(VLOOKUP(D1065,Products!$A:$D,4,FALSE),"")</f>
        <v>1010</v>
      </c>
      <c r="Q1065" s="33">
        <f t="shared" si="16"/>
        <v>0.54298642533936647</v>
      </c>
    </row>
    <row r="1066" spans="1:17" x14ac:dyDescent="0.3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  <c r="L1066" t="str">
        <f>IFERROR(VLOOKUP(D1066,Products!$A:$C,3,FALSE),"")</f>
        <v>Home</v>
      </c>
      <c r="M1066" t="str">
        <f>IFERROR(VLOOKUP(C1066,Customers!$A:$E,5,FALSE),"")</f>
        <v>Corporate</v>
      </c>
      <c r="N1066">
        <f>IFERROR(VLOOKUP(C1066,Customers!$A:$E,3,FALSE),"")</f>
        <v>46</v>
      </c>
      <c r="O1066" s="33" t="str">
        <f>IFERROR(VLOOKUP(E1066,Sales_Reps!$A:$C,3,FALSE),"")</f>
        <v>North</v>
      </c>
      <c r="P1066" s="33">
        <f>IFERROR(VLOOKUP(D1066,Products!$A:$D,4,FALSE),"")</f>
        <v>2135</v>
      </c>
      <c r="Q1066" s="33">
        <f t="shared" si="16"/>
        <v>0.42761394101876676</v>
      </c>
    </row>
    <row r="1067" spans="1:17" x14ac:dyDescent="0.3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  <c r="L1067" t="str">
        <f>IFERROR(VLOOKUP(D1067,Products!$A:$C,3,FALSE),"")</f>
        <v>Sports</v>
      </c>
      <c r="M1067" t="str">
        <f>IFERROR(VLOOKUP(C1067,Customers!$A:$E,5,FALSE),"")</f>
        <v>Corporate</v>
      </c>
      <c r="N1067">
        <f>IFERROR(VLOOKUP(C1067,Customers!$A:$E,3,FALSE),"")</f>
        <v>48</v>
      </c>
      <c r="O1067" s="33" t="str">
        <f>IFERROR(VLOOKUP(E1067,Sales_Reps!$A:$C,3,FALSE),"")</f>
        <v>South</v>
      </c>
      <c r="P1067" s="33">
        <f>IFERROR(VLOOKUP(D1067,Products!$A:$D,4,FALSE),"")</f>
        <v>2265</v>
      </c>
      <c r="Q1067" s="33">
        <f t="shared" si="16"/>
        <v>0.58133086876155271</v>
      </c>
    </row>
    <row r="1068" spans="1:17" x14ac:dyDescent="0.3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  <c r="L1068" t="str">
        <f>IFERROR(VLOOKUP(D1068,Products!$A:$C,3,FALSE),"")</f>
        <v>Grocery</v>
      </c>
      <c r="M1068" t="str">
        <f>IFERROR(VLOOKUP(C1068,Customers!$A:$E,5,FALSE),"")</f>
        <v>Corporate</v>
      </c>
      <c r="N1068">
        <f>IFERROR(VLOOKUP(C1068,Customers!$A:$E,3,FALSE),"")</f>
        <v>62</v>
      </c>
      <c r="O1068" s="33" t="str">
        <f>IFERROR(VLOOKUP(E1068,Sales_Reps!$A:$C,3,FALSE),"")</f>
        <v>East</v>
      </c>
      <c r="P1068" s="33">
        <f>IFERROR(VLOOKUP(D1068,Products!$A:$D,4,FALSE),"")</f>
        <v>2436</v>
      </c>
      <c r="Q1068" s="33">
        <f t="shared" si="16"/>
        <v>0.35555555555555557</v>
      </c>
    </row>
    <row r="1069" spans="1:17" x14ac:dyDescent="0.3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  <c r="L1069" t="str">
        <f>IFERROR(VLOOKUP(D1069,Products!$A:$C,3,FALSE),"")</f>
        <v>Home</v>
      </c>
      <c r="M1069" t="str">
        <f>IFERROR(VLOOKUP(C1069,Customers!$A:$E,5,FALSE),"")</f>
        <v>SMB</v>
      </c>
      <c r="N1069">
        <f>IFERROR(VLOOKUP(C1069,Customers!$A:$E,3,FALSE),"")</f>
        <v>55</v>
      </c>
      <c r="O1069" s="33" t="str">
        <f>IFERROR(VLOOKUP(E1069,Sales_Reps!$A:$C,3,FALSE),"")</f>
        <v>South</v>
      </c>
      <c r="P1069" s="33">
        <f>IFERROR(VLOOKUP(D1069,Products!$A:$D,4,FALSE),"")</f>
        <v>1850</v>
      </c>
      <c r="Q1069" s="33">
        <f t="shared" si="16"/>
        <v>0.59869848156182215</v>
      </c>
    </row>
    <row r="1070" spans="1:17" x14ac:dyDescent="0.3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  <c r="L1070" t="str">
        <f>IFERROR(VLOOKUP(D1070,Products!$A:$C,3,FALSE),"")</f>
        <v>Electronics</v>
      </c>
      <c r="M1070" t="str">
        <f>IFERROR(VLOOKUP(C1070,Customers!$A:$E,5,FALSE),"")</f>
        <v>Retail</v>
      </c>
      <c r="N1070">
        <f>IFERROR(VLOOKUP(C1070,Customers!$A:$E,3,FALSE),"")</f>
        <v>61</v>
      </c>
      <c r="O1070" s="33" t="str">
        <f>IFERROR(VLOOKUP(E1070,Sales_Reps!$A:$C,3,FALSE),"")</f>
        <v>West</v>
      </c>
      <c r="P1070" s="33">
        <f>IFERROR(VLOOKUP(D1070,Products!$A:$D,4,FALSE),"")</f>
        <v>1149</v>
      </c>
      <c r="Q1070" s="33">
        <f t="shared" si="16"/>
        <v>0.56477272727272732</v>
      </c>
    </row>
    <row r="1071" spans="1:17" x14ac:dyDescent="0.3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  <c r="L1071" t="str">
        <f>IFERROR(VLOOKUP(D1071,Products!$A:$C,3,FALSE),"")</f>
        <v>Apparel</v>
      </c>
      <c r="M1071" t="str">
        <f>IFERROR(VLOOKUP(C1071,Customers!$A:$E,5,FALSE),"")</f>
        <v>Retail</v>
      </c>
      <c r="N1071">
        <f>IFERROR(VLOOKUP(C1071,Customers!$A:$E,3,FALSE),"")</f>
        <v>53</v>
      </c>
      <c r="O1071" s="33" t="str">
        <f>IFERROR(VLOOKUP(E1071,Sales_Reps!$A:$C,3,FALSE),"")</f>
        <v>South</v>
      </c>
      <c r="P1071" s="33">
        <f>IFERROR(VLOOKUP(D1071,Products!$A:$D,4,FALSE),"")</f>
        <v>2509</v>
      </c>
      <c r="Q1071" s="33">
        <f t="shared" si="16"/>
        <v>0.3069060773480663</v>
      </c>
    </row>
    <row r="1072" spans="1:17" x14ac:dyDescent="0.3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  <c r="L1072" t="str">
        <f>IFERROR(VLOOKUP(D1072,Products!$A:$C,3,FALSE),"")</f>
        <v>Sports</v>
      </c>
      <c r="M1072" t="str">
        <f>IFERROR(VLOOKUP(C1072,Customers!$A:$E,5,FALSE),"")</f>
        <v>Retail</v>
      </c>
      <c r="N1072">
        <f>IFERROR(VLOOKUP(C1072,Customers!$A:$E,3,FALSE),"")</f>
        <v>63</v>
      </c>
      <c r="O1072" s="33" t="str">
        <f>IFERROR(VLOOKUP(E1072,Sales_Reps!$A:$C,3,FALSE),"")</f>
        <v>East</v>
      </c>
      <c r="P1072" s="33">
        <f>IFERROR(VLOOKUP(D1072,Products!$A:$D,4,FALSE),"")</f>
        <v>302</v>
      </c>
      <c r="Q1072" s="33">
        <f t="shared" si="16"/>
        <v>0.35744680851063831</v>
      </c>
    </row>
    <row r="1073" spans="1:17" x14ac:dyDescent="0.3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  <c r="L1073" t="str">
        <f>IFERROR(VLOOKUP(D1073,Products!$A:$C,3,FALSE),"")</f>
        <v>Electronics</v>
      </c>
      <c r="M1073" t="str">
        <f>IFERROR(VLOOKUP(C1073,Customers!$A:$E,5,FALSE),"")</f>
        <v>Retail</v>
      </c>
      <c r="N1073">
        <f>IFERROR(VLOOKUP(C1073,Customers!$A:$E,3,FALSE),"")</f>
        <v>54</v>
      </c>
      <c r="O1073" s="33" t="str">
        <f>IFERROR(VLOOKUP(E1073,Sales_Reps!$A:$C,3,FALSE),"")</f>
        <v>South</v>
      </c>
      <c r="P1073" s="33">
        <f>IFERROR(VLOOKUP(D1073,Products!$A:$D,4,FALSE),"")</f>
        <v>2405</v>
      </c>
      <c r="Q1073" s="33">
        <f t="shared" si="16"/>
        <v>0.54878048780487809</v>
      </c>
    </row>
    <row r="1074" spans="1:17" x14ac:dyDescent="0.3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  <c r="L1074" t="str">
        <f>IFERROR(VLOOKUP(D1074,Products!$A:$C,3,FALSE),"")</f>
        <v>Beauty</v>
      </c>
      <c r="M1074" t="str">
        <f>IFERROR(VLOOKUP(C1074,Customers!$A:$E,5,FALSE),"")</f>
        <v>SMB</v>
      </c>
      <c r="N1074">
        <f>IFERROR(VLOOKUP(C1074,Customers!$A:$E,3,FALSE),"")</f>
        <v>39</v>
      </c>
      <c r="O1074" s="33" t="str">
        <f>IFERROR(VLOOKUP(E1074,Sales_Reps!$A:$C,3,FALSE),"")</f>
        <v>South</v>
      </c>
      <c r="P1074" s="33">
        <f>IFERROR(VLOOKUP(D1074,Products!$A:$D,4,FALSE),"")</f>
        <v>2617</v>
      </c>
      <c r="Q1074" s="33">
        <f t="shared" si="16"/>
        <v>0.56957236842105263</v>
      </c>
    </row>
    <row r="1075" spans="1:17" x14ac:dyDescent="0.3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  <c r="L1075" t="str">
        <f>IFERROR(VLOOKUP(D1075,Products!$A:$C,3,FALSE),"")</f>
        <v>Beauty</v>
      </c>
      <c r="M1075" t="str">
        <f>IFERROR(VLOOKUP(C1075,Customers!$A:$E,5,FALSE),"")</f>
        <v>SMB</v>
      </c>
      <c r="N1075">
        <f>IFERROR(VLOOKUP(C1075,Customers!$A:$E,3,FALSE),"")</f>
        <v>40</v>
      </c>
      <c r="O1075" s="33" t="str">
        <f>IFERROR(VLOOKUP(E1075,Sales_Reps!$A:$C,3,FALSE),"")</f>
        <v>West</v>
      </c>
      <c r="P1075" s="33">
        <f>IFERROR(VLOOKUP(D1075,Products!$A:$D,4,FALSE),"")</f>
        <v>1728</v>
      </c>
      <c r="Q1075" s="33">
        <f t="shared" si="16"/>
        <v>0.48417910447761192</v>
      </c>
    </row>
    <row r="1076" spans="1:17" x14ac:dyDescent="0.3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  <c r="L1076" t="str">
        <f>IFERROR(VLOOKUP(D1076,Products!$A:$C,3,FALSE),"")</f>
        <v>Sports</v>
      </c>
      <c r="M1076" t="str">
        <f>IFERROR(VLOOKUP(C1076,Customers!$A:$E,5,FALSE),"")</f>
        <v/>
      </c>
      <c r="N1076" t="str">
        <f>IFERROR(VLOOKUP(C1076,Customers!$A:$E,3,FALSE),"")</f>
        <v/>
      </c>
      <c r="O1076" s="33" t="str">
        <f>IFERROR(VLOOKUP(E1076,Sales_Reps!$A:$C,3,FALSE),"")</f>
        <v>West</v>
      </c>
      <c r="P1076" s="33">
        <f>IFERROR(VLOOKUP(D1076,Products!$A:$D,4,FALSE),"")</f>
        <v>2827</v>
      </c>
      <c r="Q1076" s="33">
        <f t="shared" si="16"/>
        <v>0.5926512968299712</v>
      </c>
    </row>
    <row r="1077" spans="1:17" x14ac:dyDescent="0.3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  <c r="L1077" t="str">
        <f>IFERROR(VLOOKUP(D1077,Products!$A:$C,3,FALSE),"")</f>
        <v>Home</v>
      </c>
      <c r="M1077" t="str">
        <f>IFERROR(VLOOKUP(C1077,Customers!$A:$E,5,FALSE),"")</f>
        <v>Corporate</v>
      </c>
      <c r="N1077">
        <f>IFERROR(VLOOKUP(C1077,Customers!$A:$E,3,FALSE),"")</f>
        <v>46</v>
      </c>
      <c r="O1077" s="33" t="str">
        <f>IFERROR(VLOOKUP(E1077,Sales_Reps!$A:$C,3,FALSE),"")</f>
        <v>North</v>
      </c>
      <c r="P1077" s="33">
        <f>IFERROR(VLOOKUP(D1077,Products!$A:$D,4,FALSE),"")</f>
        <v>288</v>
      </c>
      <c r="Q1077" s="33">
        <f t="shared" si="16"/>
        <v>0.22162162162162163</v>
      </c>
    </row>
    <row r="1078" spans="1:17" x14ac:dyDescent="0.3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  <c r="L1078" t="str">
        <f>IFERROR(VLOOKUP(D1078,Products!$A:$C,3,FALSE),"")</f>
        <v>Home</v>
      </c>
      <c r="M1078" t="str">
        <f>IFERROR(VLOOKUP(C1078,Customers!$A:$E,5,FALSE),"")</f>
        <v>SMB</v>
      </c>
      <c r="N1078">
        <f>IFERROR(VLOOKUP(C1078,Customers!$A:$E,3,FALSE),"")</f>
        <v>49</v>
      </c>
      <c r="O1078" s="33" t="str">
        <f>IFERROR(VLOOKUP(E1078,Sales_Reps!$A:$C,3,FALSE),"")</f>
        <v>East</v>
      </c>
      <c r="P1078" s="33">
        <f>IFERROR(VLOOKUP(D1078,Products!$A:$D,4,FALSE),"")</f>
        <v>2549</v>
      </c>
      <c r="Q1078" s="33">
        <f t="shared" si="16"/>
        <v>0.53570127504553733</v>
      </c>
    </row>
    <row r="1079" spans="1:17" x14ac:dyDescent="0.3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  <c r="L1079" t="str">
        <f>IFERROR(VLOOKUP(D1079,Products!$A:$C,3,FALSE),"")</f>
        <v>Grocery</v>
      </c>
      <c r="M1079" t="str">
        <f>IFERROR(VLOOKUP(C1079,Customers!$A:$E,5,FALSE),"")</f>
        <v>Retail</v>
      </c>
      <c r="N1079">
        <f>IFERROR(VLOOKUP(C1079,Customers!$A:$E,3,FALSE),"")</f>
        <v>33</v>
      </c>
      <c r="O1079" s="33" t="str">
        <f>IFERROR(VLOOKUP(E1079,Sales_Reps!$A:$C,3,FALSE),"")</f>
        <v>South</v>
      </c>
      <c r="P1079" s="33">
        <f>IFERROR(VLOOKUP(D1079,Products!$A:$D,4,FALSE),"")</f>
        <v>2214</v>
      </c>
      <c r="Q1079" s="33">
        <f t="shared" si="16"/>
        <v>0.39508196721311473</v>
      </c>
    </row>
    <row r="1080" spans="1:17" x14ac:dyDescent="0.3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  <c r="L1080" t="str">
        <f>IFERROR(VLOOKUP(D1080,Products!$A:$C,3,FALSE),"")</f>
        <v>Electronics</v>
      </c>
      <c r="M1080" t="str">
        <f>IFERROR(VLOOKUP(C1080,Customers!$A:$E,5,FALSE),"")</f>
        <v>Retail</v>
      </c>
      <c r="N1080">
        <f>IFERROR(VLOOKUP(C1080,Customers!$A:$E,3,FALSE),"")</f>
        <v>50</v>
      </c>
      <c r="O1080" s="33" t="str">
        <f>IFERROR(VLOOKUP(E1080,Sales_Reps!$A:$C,3,FALSE),"")</f>
        <v>West</v>
      </c>
      <c r="P1080" s="33">
        <f>IFERROR(VLOOKUP(D1080,Products!$A:$D,4,FALSE),"")</f>
        <v>128</v>
      </c>
      <c r="Q1080" s="33">
        <f t="shared" si="16"/>
        <v>0.57333333333333336</v>
      </c>
    </row>
    <row r="1081" spans="1:17" x14ac:dyDescent="0.3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  <c r="L1081" t="str">
        <f>IFERROR(VLOOKUP(D1081,Products!$A:$C,3,FALSE),"")</f>
        <v>Electronics</v>
      </c>
      <c r="M1081" t="str">
        <f>IFERROR(VLOOKUP(C1081,Customers!$A:$E,5,FALSE),"")</f>
        <v>Retail</v>
      </c>
      <c r="N1081">
        <f>IFERROR(VLOOKUP(C1081,Customers!$A:$E,3,FALSE),"")</f>
        <v>63</v>
      </c>
      <c r="O1081" s="33" t="str">
        <f>IFERROR(VLOOKUP(E1081,Sales_Reps!$A:$C,3,FALSE),"")</f>
        <v>South</v>
      </c>
      <c r="P1081" s="33">
        <f>IFERROR(VLOOKUP(D1081,Products!$A:$D,4,FALSE),"")</f>
        <v>128</v>
      </c>
      <c r="Q1081" s="33">
        <f t="shared" si="16"/>
        <v>0.57333333333333336</v>
      </c>
    </row>
    <row r="1082" spans="1:17" x14ac:dyDescent="0.3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  <c r="L1082" t="str">
        <f>IFERROR(VLOOKUP(D1082,Products!$A:$C,3,FALSE),"")</f>
        <v>Beauty</v>
      </c>
      <c r="M1082" t="str">
        <f>IFERROR(VLOOKUP(C1082,Customers!$A:$E,5,FALSE),"")</f>
        <v>Retail</v>
      </c>
      <c r="N1082">
        <f>IFERROR(VLOOKUP(C1082,Customers!$A:$E,3,FALSE),"")</f>
        <v>39</v>
      </c>
      <c r="O1082" s="33" t="str">
        <f>IFERROR(VLOOKUP(E1082,Sales_Reps!$A:$C,3,FALSE),"")</f>
        <v>South</v>
      </c>
      <c r="P1082" s="33">
        <f>IFERROR(VLOOKUP(D1082,Products!$A:$D,4,FALSE),"")</f>
        <v>675</v>
      </c>
      <c r="Q1082" s="33">
        <f t="shared" si="16"/>
        <v>0.296875</v>
      </c>
    </row>
    <row r="1083" spans="1:17" x14ac:dyDescent="0.3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  <c r="L1083" t="str">
        <f>IFERROR(VLOOKUP(D1083,Products!$A:$C,3,FALSE),"")</f>
        <v>Grocery</v>
      </c>
      <c r="M1083" t="str">
        <f>IFERROR(VLOOKUP(C1083,Customers!$A:$E,5,FALSE),"")</f>
        <v>Retail</v>
      </c>
      <c r="N1083">
        <f>IFERROR(VLOOKUP(C1083,Customers!$A:$E,3,FALSE),"")</f>
        <v>41</v>
      </c>
      <c r="O1083" s="33" t="str">
        <f>IFERROR(VLOOKUP(E1083,Sales_Reps!$A:$C,3,FALSE),"")</f>
        <v>West</v>
      </c>
      <c r="P1083" s="33">
        <f>IFERROR(VLOOKUP(D1083,Products!$A:$D,4,FALSE),"")</f>
        <v>1412</v>
      </c>
      <c r="Q1083" s="33">
        <f t="shared" si="16"/>
        <v>0.37797356828193834</v>
      </c>
    </row>
    <row r="1084" spans="1:17" x14ac:dyDescent="0.3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  <c r="L1084" t="str">
        <f>IFERROR(VLOOKUP(D1084,Products!$A:$C,3,FALSE),"")</f>
        <v>Home</v>
      </c>
      <c r="M1084" t="str">
        <f>IFERROR(VLOOKUP(C1084,Customers!$A:$E,5,FALSE),"")</f>
        <v>Corporate</v>
      </c>
      <c r="N1084">
        <f>IFERROR(VLOOKUP(C1084,Customers!$A:$E,3,FALSE),"")</f>
        <v>59</v>
      </c>
      <c r="O1084" s="33" t="str">
        <f>IFERROR(VLOOKUP(E1084,Sales_Reps!$A:$C,3,FALSE),"")</f>
        <v>West</v>
      </c>
      <c r="P1084" s="33">
        <f>IFERROR(VLOOKUP(D1084,Products!$A:$D,4,FALSE),"")</f>
        <v>1143</v>
      </c>
      <c r="Q1084" s="33">
        <f t="shared" si="16"/>
        <v>0.43694581280788175</v>
      </c>
    </row>
    <row r="1085" spans="1:17" x14ac:dyDescent="0.3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  <c r="L1085" t="str">
        <f>IFERROR(VLOOKUP(D1085,Products!$A:$C,3,FALSE),"")</f>
        <v>Home</v>
      </c>
      <c r="M1085" t="str">
        <f>IFERROR(VLOOKUP(C1085,Customers!$A:$E,5,FALSE),"")</f>
        <v>Retail</v>
      </c>
      <c r="N1085">
        <f>IFERROR(VLOOKUP(C1085,Customers!$A:$E,3,FALSE),"")</f>
        <v>37</v>
      </c>
      <c r="O1085" s="33" t="str">
        <f>IFERROR(VLOOKUP(E1085,Sales_Reps!$A:$C,3,FALSE),"")</f>
        <v>East</v>
      </c>
      <c r="P1085" s="33">
        <f>IFERROR(VLOOKUP(D1085,Products!$A:$D,4,FALSE),"")</f>
        <v>519</v>
      </c>
      <c r="Q1085" s="33">
        <f t="shared" si="16"/>
        <v>0.51944444444444449</v>
      </c>
    </row>
    <row r="1086" spans="1:17" x14ac:dyDescent="0.3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  <c r="L1086" t="str">
        <f>IFERROR(VLOOKUP(D1086,Products!$A:$C,3,FALSE),"")</f>
        <v>Sports</v>
      </c>
      <c r="M1086" t="str">
        <f>IFERROR(VLOOKUP(C1086,Customers!$A:$E,5,FALSE),"")</f>
        <v>Retail</v>
      </c>
      <c r="N1086">
        <f>IFERROR(VLOOKUP(C1086,Customers!$A:$E,3,FALSE),"")</f>
        <v>50</v>
      </c>
      <c r="O1086" s="33" t="str">
        <f>IFERROR(VLOOKUP(E1086,Sales_Reps!$A:$C,3,FALSE),"")</f>
        <v>West</v>
      </c>
      <c r="P1086" s="33">
        <f>IFERROR(VLOOKUP(D1086,Products!$A:$D,4,FALSE),"")</f>
        <v>2028</v>
      </c>
      <c r="Q1086" s="33">
        <f t="shared" si="16"/>
        <v>0.29090909090909089</v>
      </c>
    </row>
    <row r="1087" spans="1:17" x14ac:dyDescent="0.3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  <c r="L1087" t="str">
        <f>IFERROR(VLOOKUP(D1087,Products!$A:$C,3,FALSE),"")</f>
        <v>Grocery</v>
      </c>
      <c r="M1087" t="str">
        <f>IFERROR(VLOOKUP(C1087,Customers!$A:$E,5,FALSE),"")</f>
        <v>Corporate</v>
      </c>
      <c r="N1087">
        <f>IFERROR(VLOOKUP(C1087,Customers!$A:$E,3,FALSE),"")</f>
        <v>46</v>
      </c>
      <c r="O1087" s="33" t="str">
        <f>IFERROR(VLOOKUP(E1087,Sales_Reps!$A:$C,3,FALSE),"")</f>
        <v>South</v>
      </c>
      <c r="P1087" s="33">
        <f>IFERROR(VLOOKUP(D1087,Products!$A:$D,4,FALSE),"")</f>
        <v>1203</v>
      </c>
      <c r="Q1087" s="33">
        <f t="shared" si="16"/>
        <v>0.47004405286343615</v>
      </c>
    </row>
    <row r="1088" spans="1:17" x14ac:dyDescent="0.3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  <c r="L1088" t="str">
        <f>IFERROR(VLOOKUP(D1088,Products!$A:$C,3,FALSE),"")</f>
        <v>Apparel</v>
      </c>
      <c r="M1088" t="str">
        <f>IFERROR(VLOOKUP(C1088,Customers!$A:$E,5,FALSE),"")</f>
        <v>Retail</v>
      </c>
      <c r="N1088">
        <f>IFERROR(VLOOKUP(C1088,Customers!$A:$E,3,FALSE),"")</f>
        <v>49</v>
      </c>
      <c r="O1088" s="33" t="str">
        <f>IFERROR(VLOOKUP(E1088,Sales_Reps!$A:$C,3,FALSE),"")</f>
        <v>West</v>
      </c>
      <c r="P1088" s="33">
        <f>IFERROR(VLOOKUP(D1088,Products!$A:$D,4,FALSE),"")</f>
        <v>1962</v>
      </c>
      <c r="Q1088" s="33">
        <f t="shared" si="16"/>
        <v>0.2786764705882353</v>
      </c>
    </row>
    <row r="1089" spans="1:17" x14ac:dyDescent="0.3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  <c r="L1089" t="str">
        <f>IFERROR(VLOOKUP(D1089,Products!$A:$C,3,FALSE),"")</f>
        <v>Electronics</v>
      </c>
      <c r="M1089" t="str">
        <f>IFERROR(VLOOKUP(C1089,Customers!$A:$E,5,FALSE),"")</f>
        <v>Corporate</v>
      </c>
      <c r="N1089">
        <f>IFERROR(VLOOKUP(C1089,Customers!$A:$E,3,FALSE),"")</f>
        <v>55</v>
      </c>
      <c r="O1089" s="33" t="str">
        <f>IFERROR(VLOOKUP(E1089,Sales_Reps!$A:$C,3,FALSE),"")</f>
        <v>North</v>
      </c>
      <c r="P1089" s="33">
        <f>IFERROR(VLOOKUP(D1089,Products!$A:$D,4,FALSE),"")</f>
        <v>1559</v>
      </c>
      <c r="Q1089" s="33">
        <f t="shared" si="16"/>
        <v>0.59715762273901807</v>
      </c>
    </row>
    <row r="1090" spans="1:17" x14ac:dyDescent="0.3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  <c r="L1090" t="str">
        <f>IFERROR(VLOOKUP(D1090,Products!$A:$C,3,FALSE),"")</f>
        <v>Apparel</v>
      </c>
      <c r="M1090" t="str">
        <f>IFERROR(VLOOKUP(C1090,Customers!$A:$E,5,FALSE),"")</f>
        <v>Corporate</v>
      </c>
      <c r="N1090">
        <f>IFERROR(VLOOKUP(C1090,Customers!$A:$E,3,FALSE),"")</f>
        <v>60</v>
      </c>
      <c r="O1090" s="33" t="str">
        <f>IFERROR(VLOOKUP(E1090,Sales_Reps!$A:$C,3,FALSE),"")</f>
        <v>East</v>
      </c>
      <c r="P1090" s="33">
        <f>IFERROR(VLOOKUP(D1090,Products!$A:$D,4,FALSE),"")</f>
        <v>1748</v>
      </c>
      <c r="Q1090" s="33">
        <f t="shared" si="16"/>
        <v>0.49333333333333335</v>
      </c>
    </row>
    <row r="1091" spans="1:17" x14ac:dyDescent="0.3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  <c r="L1091" t="str">
        <f>IFERROR(VLOOKUP(D1091,Products!$A:$C,3,FALSE),"")</f>
        <v>Sports</v>
      </c>
      <c r="M1091" t="str">
        <f>IFERROR(VLOOKUP(C1091,Customers!$A:$E,5,FALSE),"")</f>
        <v>Retail</v>
      </c>
      <c r="N1091">
        <f>IFERROR(VLOOKUP(C1091,Customers!$A:$E,3,FALSE),"")</f>
        <v>40</v>
      </c>
      <c r="O1091" s="33" t="str">
        <f>IFERROR(VLOOKUP(E1091,Sales_Reps!$A:$C,3,FALSE),"")</f>
        <v>North</v>
      </c>
      <c r="P1091" s="33">
        <f>IFERROR(VLOOKUP(D1091,Products!$A:$D,4,FALSE),"")</f>
        <v>302</v>
      </c>
      <c r="Q1091" s="33">
        <f t="shared" ref="Q1091:Q1154" si="17">IFERROR((G1091-P1091)/G1091,"")</f>
        <v>0.35744680851063831</v>
      </c>
    </row>
    <row r="1092" spans="1:17" x14ac:dyDescent="0.3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  <c r="L1092" t="str">
        <f>IFERROR(VLOOKUP(D1092,Products!$A:$C,3,FALSE),"")</f>
        <v>Electronics</v>
      </c>
      <c r="M1092" t="str">
        <f>IFERROR(VLOOKUP(C1092,Customers!$A:$E,5,FALSE),"")</f>
        <v>Retail</v>
      </c>
      <c r="N1092">
        <f>IFERROR(VLOOKUP(C1092,Customers!$A:$E,3,FALSE),"")</f>
        <v>28</v>
      </c>
      <c r="O1092" s="33" t="str">
        <f>IFERROR(VLOOKUP(E1092,Sales_Reps!$A:$C,3,FALSE),"")</f>
        <v>South</v>
      </c>
      <c r="P1092" s="33">
        <f>IFERROR(VLOOKUP(D1092,Products!$A:$D,4,FALSE),"")</f>
        <v>2865</v>
      </c>
      <c r="Q1092" s="33">
        <f t="shared" si="17"/>
        <v>0.27833753148614609</v>
      </c>
    </row>
    <row r="1093" spans="1:17" x14ac:dyDescent="0.3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  <c r="L1093" t="str">
        <f>IFERROR(VLOOKUP(D1093,Products!$A:$C,3,FALSE),"")</f>
        <v>Beauty</v>
      </c>
      <c r="M1093" t="str">
        <f>IFERROR(VLOOKUP(C1093,Customers!$A:$E,5,FALSE),"")</f>
        <v>SMB</v>
      </c>
      <c r="N1093">
        <f>IFERROR(VLOOKUP(C1093,Customers!$A:$E,3,FALSE),"")</f>
        <v>44</v>
      </c>
      <c r="O1093" s="33" t="str">
        <f>IFERROR(VLOOKUP(E1093,Sales_Reps!$A:$C,3,FALSE),"")</f>
        <v>South</v>
      </c>
      <c r="P1093" s="33">
        <f>IFERROR(VLOOKUP(D1093,Products!$A:$D,4,FALSE),"")</f>
        <v>2237</v>
      </c>
      <c r="Q1093" s="33">
        <f t="shared" si="17"/>
        <v>0.56137254901960787</v>
      </c>
    </row>
    <row r="1094" spans="1:17" x14ac:dyDescent="0.3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  <c r="L1094" t="str">
        <f>IFERROR(VLOOKUP(D1094,Products!$A:$C,3,FALSE),"")</f>
        <v>Beauty</v>
      </c>
      <c r="M1094" t="str">
        <f>IFERROR(VLOOKUP(C1094,Customers!$A:$E,5,FALSE),"")</f>
        <v>Retail</v>
      </c>
      <c r="N1094">
        <f>IFERROR(VLOOKUP(C1094,Customers!$A:$E,3,FALSE),"")</f>
        <v>57</v>
      </c>
      <c r="O1094" s="33" t="str">
        <f>IFERROR(VLOOKUP(E1094,Sales_Reps!$A:$C,3,FALSE),"")</f>
        <v>North</v>
      </c>
      <c r="P1094" s="33">
        <f>IFERROR(VLOOKUP(D1094,Products!$A:$D,4,FALSE),"")</f>
        <v>2420</v>
      </c>
      <c r="Q1094" s="33">
        <f t="shared" si="17"/>
        <v>0.29855072463768118</v>
      </c>
    </row>
    <row r="1095" spans="1:17" x14ac:dyDescent="0.3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  <c r="L1095" t="str">
        <f>IFERROR(VLOOKUP(D1095,Products!$A:$C,3,FALSE),"")</f>
        <v>Home</v>
      </c>
      <c r="M1095" t="str">
        <f>IFERROR(VLOOKUP(C1095,Customers!$A:$E,5,FALSE),"")</f>
        <v>Retail</v>
      </c>
      <c r="N1095">
        <f>IFERROR(VLOOKUP(C1095,Customers!$A:$E,3,FALSE),"")</f>
        <v>26</v>
      </c>
      <c r="O1095" s="33" t="str">
        <f>IFERROR(VLOOKUP(E1095,Sales_Reps!$A:$C,3,FALSE),"")</f>
        <v>South</v>
      </c>
      <c r="P1095" s="33">
        <f>IFERROR(VLOOKUP(D1095,Products!$A:$D,4,FALSE),"")</f>
        <v>2135</v>
      </c>
      <c r="Q1095" s="33">
        <f t="shared" si="17"/>
        <v>0.42761394101876676</v>
      </c>
    </row>
    <row r="1096" spans="1:17" x14ac:dyDescent="0.3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  <c r="L1096" t="str">
        <f>IFERROR(VLOOKUP(D1096,Products!$A:$C,3,FALSE),"")</f>
        <v>Beauty</v>
      </c>
      <c r="M1096" t="str">
        <f>IFERROR(VLOOKUP(C1096,Customers!$A:$E,5,FALSE),"")</f>
        <v>Corporate</v>
      </c>
      <c r="N1096">
        <f>IFERROR(VLOOKUP(C1096,Customers!$A:$E,3,FALSE),"")</f>
        <v>60</v>
      </c>
      <c r="O1096" s="33" t="str">
        <f>IFERROR(VLOOKUP(E1096,Sales_Reps!$A:$C,3,FALSE),"")</f>
        <v>East</v>
      </c>
      <c r="P1096" s="33">
        <f>IFERROR(VLOOKUP(D1096,Products!$A:$D,4,FALSE),"")</f>
        <v>675</v>
      </c>
      <c r="Q1096" s="33">
        <f t="shared" si="17"/>
        <v>0.296875</v>
      </c>
    </row>
    <row r="1097" spans="1:17" x14ac:dyDescent="0.3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  <c r="L1097" t="str">
        <f>IFERROR(VLOOKUP(D1097,Products!$A:$C,3,FALSE),"")</f>
        <v>Home</v>
      </c>
      <c r="M1097" t="str">
        <f>IFERROR(VLOOKUP(C1097,Customers!$A:$E,5,FALSE),"")</f>
        <v>SMB</v>
      </c>
      <c r="N1097">
        <f>IFERROR(VLOOKUP(C1097,Customers!$A:$E,3,FALSE),"")</f>
        <v>29</v>
      </c>
      <c r="O1097" s="33" t="str">
        <f>IFERROR(VLOOKUP(E1097,Sales_Reps!$A:$C,3,FALSE),"")</f>
        <v>North</v>
      </c>
      <c r="P1097" s="33">
        <f>IFERROR(VLOOKUP(D1097,Products!$A:$D,4,FALSE),"")</f>
        <v>2459</v>
      </c>
      <c r="Q1097" s="33">
        <f t="shared" si="17"/>
        <v>0.51594488188976373</v>
      </c>
    </row>
    <row r="1098" spans="1:17" x14ac:dyDescent="0.3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  <c r="L1098" t="str">
        <f>IFERROR(VLOOKUP(D1098,Products!$A:$C,3,FALSE),"")</f>
        <v>Electronics</v>
      </c>
      <c r="M1098" t="str">
        <f>IFERROR(VLOOKUP(C1098,Customers!$A:$E,5,FALSE),"")</f>
        <v>Retail</v>
      </c>
      <c r="N1098">
        <f>IFERROR(VLOOKUP(C1098,Customers!$A:$E,3,FALSE),"")</f>
        <v>65</v>
      </c>
      <c r="O1098" s="33" t="str">
        <f>IFERROR(VLOOKUP(E1098,Sales_Reps!$A:$C,3,FALSE),"")</f>
        <v>North</v>
      </c>
      <c r="P1098" s="33">
        <f>IFERROR(VLOOKUP(D1098,Products!$A:$D,4,FALSE),"")</f>
        <v>1559</v>
      </c>
      <c r="Q1098" s="33">
        <f t="shared" si="17"/>
        <v>0.59715762273901807</v>
      </c>
    </row>
    <row r="1099" spans="1:17" x14ac:dyDescent="0.3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  <c r="L1099" t="str">
        <f>IFERROR(VLOOKUP(D1099,Products!$A:$C,3,FALSE),"")</f>
        <v>Sports</v>
      </c>
      <c r="M1099" t="str">
        <f>IFERROR(VLOOKUP(C1099,Customers!$A:$E,5,FALSE),"")</f>
        <v>Corporate</v>
      </c>
      <c r="N1099">
        <f>IFERROR(VLOOKUP(C1099,Customers!$A:$E,3,FALSE),"")</f>
        <v>48</v>
      </c>
      <c r="O1099" s="33" t="str">
        <f>IFERROR(VLOOKUP(E1099,Sales_Reps!$A:$C,3,FALSE),"")</f>
        <v>West</v>
      </c>
      <c r="P1099" s="33">
        <f>IFERROR(VLOOKUP(D1099,Products!$A:$D,4,FALSE),"")</f>
        <v>1860</v>
      </c>
      <c r="Q1099" s="33">
        <f t="shared" si="17"/>
        <v>0.50793650793650791</v>
      </c>
    </row>
    <row r="1100" spans="1:17" x14ac:dyDescent="0.3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  <c r="L1100" t="str">
        <f>IFERROR(VLOOKUP(D1100,Products!$A:$C,3,FALSE),"")</f>
        <v>Electronics</v>
      </c>
      <c r="M1100" t="str">
        <f>IFERROR(VLOOKUP(C1100,Customers!$A:$E,5,FALSE),"")</f>
        <v>Retail</v>
      </c>
      <c r="N1100">
        <f>IFERROR(VLOOKUP(C1100,Customers!$A:$E,3,FALSE),"")</f>
        <v>27</v>
      </c>
      <c r="O1100" s="33" t="str">
        <f>IFERROR(VLOOKUP(E1100,Sales_Reps!$A:$C,3,FALSE),"")</f>
        <v>East</v>
      </c>
      <c r="P1100" s="33">
        <f>IFERROR(VLOOKUP(D1100,Products!$A:$D,4,FALSE),"")</f>
        <v>1559</v>
      </c>
      <c r="Q1100" s="33">
        <f t="shared" si="17"/>
        <v>0.59715762273901807</v>
      </c>
    </row>
    <row r="1101" spans="1:17" x14ac:dyDescent="0.3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  <c r="L1101" t="str">
        <f>IFERROR(VLOOKUP(D1101,Products!$A:$C,3,FALSE),"")</f>
        <v>Home</v>
      </c>
      <c r="M1101" t="str">
        <f>IFERROR(VLOOKUP(C1101,Customers!$A:$E,5,FALSE),"")</f>
        <v>SMB</v>
      </c>
      <c r="N1101">
        <f>IFERROR(VLOOKUP(C1101,Customers!$A:$E,3,FALSE),"")</f>
        <v>29</v>
      </c>
      <c r="O1101" s="33" t="str">
        <f>IFERROR(VLOOKUP(E1101,Sales_Reps!$A:$C,3,FALSE),"")</f>
        <v>South</v>
      </c>
      <c r="P1101" s="33">
        <f>IFERROR(VLOOKUP(D1101,Products!$A:$D,4,FALSE),"")</f>
        <v>1143</v>
      </c>
      <c r="Q1101" s="33">
        <f t="shared" si="17"/>
        <v>0.43694581280788175</v>
      </c>
    </row>
    <row r="1102" spans="1:17" x14ac:dyDescent="0.3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  <c r="L1102" t="str">
        <f>IFERROR(VLOOKUP(D1102,Products!$A:$C,3,FALSE),"")</f>
        <v>Grocery</v>
      </c>
      <c r="M1102" t="str">
        <f>IFERROR(VLOOKUP(C1102,Customers!$A:$E,5,FALSE),"")</f>
        <v>SMB</v>
      </c>
      <c r="N1102">
        <f>IFERROR(VLOOKUP(C1102,Customers!$A:$E,3,FALSE),"")</f>
        <v>48</v>
      </c>
      <c r="O1102" s="33" t="str">
        <f>IFERROR(VLOOKUP(E1102,Sales_Reps!$A:$C,3,FALSE),"")</f>
        <v>North</v>
      </c>
      <c r="P1102" s="33">
        <f>IFERROR(VLOOKUP(D1102,Products!$A:$D,4,FALSE),"")</f>
        <v>1010</v>
      </c>
      <c r="Q1102" s="33">
        <f t="shared" si="17"/>
        <v>0.54298642533936647</v>
      </c>
    </row>
    <row r="1103" spans="1:17" x14ac:dyDescent="0.3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  <c r="L1103" t="str">
        <f>IFERROR(VLOOKUP(D1103,Products!$A:$C,3,FALSE),"")</f>
        <v>Beauty</v>
      </c>
      <c r="M1103" t="str">
        <f>IFERROR(VLOOKUP(C1103,Customers!$A:$E,5,FALSE),"")</f>
        <v>Corporate</v>
      </c>
      <c r="N1103">
        <f>IFERROR(VLOOKUP(C1103,Customers!$A:$E,3,FALSE),"")</f>
        <v>44</v>
      </c>
      <c r="O1103" s="33" t="str">
        <f>IFERROR(VLOOKUP(E1103,Sales_Reps!$A:$C,3,FALSE),"")</f>
        <v>East</v>
      </c>
      <c r="P1103" s="33">
        <f>IFERROR(VLOOKUP(D1103,Products!$A:$D,4,FALSE),"")</f>
        <v>647</v>
      </c>
      <c r="Q1103" s="33">
        <f t="shared" si="17"/>
        <v>0.57987012987012987</v>
      </c>
    </row>
    <row r="1104" spans="1:17" x14ac:dyDescent="0.3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  <c r="L1104" t="str">
        <f>IFERROR(VLOOKUP(D1104,Products!$A:$C,3,FALSE),"")</f>
        <v>Sports</v>
      </c>
      <c r="M1104" t="str">
        <f>IFERROR(VLOOKUP(C1104,Customers!$A:$E,5,FALSE),"")</f>
        <v>Retail</v>
      </c>
      <c r="N1104">
        <f>IFERROR(VLOOKUP(C1104,Customers!$A:$E,3,FALSE),"")</f>
        <v>43</v>
      </c>
      <c r="O1104" s="33" t="str">
        <f>IFERROR(VLOOKUP(E1104,Sales_Reps!$A:$C,3,FALSE),"")</f>
        <v>South</v>
      </c>
      <c r="P1104" s="33">
        <f>IFERROR(VLOOKUP(D1104,Products!$A:$D,4,FALSE),"")</f>
        <v>516</v>
      </c>
      <c r="Q1104" s="33">
        <f t="shared" si="17"/>
        <v>0.4891089108910891</v>
      </c>
    </row>
    <row r="1105" spans="1:17" x14ac:dyDescent="0.3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  <c r="L1105" t="str">
        <f>IFERROR(VLOOKUP(D1105,Products!$A:$C,3,FALSE),"")</f>
        <v>Electronics</v>
      </c>
      <c r="M1105" t="str">
        <f>IFERROR(VLOOKUP(C1105,Customers!$A:$E,5,FALSE),"")</f>
        <v>SMB</v>
      </c>
      <c r="N1105">
        <f>IFERROR(VLOOKUP(C1105,Customers!$A:$E,3,FALSE),"")</f>
        <v>35</v>
      </c>
      <c r="O1105" s="33" t="str">
        <f>IFERROR(VLOOKUP(E1105,Sales_Reps!$A:$C,3,FALSE),"")</f>
        <v>South</v>
      </c>
      <c r="P1105" s="33">
        <f>IFERROR(VLOOKUP(D1105,Products!$A:$D,4,FALSE),"")</f>
        <v>2405</v>
      </c>
      <c r="Q1105" s="33">
        <f t="shared" si="17"/>
        <v>0.54878048780487809</v>
      </c>
    </row>
    <row r="1106" spans="1:17" x14ac:dyDescent="0.3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  <c r="L1106" t="str">
        <f>IFERROR(VLOOKUP(D1106,Products!$A:$C,3,FALSE),"")</f>
        <v>Electronics</v>
      </c>
      <c r="M1106" t="str">
        <f>IFERROR(VLOOKUP(C1106,Customers!$A:$E,5,FALSE),"")</f>
        <v>Corporate</v>
      </c>
      <c r="N1106">
        <f>IFERROR(VLOOKUP(C1106,Customers!$A:$E,3,FALSE),"")</f>
        <v>24</v>
      </c>
      <c r="O1106" s="33" t="str">
        <f>IFERROR(VLOOKUP(E1106,Sales_Reps!$A:$C,3,FALSE),"")</f>
        <v>East</v>
      </c>
      <c r="P1106" s="33">
        <f>IFERROR(VLOOKUP(D1106,Products!$A:$D,4,FALSE),"")</f>
        <v>1665</v>
      </c>
      <c r="Q1106" s="33">
        <f t="shared" si="17"/>
        <v>0.53361344537815125</v>
      </c>
    </row>
    <row r="1107" spans="1:17" x14ac:dyDescent="0.3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  <c r="L1107" t="str">
        <f>IFERROR(VLOOKUP(D1107,Products!$A:$C,3,FALSE),"")</f>
        <v>Beauty</v>
      </c>
      <c r="M1107" t="str">
        <f>IFERROR(VLOOKUP(C1107,Customers!$A:$E,5,FALSE),"")</f>
        <v>SMB</v>
      </c>
      <c r="N1107">
        <f>IFERROR(VLOOKUP(C1107,Customers!$A:$E,3,FALSE),"")</f>
        <v>62</v>
      </c>
      <c r="O1107" s="33" t="str">
        <f>IFERROR(VLOOKUP(E1107,Sales_Reps!$A:$C,3,FALSE),"")</f>
        <v>East</v>
      </c>
      <c r="P1107" s="33">
        <f>IFERROR(VLOOKUP(D1107,Products!$A:$D,4,FALSE),"")</f>
        <v>1728</v>
      </c>
      <c r="Q1107" s="33">
        <f t="shared" si="17"/>
        <v>0.48417910447761192</v>
      </c>
    </row>
    <row r="1108" spans="1:17" x14ac:dyDescent="0.3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  <c r="L1108" t="str">
        <f>IFERROR(VLOOKUP(D1108,Products!$A:$C,3,FALSE),"")</f>
        <v>Apparel</v>
      </c>
      <c r="M1108" t="str">
        <f>IFERROR(VLOOKUP(C1108,Customers!$A:$E,5,FALSE),"")</f>
        <v>Retail</v>
      </c>
      <c r="N1108">
        <f>IFERROR(VLOOKUP(C1108,Customers!$A:$E,3,FALSE),"")</f>
        <v>53</v>
      </c>
      <c r="O1108" s="33" t="str">
        <f>IFERROR(VLOOKUP(E1108,Sales_Reps!$A:$C,3,FALSE),"")</f>
        <v>East</v>
      </c>
      <c r="P1108" s="33">
        <f>IFERROR(VLOOKUP(D1108,Products!$A:$D,4,FALSE),"")</f>
        <v>1075</v>
      </c>
      <c r="Q1108" s="33">
        <f t="shared" si="17"/>
        <v>0.57171314741035861</v>
      </c>
    </row>
    <row r="1109" spans="1:17" x14ac:dyDescent="0.3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  <c r="L1109" t="str">
        <f>IFERROR(VLOOKUP(D1109,Products!$A:$C,3,FALSE),"")</f>
        <v>Grocery</v>
      </c>
      <c r="M1109" t="str">
        <f>IFERROR(VLOOKUP(C1109,Customers!$A:$E,5,FALSE),"")</f>
        <v>Retail</v>
      </c>
      <c r="N1109">
        <f>IFERROR(VLOOKUP(C1109,Customers!$A:$E,3,FALSE),"")</f>
        <v>54</v>
      </c>
      <c r="O1109" s="33" t="str">
        <f>IFERROR(VLOOKUP(E1109,Sales_Reps!$A:$C,3,FALSE),"")</f>
        <v>West</v>
      </c>
      <c r="P1109" s="33">
        <f>IFERROR(VLOOKUP(D1109,Products!$A:$D,4,FALSE),"")</f>
        <v>434</v>
      </c>
      <c r="Q1109" s="33">
        <f t="shared" si="17"/>
        <v>0.5525773195876289</v>
      </c>
    </row>
    <row r="1110" spans="1:17" x14ac:dyDescent="0.3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  <c r="L1110" t="str">
        <f>IFERROR(VLOOKUP(D1110,Products!$A:$C,3,FALSE),"")</f>
        <v>Grocery</v>
      </c>
      <c r="M1110" t="str">
        <f>IFERROR(VLOOKUP(C1110,Customers!$A:$E,5,FALSE),"")</f>
        <v>SMB</v>
      </c>
      <c r="N1110">
        <f>IFERROR(VLOOKUP(C1110,Customers!$A:$E,3,FALSE),"")</f>
        <v>64</v>
      </c>
      <c r="O1110" s="33" t="str">
        <f>IFERROR(VLOOKUP(E1110,Sales_Reps!$A:$C,3,FALSE),"")</f>
        <v>North</v>
      </c>
      <c r="P1110" s="33">
        <f>IFERROR(VLOOKUP(D1110,Products!$A:$D,4,FALSE),"")</f>
        <v>2436</v>
      </c>
      <c r="Q1110" s="33">
        <f t="shared" si="17"/>
        <v>0.35555555555555557</v>
      </c>
    </row>
    <row r="1111" spans="1:17" x14ac:dyDescent="0.3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  <c r="L1111" t="str">
        <f>IFERROR(VLOOKUP(D1111,Products!$A:$C,3,FALSE),"")</f>
        <v>Apparel</v>
      </c>
      <c r="M1111" t="str">
        <f>IFERROR(VLOOKUP(C1111,Customers!$A:$E,5,FALSE),"")</f>
        <v>SMB</v>
      </c>
      <c r="N1111">
        <f>IFERROR(VLOOKUP(C1111,Customers!$A:$E,3,FALSE),"")</f>
        <v>35</v>
      </c>
      <c r="O1111" s="33" t="str">
        <f>IFERROR(VLOOKUP(E1111,Sales_Reps!$A:$C,3,FALSE),"")</f>
        <v>North</v>
      </c>
      <c r="P1111" s="33">
        <f>IFERROR(VLOOKUP(D1111,Products!$A:$D,4,FALSE),"")</f>
        <v>1075</v>
      </c>
      <c r="Q1111" s="33">
        <f t="shared" si="17"/>
        <v>0.57171314741035861</v>
      </c>
    </row>
    <row r="1112" spans="1:17" x14ac:dyDescent="0.3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  <c r="L1112" t="str">
        <f>IFERROR(VLOOKUP(D1112,Products!$A:$C,3,FALSE),"")</f>
        <v>Home</v>
      </c>
      <c r="M1112" t="str">
        <f>IFERROR(VLOOKUP(C1112,Customers!$A:$E,5,FALSE),"")</f>
        <v>Retail</v>
      </c>
      <c r="N1112">
        <f>IFERROR(VLOOKUP(C1112,Customers!$A:$E,3,FALSE),"")</f>
        <v>34</v>
      </c>
      <c r="O1112" s="33" t="str">
        <f>IFERROR(VLOOKUP(E1112,Sales_Reps!$A:$C,3,FALSE),"")</f>
        <v>North</v>
      </c>
      <c r="P1112" s="33">
        <f>IFERROR(VLOOKUP(D1112,Products!$A:$D,4,FALSE),"")</f>
        <v>1143</v>
      </c>
      <c r="Q1112" s="33">
        <f t="shared" si="17"/>
        <v>0.43694581280788175</v>
      </c>
    </row>
    <row r="1113" spans="1:17" x14ac:dyDescent="0.3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  <c r="L1113" t="str">
        <f>IFERROR(VLOOKUP(D1113,Products!$A:$C,3,FALSE),"")</f>
        <v>Sports</v>
      </c>
      <c r="M1113" t="str">
        <f>IFERROR(VLOOKUP(C1113,Customers!$A:$E,5,FALSE),"")</f>
        <v>Retail</v>
      </c>
      <c r="N1113">
        <f>IFERROR(VLOOKUP(C1113,Customers!$A:$E,3,FALSE),"")</f>
        <v>40</v>
      </c>
      <c r="O1113" s="33" t="str">
        <f>IFERROR(VLOOKUP(E1113,Sales_Reps!$A:$C,3,FALSE),"")</f>
        <v>South</v>
      </c>
      <c r="P1113" s="33">
        <f>IFERROR(VLOOKUP(D1113,Products!$A:$D,4,FALSE),"")</f>
        <v>147</v>
      </c>
      <c r="Q1113" s="33">
        <f t="shared" si="17"/>
        <v>0.22631578947368422</v>
      </c>
    </row>
    <row r="1114" spans="1:17" x14ac:dyDescent="0.3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  <c r="L1114" t="str">
        <f>IFERROR(VLOOKUP(D1114,Products!$A:$C,3,FALSE),"")</f>
        <v>Grocery</v>
      </c>
      <c r="M1114" t="str">
        <f>IFERROR(VLOOKUP(C1114,Customers!$A:$E,5,FALSE),"")</f>
        <v>Corporate</v>
      </c>
      <c r="N1114">
        <f>IFERROR(VLOOKUP(C1114,Customers!$A:$E,3,FALSE),"")</f>
        <v>38</v>
      </c>
      <c r="O1114" s="33" t="str">
        <f>IFERROR(VLOOKUP(E1114,Sales_Reps!$A:$C,3,FALSE),"")</f>
        <v>East</v>
      </c>
      <c r="P1114" s="33">
        <f>IFERROR(VLOOKUP(D1114,Products!$A:$D,4,FALSE),"")</f>
        <v>1010</v>
      </c>
      <c r="Q1114" s="33">
        <f t="shared" si="17"/>
        <v>0.54298642533936647</v>
      </c>
    </row>
    <row r="1115" spans="1:17" x14ac:dyDescent="0.3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  <c r="L1115" t="str">
        <f>IFERROR(VLOOKUP(D1115,Products!$A:$C,3,FALSE),"")</f>
        <v>Apparel</v>
      </c>
      <c r="M1115" t="str">
        <f>IFERROR(VLOOKUP(C1115,Customers!$A:$E,5,FALSE),"")</f>
        <v>Retail</v>
      </c>
      <c r="N1115">
        <f>IFERROR(VLOOKUP(C1115,Customers!$A:$E,3,FALSE),"")</f>
        <v>44</v>
      </c>
      <c r="O1115" s="33" t="str">
        <f>IFERROR(VLOOKUP(E1115,Sales_Reps!$A:$C,3,FALSE),"")</f>
        <v>North</v>
      </c>
      <c r="P1115" s="33">
        <f>IFERROR(VLOOKUP(D1115,Products!$A:$D,4,FALSE),"")</f>
        <v>2611</v>
      </c>
      <c r="Q1115" s="33">
        <f t="shared" si="17"/>
        <v>0.28269230769230769</v>
      </c>
    </row>
    <row r="1116" spans="1:17" x14ac:dyDescent="0.3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  <c r="L1116" t="str">
        <f>IFERROR(VLOOKUP(D1116,Products!$A:$C,3,FALSE),"")</f>
        <v>Electronics</v>
      </c>
      <c r="M1116" t="str">
        <f>IFERROR(VLOOKUP(C1116,Customers!$A:$E,5,FALSE),"")</f>
        <v>Retail</v>
      </c>
      <c r="N1116">
        <f>IFERROR(VLOOKUP(C1116,Customers!$A:$E,3,FALSE),"")</f>
        <v>35</v>
      </c>
      <c r="O1116" s="33" t="str">
        <f>IFERROR(VLOOKUP(E1116,Sales_Reps!$A:$C,3,FALSE),"")</f>
        <v>South</v>
      </c>
      <c r="P1116" s="33">
        <f>IFERROR(VLOOKUP(D1116,Products!$A:$D,4,FALSE),"")</f>
        <v>517</v>
      </c>
      <c r="Q1116" s="33">
        <f t="shared" si="17"/>
        <v>0.57622950819672136</v>
      </c>
    </row>
    <row r="1117" spans="1:17" x14ac:dyDescent="0.3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  <c r="L1117" t="str">
        <f>IFERROR(VLOOKUP(D1117,Products!$A:$C,3,FALSE),"")</f>
        <v>Sports</v>
      </c>
      <c r="M1117" t="str">
        <f>IFERROR(VLOOKUP(C1117,Customers!$A:$E,5,FALSE),"")</f>
        <v>Retail</v>
      </c>
      <c r="N1117">
        <f>IFERROR(VLOOKUP(C1117,Customers!$A:$E,3,FALSE),"")</f>
        <v>26</v>
      </c>
      <c r="O1117" s="33" t="str">
        <f>IFERROR(VLOOKUP(E1117,Sales_Reps!$A:$C,3,FALSE),"")</f>
        <v>South</v>
      </c>
      <c r="P1117" s="33">
        <f>IFERROR(VLOOKUP(D1117,Products!$A:$D,4,FALSE),"")</f>
        <v>2827</v>
      </c>
      <c r="Q1117" s="33">
        <f t="shared" si="17"/>
        <v>0.5926512968299712</v>
      </c>
    </row>
    <row r="1118" spans="1:17" x14ac:dyDescent="0.3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  <c r="L1118" t="str">
        <f>IFERROR(VLOOKUP(D1118,Products!$A:$C,3,FALSE),"")</f>
        <v>Sports</v>
      </c>
      <c r="M1118" t="str">
        <f>IFERROR(VLOOKUP(C1118,Customers!$A:$E,5,FALSE),"")</f>
        <v>SMB</v>
      </c>
      <c r="N1118">
        <f>IFERROR(VLOOKUP(C1118,Customers!$A:$E,3,FALSE),"")</f>
        <v>38</v>
      </c>
      <c r="O1118" s="33" t="str">
        <f>IFERROR(VLOOKUP(E1118,Sales_Reps!$A:$C,3,FALSE),"")</f>
        <v>South</v>
      </c>
      <c r="P1118" s="33">
        <f>IFERROR(VLOOKUP(D1118,Products!$A:$D,4,FALSE),"")</f>
        <v>2028</v>
      </c>
      <c r="Q1118" s="33">
        <f t="shared" si="17"/>
        <v>0.29090909090909089</v>
      </c>
    </row>
    <row r="1119" spans="1:17" x14ac:dyDescent="0.3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  <c r="L1119" t="str">
        <f>IFERROR(VLOOKUP(D1119,Products!$A:$C,3,FALSE),"")</f>
        <v>Apparel</v>
      </c>
      <c r="M1119" t="str">
        <f>IFERROR(VLOOKUP(C1119,Customers!$A:$E,5,FALSE),"")</f>
        <v>SMB</v>
      </c>
      <c r="N1119">
        <f>IFERROR(VLOOKUP(C1119,Customers!$A:$E,3,FALSE),"")</f>
        <v>52</v>
      </c>
      <c r="O1119" s="33" t="str">
        <f>IFERROR(VLOOKUP(E1119,Sales_Reps!$A:$C,3,FALSE),"")</f>
        <v>East</v>
      </c>
      <c r="P1119" s="33">
        <f>IFERROR(VLOOKUP(D1119,Products!$A:$D,4,FALSE),"")</f>
        <v>1962</v>
      </c>
      <c r="Q1119" s="33">
        <f t="shared" si="17"/>
        <v>0.2786764705882353</v>
      </c>
    </row>
    <row r="1120" spans="1:17" x14ac:dyDescent="0.3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  <c r="L1120" t="str">
        <f>IFERROR(VLOOKUP(D1120,Products!$A:$C,3,FALSE),"")</f>
        <v>Apparel</v>
      </c>
      <c r="M1120" t="str">
        <f>IFERROR(VLOOKUP(C1120,Customers!$A:$E,5,FALSE),"")</f>
        <v>Retail</v>
      </c>
      <c r="N1120">
        <f>IFERROR(VLOOKUP(C1120,Customers!$A:$E,3,FALSE),"")</f>
        <v>40</v>
      </c>
      <c r="O1120" s="33" t="str">
        <f>IFERROR(VLOOKUP(E1120,Sales_Reps!$A:$C,3,FALSE),"")</f>
        <v>North</v>
      </c>
      <c r="P1120" s="33">
        <f>IFERROR(VLOOKUP(D1120,Products!$A:$D,4,FALSE),"")</f>
        <v>391</v>
      </c>
      <c r="Q1120" s="33">
        <f t="shared" si="17"/>
        <v>0.52317073170731709</v>
      </c>
    </row>
    <row r="1121" spans="1:17" x14ac:dyDescent="0.3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  <c r="L1121" t="str">
        <f>IFERROR(VLOOKUP(D1121,Products!$A:$C,3,FALSE),"")</f>
        <v>Beauty</v>
      </c>
      <c r="M1121" t="str">
        <f>IFERROR(VLOOKUP(C1121,Customers!$A:$E,5,FALSE),"")</f>
        <v>SMB</v>
      </c>
      <c r="N1121">
        <f>IFERROR(VLOOKUP(C1121,Customers!$A:$E,3,FALSE),"")</f>
        <v>51</v>
      </c>
      <c r="O1121" s="33" t="str">
        <f>IFERROR(VLOOKUP(E1121,Sales_Reps!$A:$C,3,FALSE),"")</f>
        <v>East</v>
      </c>
      <c r="P1121" s="33">
        <f>IFERROR(VLOOKUP(D1121,Products!$A:$D,4,FALSE),"")</f>
        <v>1219</v>
      </c>
      <c r="Q1121" s="33">
        <f t="shared" si="17"/>
        <v>0.46768558951965067</v>
      </c>
    </row>
    <row r="1122" spans="1:17" x14ac:dyDescent="0.3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  <c r="L1122" t="str">
        <f>IFERROR(VLOOKUP(D1122,Products!$A:$C,3,FALSE),"")</f>
        <v>Beauty</v>
      </c>
      <c r="M1122" t="str">
        <f>IFERROR(VLOOKUP(C1122,Customers!$A:$E,5,FALSE),"")</f>
        <v>Retail</v>
      </c>
      <c r="N1122">
        <f>IFERROR(VLOOKUP(C1122,Customers!$A:$E,3,FALSE),"")</f>
        <v>28</v>
      </c>
      <c r="O1122" s="33" t="str">
        <f>IFERROR(VLOOKUP(E1122,Sales_Reps!$A:$C,3,FALSE),"")</f>
        <v>East</v>
      </c>
      <c r="P1122" s="33">
        <f>IFERROR(VLOOKUP(D1122,Products!$A:$D,4,FALSE),"")</f>
        <v>2420</v>
      </c>
      <c r="Q1122" s="33">
        <f t="shared" si="17"/>
        <v>0.29855072463768118</v>
      </c>
    </row>
    <row r="1123" spans="1:17" x14ac:dyDescent="0.3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  <c r="L1123" t="str">
        <f>IFERROR(VLOOKUP(D1123,Products!$A:$C,3,FALSE),"")</f>
        <v>Home</v>
      </c>
      <c r="M1123" t="str">
        <f>IFERROR(VLOOKUP(C1123,Customers!$A:$E,5,FALSE),"")</f>
        <v>Retail</v>
      </c>
      <c r="N1123">
        <f>IFERROR(VLOOKUP(C1123,Customers!$A:$E,3,FALSE),"")</f>
        <v>42</v>
      </c>
      <c r="O1123" s="33" t="str">
        <f>IFERROR(VLOOKUP(E1123,Sales_Reps!$A:$C,3,FALSE),"")</f>
        <v>North</v>
      </c>
      <c r="P1123" s="33">
        <f>IFERROR(VLOOKUP(D1123,Products!$A:$D,4,FALSE),"")</f>
        <v>1143</v>
      </c>
      <c r="Q1123" s="33">
        <f t="shared" si="17"/>
        <v>0.43694581280788175</v>
      </c>
    </row>
    <row r="1124" spans="1:17" x14ac:dyDescent="0.3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  <c r="L1124" t="str">
        <f>IFERROR(VLOOKUP(D1124,Products!$A:$C,3,FALSE),"")</f>
        <v>Sports</v>
      </c>
      <c r="M1124" t="str">
        <f>IFERROR(VLOOKUP(C1124,Customers!$A:$E,5,FALSE),"")</f>
        <v>SMB</v>
      </c>
      <c r="N1124">
        <f>IFERROR(VLOOKUP(C1124,Customers!$A:$E,3,FALSE),"")</f>
        <v>65</v>
      </c>
      <c r="O1124" s="33" t="str">
        <f>IFERROR(VLOOKUP(E1124,Sales_Reps!$A:$C,3,FALSE),"")</f>
        <v>East</v>
      </c>
      <c r="P1124" s="33">
        <f>IFERROR(VLOOKUP(D1124,Products!$A:$D,4,FALSE),"")</f>
        <v>974</v>
      </c>
      <c r="Q1124" s="33">
        <f t="shared" si="17"/>
        <v>0.59416666666666662</v>
      </c>
    </row>
    <row r="1125" spans="1:17" x14ac:dyDescent="0.3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  <c r="L1125" t="str">
        <f>IFERROR(VLOOKUP(D1125,Products!$A:$C,3,FALSE),"")</f>
        <v>Home</v>
      </c>
      <c r="M1125" t="str">
        <f>IFERROR(VLOOKUP(C1125,Customers!$A:$E,5,FALSE),"")</f>
        <v>SMB</v>
      </c>
      <c r="N1125">
        <f>IFERROR(VLOOKUP(C1125,Customers!$A:$E,3,FALSE),"")</f>
        <v>27</v>
      </c>
      <c r="O1125" s="33" t="str">
        <f>IFERROR(VLOOKUP(E1125,Sales_Reps!$A:$C,3,FALSE),"")</f>
        <v>South</v>
      </c>
      <c r="P1125" s="33">
        <f>IFERROR(VLOOKUP(D1125,Products!$A:$D,4,FALSE),"")</f>
        <v>1143</v>
      </c>
      <c r="Q1125" s="33">
        <f t="shared" si="17"/>
        <v>0.43694581280788175</v>
      </c>
    </row>
    <row r="1126" spans="1:17" x14ac:dyDescent="0.3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  <c r="L1126" t="str">
        <f>IFERROR(VLOOKUP(D1126,Products!$A:$C,3,FALSE),"")</f>
        <v>Grocery</v>
      </c>
      <c r="M1126" t="str">
        <f>IFERROR(VLOOKUP(C1126,Customers!$A:$E,5,FALSE),"")</f>
        <v>Corporate</v>
      </c>
      <c r="N1126">
        <f>IFERROR(VLOOKUP(C1126,Customers!$A:$E,3,FALSE),"")</f>
        <v>55</v>
      </c>
      <c r="O1126" s="33" t="str">
        <f>IFERROR(VLOOKUP(E1126,Sales_Reps!$A:$C,3,FALSE),"")</f>
        <v>North</v>
      </c>
      <c r="P1126" s="33">
        <f>IFERROR(VLOOKUP(D1126,Products!$A:$D,4,FALSE),"")</f>
        <v>2911</v>
      </c>
      <c r="Q1126" s="33">
        <f t="shared" si="17"/>
        <v>0.28300492610837441</v>
      </c>
    </row>
    <row r="1127" spans="1:17" x14ac:dyDescent="0.3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  <c r="L1127" t="str">
        <f>IFERROR(VLOOKUP(D1127,Products!$A:$C,3,FALSE),"")</f>
        <v>Home</v>
      </c>
      <c r="M1127" t="str">
        <f>IFERROR(VLOOKUP(C1127,Customers!$A:$E,5,FALSE),"")</f>
        <v>SMB</v>
      </c>
      <c r="N1127">
        <f>IFERROR(VLOOKUP(C1127,Customers!$A:$E,3,FALSE),"")</f>
        <v>53</v>
      </c>
      <c r="O1127" s="33" t="str">
        <f>IFERROR(VLOOKUP(E1127,Sales_Reps!$A:$C,3,FALSE),"")</f>
        <v>South</v>
      </c>
      <c r="P1127" s="33">
        <f>IFERROR(VLOOKUP(D1127,Products!$A:$D,4,FALSE),"")</f>
        <v>1143</v>
      </c>
      <c r="Q1127" s="33">
        <f t="shared" si="17"/>
        <v>0.43694581280788175</v>
      </c>
    </row>
    <row r="1128" spans="1:17" x14ac:dyDescent="0.3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  <c r="L1128" t="str">
        <f>IFERROR(VLOOKUP(D1128,Products!$A:$C,3,FALSE),"")</f>
        <v>Beauty</v>
      </c>
      <c r="M1128" t="str">
        <f>IFERROR(VLOOKUP(C1128,Customers!$A:$E,5,FALSE),"")</f>
        <v>Retail</v>
      </c>
      <c r="N1128">
        <f>IFERROR(VLOOKUP(C1128,Customers!$A:$E,3,FALSE),"")</f>
        <v>36</v>
      </c>
      <c r="O1128" s="33" t="str">
        <f>IFERROR(VLOOKUP(E1128,Sales_Reps!$A:$C,3,FALSE),"")</f>
        <v>South</v>
      </c>
      <c r="P1128" s="33">
        <f>IFERROR(VLOOKUP(D1128,Products!$A:$D,4,FALSE),"")</f>
        <v>1728</v>
      </c>
      <c r="Q1128" s="33">
        <f t="shared" si="17"/>
        <v>0.48417910447761192</v>
      </c>
    </row>
    <row r="1129" spans="1:17" x14ac:dyDescent="0.3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  <c r="L1129" t="str">
        <f>IFERROR(VLOOKUP(D1129,Products!$A:$C,3,FALSE),"")</f>
        <v>Home</v>
      </c>
      <c r="M1129" t="str">
        <f>IFERROR(VLOOKUP(C1129,Customers!$A:$E,5,FALSE),"")</f>
        <v>Corporate</v>
      </c>
      <c r="N1129">
        <f>IFERROR(VLOOKUP(C1129,Customers!$A:$E,3,FALSE),"")</f>
        <v>43</v>
      </c>
      <c r="O1129" s="33" t="str">
        <f>IFERROR(VLOOKUP(E1129,Sales_Reps!$A:$C,3,FALSE),"")</f>
        <v>North</v>
      </c>
      <c r="P1129" s="33">
        <f>IFERROR(VLOOKUP(D1129,Products!$A:$D,4,FALSE),"")</f>
        <v>329</v>
      </c>
      <c r="Q1129" s="33">
        <f t="shared" si="17"/>
        <v>0.50151515151515147</v>
      </c>
    </row>
    <row r="1130" spans="1:17" x14ac:dyDescent="0.3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  <c r="L1130" t="str">
        <f>IFERROR(VLOOKUP(D1130,Products!$A:$C,3,FALSE),"")</f>
        <v>Beauty</v>
      </c>
      <c r="M1130" t="str">
        <f>IFERROR(VLOOKUP(C1130,Customers!$A:$E,5,FALSE),"")</f>
        <v>Retail</v>
      </c>
      <c r="N1130">
        <f>IFERROR(VLOOKUP(C1130,Customers!$A:$E,3,FALSE),"")</f>
        <v>54</v>
      </c>
      <c r="O1130" s="33" t="str">
        <f>IFERROR(VLOOKUP(E1130,Sales_Reps!$A:$C,3,FALSE),"")</f>
        <v>South</v>
      </c>
      <c r="P1130" s="33">
        <f>IFERROR(VLOOKUP(D1130,Products!$A:$D,4,FALSE),"")</f>
        <v>1626</v>
      </c>
      <c r="Q1130" s="33">
        <f t="shared" si="17"/>
        <v>0.46158940397350995</v>
      </c>
    </row>
    <row r="1131" spans="1:17" x14ac:dyDescent="0.3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  <c r="L1131" t="str">
        <f>IFERROR(VLOOKUP(D1131,Products!$A:$C,3,FALSE),"")</f>
        <v>Electronics</v>
      </c>
      <c r="M1131" t="str">
        <f>IFERROR(VLOOKUP(C1131,Customers!$A:$E,5,FALSE),"")</f>
        <v>SMB</v>
      </c>
      <c r="N1131">
        <f>IFERROR(VLOOKUP(C1131,Customers!$A:$E,3,FALSE),"")</f>
        <v>61</v>
      </c>
      <c r="O1131" s="33" t="str">
        <f>IFERROR(VLOOKUP(E1131,Sales_Reps!$A:$C,3,FALSE),"")</f>
        <v>North</v>
      </c>
      <c r="P1131" s="33">
        <f>IFERROR(VLOOKUP(D1131,Products!$A:$D,4,FALSE),"")</f>
        <v>1259</v>
      </c>
      <c r="Q1131" s="33">
        <f t="shared" si="17"/>
        <v>0.52669172932330832</v>
      </c>
    </row>
    <row r="1132" spans="1:17" x14ac:dyDescent="0.3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  <c r="L1132" t="str">
        <f>IFERROR(VLOOKUP(D1132,Products!$A:$C,3,FALSE),"")</f>
        <v>Sports</v>
      </c>
      <c r="M1132" t="str">
        <f>IFERROR(VLOOKUP(C1132,Customers!$A:$E,5,FALSE),"")</f>
        <v>Retail</v>
      </c>
      <c r="N1132">
        <f>IFERROR(VLOOKUP(C1132,Customers!$A:$E,3,FALSE),"")</f>
        <v>49</v>
      </c>
      <c r="O1132" s="33" t="str">
        <f>IFERROR(VLOOKUP(E1132,Sales_Reps!$A:$C,3,FALSE),"")</f>
        <v>North</v>
      </c>
      <c r="P1132" s="33">
        <f>IFERROR(VLOOKUP(D1132,Products!$A:$D,4,FALSE),"")</f>
        <v>516</v>
      </c>
      <c r="Q1132" s="33">
        <f t="shared" si="17"/>
        <v>0.4891089108910891</v>
      </c>
    </row>
    <row r="1133" spans="1:17" x14ac:dyDescent="0.3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  <c r="L1133" t="str">
        <f>IFERROR(VLOOKUP(D1133,Products!$A:$C,3,FALSE),"")</f>
        <v>Home</v>
      </c>
      <c r="M1133" t="str">
        <f>IFERROR(VLOOKUP(C1133,Customers!$A:$E,5,FALSE),"")</f>
        <v>Retail</v>
      </c>
      <c r="N1133">
        <f>IFERROR(VLOOKUP(C1133,Customers!$A:$E,3,FALSE),"")</f>
        <v>35</v>
      </c>
      <c r="O1133" s="33" t="str">
        <f>IFERROR(VLOOKUP(E1133,Sales_Reps!$A:$C,3,FALSE),"")</f>
        <v>East</v>
      </c>
      <c r="P1133" s="33">
        <f>IFERROR(VLOOKUP(D1133,Products!$A:$D,4,FALSE),"")</f>
        <v>2549</v>
      </c>
      <c r="Q1133" s="33">
        <f t="shared" si="17"/>
        <v>0.53570127504553733</v>
      </c>
    </row>
    <row r="1134" spans="1:17" x14ac:dyDescent="0.3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  <c r="L1134" t="str">
        <f>IFERROR(VLOOKUP(D1134,Products!$A:$C,3,FALSE),"")</f>
        <v>Sports</v>
      </c>
      <c r="M1134" t="str">
        <f>IFERROR(VLOOKUP(C1134,Customers!$A:$E,5,FALSE),"")</f>
        <v>Retail</v>
      </c>
      <c r="N1134">
        <f>IFERROR(VLOOKUP(C1134,Customers!$A:$E,3,FALSE),"")</f>
        <v>54</v>
      </c>
      <c r="O1134" s="33" t="str">
        <f>IFERROR(VLOOKUP(E1134,Sales_Reps!$A:$C,3,FALSE),"")</f>
        <v>East</v>
      </c>
      <c r="P1134" s="33">
        <f>IFERROR(VLOOKUP(D1134,Products!$A:$D,4,FALSE),"")</f>
        <v>974</v>
      </c>
      <c r="Q1134" s="33">
        <f t="shared" si="17"/>
        <v>0.59416666666666662</v>
      </c>
    </row>
    <row r="1135" spans="1:17" x14ac:dyDescent="0.3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  <c r="L1135" t="str">
        <f>IFERROR(VLOOKUP(D1135,Products!$A:$C,3,FALSE),"")</f>
        <v>Home</v>
      </c>
      <c r="M1135" t="str">
        <f>IFERROR(VLOOKUP(C1135,Customers!$A:$E,5,FALSE),"")</f>
        <v>SMB</v>
      </c>
      <c r="N1135">
        <f>IFERROR(VLOOKUP(C1135,Customers!$A:$E,3,FALSE),"")</f>
        <v>28</v>
      </c>
      <c r="O1135" s="33" t="str">
        <f>IFERROR(VLOOKUP(E1135,Sales_Reps!$A:$C,3,FALSE),"")</f>
        <v>South</v>
      </c>
      <c r="P1135" s="33">
        <f>IFERROR(VLOOKUP(D1135,Products!$A:$D,4,FALSE),"")</f>
        <v>329</v>
      </c>
      <c r="Q1135" s="33">
        <f t="shared" si="17"/>
        <v>0.50151515151515147</v>
      </c>
    </row>
    <row r="1136" spans="1:17" x14ac:dyDescent="0.3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  <c r="L1136" t="str">
        <f>IFERROR(VLOOKUP(D1136,Products!$A:$C,3,FALSE),"")</f>
        <v>Electronics</v>
      </c>
      <c r="M1136" t="str">
        <f>IFERROR(VLOOKUP(C1136,Customers!$A:$E,5,FALSE),"")</f>
        <v>SMB</v>
      </c>
      <c r="N1136">
        <f>IFERROR(VLOOKUP(C1136,Customers!$A:$E,3,FALSE),"")</f>
        <v>43</v>
      </c>
      <c r="O1136" s="33" t="str">
        <f>IFERROR(VLOOKUP(E1136,Sales_Reps!$A:$C,3,FALSE),"")</f>
        <v>South</v>
      </c>
      <c r="P1136" s="33">
        <f>IFERROR(VLOOKUP(D1136,Products!$A:$D,4,FALSE),"")</f>
        <v>2405</v>
      </c>
      <c r="Q1136" s="33">
        <f t="shared" si="17"/>
        <v>0.54878048780487809</v>
      </c>
    </row>
    <row r="1137" spans="1:17" x14ac:dyDescent="0.3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  <c r="L1137" t="str">
        <f>IFERROR(VLOOKUP(D1137,Products!$A:$C,3,FALSE),"")</f>
        <v>Electronics</v>
      </c>
      <c r="M1137" t="str">
        <f>IFERROR(VLOOKUP(C1137,Customers!$A:$E,5,FALSE),"")</f>
        <v>Corporate</v>
      </c>
      <c r="N1137">
        <f>IFERROR(VLOOKUP(C1137,Customers!$A:$E,3,FALSE),"")</f>
        <v>30</v>
      </c>
      <c r="O1137" s="33" t="str">
        <f>IFERROR(VLOOKUP(E1137,Sales_Reps!$A:$C,3,FALSE),"")</f>
        <v>North</v>
      </c>
      <c r="P1137" s="33">
        <f>IFERROR(VLOOKUP(D1137,Products!$A:$D,4,FALSE),"")</f>
        <v>1052</v>
      </c>
      <c r="Q1137" s="33">
        <f t="shared" si="17"/>
        <v>0.5953846153846154</v>
      </c>
    </row>
    <row r="1138" spans="1:17" x14ac:dyDescent="0.3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  <c r="L1138" t="str">
        <f>IFERROR(VLOOKUP(D1138,Products!$A:$C,3,FALSE),"")</f>
        <v>Home</v>
      </c>
      <c r="M1138" t="str">
        <f>IFERROR(VLOOKUP(C1138,Customers!$A:$E,5,FALSE),"")</f>
        <v>Retail</v>
      </c>
      <c r="N1138">
        <f>IFERROR(VLOOKUP(C1138,Customers!$A:$E,3,FALSE),"")</f>
        <v>53</v>
      </c>
      <c r="O1138" s="33" t="str">
        <f>IFERROR(VLOOKUP(E1138,Sales_Reps!$A:$C,3,FALSE),"")</f>
        <v>East</v>
      </c>
      <c r="P1138" s="33">
        <f>IFERROR(VLOOKUP(D1138,Products!$A:$D,4,FALSE),"")</f>
        <v>2459</v>
      </c>
      <c r="Q1138" s="33">
        <f t="shared" si="17"/>
        <v>0.51594488188976373</v>
      </c>
    </row>
    <row r="1139" spans="1:17" x14ac:dyDescent="0.3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  <c r="L1139" t="str">
        <f>IFERROR(VLOOKUP(D1139,Products!$A:$C,3,FALSE),"")</f>
        <v>Grocery</v>
      </c>
      <c r="M1139" t="str">
        <f>IFERROR(VLOOKUP(C1139,Customers!$A:$E,5,FALSE),"")</f>
        <v>Retail</v>
      </c>
      <c r="N1139">
        <f>IFERROR(VLOOKUP(C1139,Customers!$A:$E,3,FALSE),"")</f>
        <v>44</v>
      </c>
      <c r="O1139" s="33" t="str">
        <f>IFERROR(VLOOKUP(E1139,Sales_Reps!$A:$C,3,FALSE),"")</f>
        <v>North</v>
      </c>
      <c r="P1139" s="33">
        <f>IFERROR(VLOOKUP(D1139,Products!$A:$D,4,FALSE),"")</f>
        <v>1182</v>
      </c>
      <c r="Q1139" s="33">
        <f t="shared" si="17"/>
        <v>0.50336134453781511</v>
      </c>
    </row>
    <row r="1140" spans="1:17" x14ac:dyDescent="0.3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  <c r="L1140" t="str">
        <f>IFERROR(VLOOKUP(D1140,Products!$A:$C,3,FALSE),"")</f>
        <v>Beauty</v>
      </c>
      <c r="M1140" t="str">
        <f>IFERROR(VLOOKUP(C1140,Customers!$A:$E,5,FALSE),"")</f>
        <v>Retail</v>
      </c>
      <c r="N1140">
        <f>IFERROR(VLOOKUP(C1140,Customers!$A:$E,3,FALSE),"")</f>
        <v>34</v>
      </c>
      <c r="O1140" s="33" t="str">
        <f>IFERROR(VLOOKUP(E1140,Sales_Reps!$A:$C,3,FALSE),"")</f>
        <v>North</v>
      </c>
      <c r="P1140" s="33">
        <f>IFERROR(VLOOKUP(D1140,Products!$A:$D,4,FALSE),"")</f>
        <v>2768</v>
      </c>
      <c r="Q1140" s="33">
        <f t="shared" si="17"/>
        <v>0.43278688524590164</v>
      </c>
    </row>
    <row r="1141" spans="1:17" x14ac:dyDescent="0.3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  <c r="L1141" t="str">
        <f>IFERROR(VLOOKUP(D1141,Products!$A:$C,3,FALSE),"")</f>
        <v>Beauty</v>
      </c>
      <c r="M1141" t="str">
        <f>IFERROR(VLOOKUP(C1141,Customers!$A:$E,5,FALSE),"")</f>
        <v>SMB</v>
      </c>
      <c r="N1141">
        <f>IFERROR(VLOOKUP(C1141,Customers!$A:$E,3,FALSE),"")</f>
        <v>26</v>
      </c>
      <c r="O1141" s="33" t="str">
        <f>IFERROR(VLOOKUP(E1141,Sales_Reps!$A:$C,3,FALSE),"")</f>
        <v>South</v>
      </c>
      <c r="P1141" s="33">
        <f>IFERROR(VLOOKUP(D1141,Products!$A:$D,4,FALSE),"")</f>
        <v>1728</v>
      </c>
      <c r="Q1141" s="33">
        <f t="shared" si="17"/>
        <v>0.48417910447761192</v>
      </c>
    </row>
    <row r="1142" spans="1:17" x14ac:dyDescent="0.3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  <c r="L1142" t="str">
        <f>IFERROR(VLOOKUP(D1142,Products!$A:$C,3,FALSE),"")</f>
        <v>Grocery</v>
      </c>
      <c r="M1142" t="str">
        <f>IFERROR(VLOOKUP(C1142,Customers!$A:$E,5,FALSE),"")</f>
        <v>Retail</v>
      </c>
      <c r="N1142">
        <f>IFERROR(VLOOKUP(C1142,Customers!$A:$E,3,FALSE),"")</f>
        <v>35</v>
      </c>
      <c r="O1142" s="33" t="str">
        <f>IFERROR(VLOOKUP(E1142,Sales_Reps!$A:$C,3,FALSE),"")</f>
        <v>West</v>
      </c>
      <c r="P1142" s="33">
        <f>IFERROR(VLOOKUP(D1142,Products!$A:$D,4,FALSE),"")</f>
        <v>434</v>
      </c>
      <c r="Q1142" s="33">
        <f t="shared" si="17"/>
        <v>0.5525773195876289</v>
      </c>
    </row>
    <row r="1143" spans="1:17" x14ac:dyDescent="0.3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  <c r="L1143" t="str">
        <f>IFERROR(VLOOKUP(D1143,Products!$A:$C,3,FALSE),"")</f>
        <v>Electronics</v>
      </c>
      <c r="M1143" t="str">
        <f>IFERROR(VLOOKUP(C1143,Customers!$A:$E,5,FALSE),"")</f>
        <v>SMB</v>
      </c>
      <c r="N1143">
        <f>IFERROR(VLOOKUP(C1143,Customers!$A:$E,3,FALSE),"")</f>
        <v>57</v>
      </c>
      <c r="O1143" s="33" t="str">
        <f>IFERROR(VLOOKUP(E1143,Sales_Reps!$A:$C,3,FALSE),"")</f>
        <v>East</v>
      </c>
      <c r="P1143" s="33">
        <f>IFERROR(VLOOKUP(D1143,Products!$A:$D,4,FALSE),"")</f>
        <v>128</v>
      </c>
      <c r="Q1143" s="33">
        <f t="shared" si="17"/>
        <v>0.57333333333333336</v>
      </c>
    </row>
    <row r="1144" spans="1:17" x14ac:dyDescent="0.3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  <c r="L1144" t="str">
        <f>IFERROR(VLOOKUP(D1144,Products!$A:$C,3,FALSE),"")</f>
        <v>Electronics</v>
      </c>
      <c r="M1144" t="str">
        <f>IFERROR(VLOOKUP(C1144,Customers!$A:$E,5,FALSE),"")</f>
        <v>Retail</v>
      </c>
      <c r="N1144">
        <f>IFERROR(VLOOKUP(C1144,Customers!$A:$E,3,FALSE),"")</f>
        <v>62</v>
      </c>
      <c r="O1144" s="33" t="str">
        <f>IFERROR(VLOOKUP(E1144,Sales_Reps!$A:$C,3,FALSE),"")</f>
        <v>North</v>
      </c>
      <c r="P1144" s="33">
        <f>IFERROR(VLOOKUP(D1144,Products!$A:$D,4,FALSE),"")</f>
        <v>2865</v>
      </c>
      <c r="Q1144" s="33">
        <f t="shared" si="17"/>
        <v>0.27833753148614609</v>
      </c>
    </row>
    <row r="1145" spans="1:17" x14ac:dyDescent="0.3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  <c r="L1145" t="str">
        <f>IFERROR(VLOOKUP(D1145,Products!$A:$C,3,FALSE),"")</f>
        <v>Apparel</v>
      </c>
      <c r="M1145" t="str">
        <f>IFERROR(VLOOKUP(C1145,Customers!$A:$E,5,FALSE),"")</f>
        <v>Corporate</v>
      </c>
      <c r="N1145">
        <f>IFERROR(VLOOKUP(C1145,Customers!$A:$E,3,FALSE),"")</f>
        <v>46</v>
      </c>
      <c r="O1145" s="33" t="str">
        <f>IFERROR(VLOOKUP(E1145,Sales_Reps!$A:$C,3,FALSE),"")</f>
        <v>South</v>
      </c>
      <c r="P1145" s="33">
        <f>IFERROR(VLOOKUP(D1145,Products!$A:$D,4,FALSE),"")</f>
        <v>1962</v>
      </c>
      <c r="Q1145" s="33">
        <f t="shared" si="17"/>
        <v>0.2786764705882353</v>
      </c>
    </row>
    <row r="1146" spans="1:17" x14ac:dyDescent="0.3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  <c r="L1146" t="str">
        <f>IFERROR(VLOOKUP(D1146,Products!$A:$C,3,FALSE),"")</f>
        <v>Apparel</v>
      </c>
      <c r="M1146" t="str">
        <f>IFERROR(VLOOKUP(C1146,Customers!$A:$E,5,FALSE),"")</f>
        <v>Retail</v>
      </c>
      <c r="N1146">
        <f>IFERROR(VLOOKUP(C1146,Customers!$A:$E,3,FALSE),"")</f>
        <v>44</v>
      </c>
      <c r="O1146" s="33" t="str">
        <f>IFERROR(VLOOKUP(E1146,Sales_Reps!$A:$C,3,FALSE),"")</f>
        <v>East</v>
      </c>
      <c r="P1146" s="33">
        <f>IFERROR(VLOOKUP(D1146,Products!$A:$D,4,FALSE),"")</f>
        <v>396</v>
      </c>
      <c r="Q1146" s="33">
        <f t="shared" si="17"/>
        <v>0.36129032258064514</v>
      </c>
    </row>
    <row r="1147" spans="1:17" x14ac:dyDescent="0.3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  <c r="L1147" t="str">
        <f>IFERROR(VLOOKUP(D1147,Products!$A:$C,3,FALSE),"")</f>
        <v>Beauty</v>
      </c>
      <c r="M1147" t="str">
        <f>IFERROR(VLOOKUP(C1147,Customers!$A:$E,5,FALSE),"")</f>
        <v>Corporate</v>
      </c>
      <c r="N1147">
        <f>IFERROR(VLOOKUP(C1147,Customers!$A:$E,3,FALSE),"")</f>
        <v>55</v>
      </c>
      <c r="O1147" s="33" t="str">
        <f>IFERROR(VLOOKUP(E1147,Sales_Reps!$A:$C,3,FALSE),"")</f>
        <v>West</v>
      </c>
      <c r="P1147" s="33">
        <f>IFERROR(VLOOKUP(D1147,Products!$A:$D,4,FALSE),"")</f>
        <v>647</v>
      </c>
      <c r="Q1147" s="33">
        <f t="shared" si="17"/>
        <v>0.57987012987012987</v>
      </c>
    </row>
    <row r="1148" spans="1:17" x14ac:dyDescent="0.3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  <c r="L1148" t="str">
        <f>IFERROR(VLOOKUP(D1148,Products!$A:$C,3,FALSE),"")</f>
        <v>Beauty</v>
      </c>
      <c r="M1148" t="str">
        <f>IFERROR(VLOOKUP(C1148,Customers!$A:$E,5,FALSE),"")</f>
        <v>Retail</v>
      </c>
      <c r="N1148">
        <f>IFERROR(VLOOKUP(C1148,Customers!$A:$E,3,FALSE),"")</f>
        <v>46</v>
      </c>
      <c r="O1148" s="33" t="str">
        <f>IFERROR(VLOOKUP(E1148,Sales_Reps!$A:$C,3,FALSE),"")</f>
        <v>West</v>
      </c>
      <c r="P1148" s="33">
        <f>IFERROR(VLOOKUP(D1148,Products!$A:$D,4,FALSE),"")</f>
        <v>1219</v>
      </c>
      <c r="Q1148" s="33">
        <f t="shared" si="17"/>
        <v>0.46768558951965067</v>
      </c>
    </row>
    <row r="1149" spans="1:17" x14ac:dyDescent="0.3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  <c r="L1149" t="str">
        <f>IFERROR(VLOOKUP(D1149,Products!$A:$C,3,FALSE),"")</f>
        <v>Apparel</v>
      </c>
      <c r="M1149" t="str">
        <f>IFERROR(VLOOKUP(C1149,Customers!$A:$E,5,FALSE),"")</f>
        <v>SMB</v>
      </c>
      <c r="N1149">
        <f>IFERROR(VLOOKUP(C1149,Customers!$A:$E,3,FALSE),"")</f>
        <v>26</v>
      </c>
      <c r="O1149" s="33" t="str">
        <f>IFERROR(VLOOKUP(E1149,Sales_Reps!$A:$C,3,FALSE),"")</f>
        <v>East</v>
      </c>
      <c r="P1149" s="33">
        <f>IFERROR(VLOOKUP(D1149,Products!$A:$D,4,FALSE),"")</f>
        <v>1962</v>
      </c>
      <c r="Q1149" s="33">
        <f t="shared" si="17"/>
        <v>0.2786764705882353</v>
      </c>
    </row>
    <row r="1150" spans="1:17" x14ac:dyDescent="0.3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  <c r="L1150" t="str">
        <f>IFERROR(VLOOKUP(D1150,Products!$A:$C,3,FALSE),"")</f>
        <v>Grocery</v>
      </c>
      <c r="M1150" t="str">
        <f>IFERROR(VLOOKUP(C1150,Customers!$A:$E,5,FALSE),"")</f>
        <v>Corporate</v>
      </c>
      <c r="N1150">
        <f>IFERROR(VLOOKUP(C1150,Customers!$A:$E,3,FALSE),"")</f>
        <v>25</v>
      </c>
      <c r="O1150" s="33" t="str">
        <f>IFERROR(VLOOKUP(E1150,Sales_Reps!$A:$C,3,FALSE),"")</f>
        <v>East</v>
      </c>
      <c r="P1150" s="33">
        <f>IFERROR(VLOOKUP(D1150,Products!$A:$D,4,FALSE),"")</f>
        <v>2911</v>
      </c>
      <c r="Q1150" s="33">
        <f t="shared" si="17"/>
        <v>0.28300492610837441</v>
      </c>
    </row>
    <row r="1151" spans="1:17" x14ac:dyDescent="0.3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  <c r="L1151" t="str">
        <f>IFERROR(VLOOKUP(D1151,Products!$A:$C,3,FALSE),"")</f>
        <v>Electronics</v>
      </c>
      <c r="M1151" t="str">
        <f>IFERROR(VLOOKUP(C1151,Customers!$A:$E,5,FALSE),"")</f>
        <v>Retail</v>
      </c>
      <c r="N1151">
        <f>IFERROR(VLOOKUP(C1151,Customers!$A:$E,3,FALSE),"")</f>
        <v>26</v>
      </c>
      <c r="O1151" s="33" t="str">
        <f>IFERROR(VLOOKUP(E1151,Sales_Reps!$A:$C,3,FALSE),"")</f>
        <v>South</v>
      </c>
      <c r="P1151" s="33">
        <f>IFERROR(VLOOKUP(D1151,Products!$A:$D,4,FALSE),"")</f>
        <v>1665</v>
      </c>
      <c r="Q1151" s="33">
        <f t="shared" si="17"/>
        <v>0.53361344537815125</v>
      </c>
    </row>
    <row r="1152" spans="1:17" x14ac:dyDescent="0.3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  <c r="L1152" t="str">
        <f>IFERROR(VLOOKUP(D1152,Products!$A:$C,3,FALSE),"")</f>
        <v>Sports</v>
      </c>
      <c r="M1152" t="str">
        <f>IFERROR(VLOOKUP(C1152,Customers!$A:$E,5,FALSE),"")</f>
        <v>Retail</v>
      </c>
      <c r="N1152">
        <f>IFERROR(VLOOKUP(C1152,Customers!$A:$E,3,FALSE),"")</f>
        <v>55</v>
      </c>
      <c r="O1152" s="33" t="str">
        <f>IFERROR(VLOOKUP(E1152,Sales_Reps!$A:$C,3,FALSE),"")</f>
        <v>North</v>
      </c>
      <c r="P1152" s="33">
        <f>IFERROR(VLOOKUP(D1152,Products!$A:$D,4,FALSE),"")</f>
        <v>2467</v>
      </c>
      <c r="Q1152" s="33">
        <f t="shared" si="17"/>
        <v>0.28492753623188405</v>
      </c>
    </row>
    <row r="1153" spans="1:17" x14ac:dyDescent="0.3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  <c r="L1153" t="str">
        <f>IFERROR(VLOOKUP(D1153,Products!$A:$C,3,FALSE),"")</f>
        <v>Electronics</v>
      </c>
      <c r="M1153" t="str">
        <f>IFERROR(VLOOKUP(C1153,Customers!$A:$E,5,FALSE),"")</f>
        <v>Retail</v>
      </c>
      <c r="N1153">
        <f>IFERROR(VLOOKUP(C1153,Customers!$A:$E,3,FALSE),"")</f>
        <v>44</v>
      </c>
      <c r="O1153" s="33" t="str">
        <f>IFERROR(VLOOKUP(E1153,Sales_Reps!$A:$C,3,FALSE),"")</f>
        <v>North</v>
      </c>
      <c r="P1153" s="33">
        <f>IFERROR(VLOOKUP(D1153,Products!$A:$D,4,FALSE),"")</f>
        <v>1149</v>
      </c>
      <c r="Q1153" s="33">
        <f t="shared" si="17"/>
        <v>0.56477272727272732</v>
      </c>
    </row>
    <row r="1154" spans="1:17" x14ac:dyDescent="0.3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  <c r="L1154" t="str">
        <f>IFERROR(VLOOKUP(D1154,Products!$A:$C,3,FALSE),"")</f>
        <v>Home</v>
      </c>
      <c r="M1154" t="str">
        <f>IFERROR(VLOOKUP(C1154,Customers!$A:$E,5,FALSE),"")</f>
        <v>Retail</v>
      </c>
      <c r="N1154">
        <f>IFERROR(VLOOKUP(C1154,Customers!$A:$E,3,FALSE),"")</f>
        <v>24</v>
      </c>
      <c r="O1154" s="33" t="str">
        <f>IFERROR(VLOOKUP(E1154,Sales_Reps!$A:$C,3,FALSE),"")</f>
        <v>South</v>
      </c>
      <c r="P1154" s="33">
        <f>IFERROR(VLOOKUP(D1154,Products!$A:$D,4,FALSE),"")</f>
        <v>288</v>
      </c>
      <c r="Q1154" s="33">
        <f t="shared" si="17"/>
        <v>0.22162162162162163</v>
      </c>
    </row>
    <row r="1155" spans="1:17" x14ac:dyDescent="0.3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  <c r="L1155" t="str">
        <f>IFERROR(VLOOKUP(D1155,Products!$A:$C,3,FALSE),"")</f>
        <v>Electronics</v>
      </c>
      <c r="M1155" t="str">
        <f>IFERROR(VLOOKUP(C1155,Customers!$A:$E,5,FALSE),"")</f>
        <v>Corporate</v>
      </c>
      <c r="N1155">
        <f>IFERROR(VLOOKUP(C1155,Customers!$A:$E,3,FALSE),"")</f>
        <v>36</v>
      </c>
      <c r="O1155" s="33" t="str">
        <f>IFERROR(VLOOKUP(E1155,Sales_Reps!$A:$C,3,FALSE),"")</f>
        <v>West</v>
      </c>
      <c r="P1155" s="33">
        <f>IFERROR(VLOOKUP(D1155,Products!$A:$D,4,FALSE),"")</f>
        <v>517</v>
      </c>
      <c r="Q1155" s="33">
        <f t="shared" ref="Q1155:Q1218" si="18">IFERROR((G1155-P1155)/G1155,"")</f>
        <v>0.57622950819672136</v>
      </c>
    </row>
    <row r="1156" spans="1:17" x14ac:dyDescent="0.3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  <c r="L1156" t="str">
        <f>IFERROR(VLOOKUP(D1156,Products!$A:$C,3,FALSE),"")</f>
        <v>Electronics</v>
      </c>
      <c r="M1156" t="str">
        <f>IFERROR(VLOOKUP(C1156,Customers!$A:$E,5,FALSE),"")</f>
        <v>Retail</v>
      </c>
      <c r="N1156">
        <f>IFERROR(VLOOKUP(C1156,Customers!$A:$E,3,FALSE),"")</f>
        <v>29</v>
      </c>
      <c r="O1156" s="33" t="str">
        <f>IFERROR(VLOOKUP(E1156,Sales_Reps!$A:$C,3,FALSE),"")</f>
        <v>East</v>
      </c>
      <c r="P1156" s="33">
        <f>IFERROR(VLOOKUP(D1156,Products!$A:$D,4,FALSE),"")</f>
        <v>1149</v>
      </c>
      <c r="Q1156" s="33">
        <f t="shared" si="18"/>
        <v>0.56477272727272732</v>
      </c>
    </row>
    <row r="1157" spans="1:17" x14ac:dyDescent="0.3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  <c r="L1157" t="str">
        <f>IFERROR(VLOOKUP(D1157,Products!$A:$C,3,FALSE),"")</f>
        <v>Beauty</v>
      </c>
      <c r="M1157" t="str">
        <f>IFERROR(VLOOKUP(C1157,Customers!$A:$E,5,FALSE),"")</f>
        <v>Retail</v>
      </c>
      <c r="N1157">
        <f>IFERROR(VLOOKUP(C1157,Customers!$A:$E,3,FALSE),"")</f>
        <v>36</v>
      </c>
      <c r="O1157" s="33" t="str">
        <f>IFERROR(VLOOKUP(E1157,Sales_Reps!$A:$C,3,FALSE),"")</f>
        <v>South</v>
      </c>
      <c r="P1157" s="33">
        <f>IFERROR(VLOOKUP(D1157,Products!$A:$D,4,FALSE),"")</f>
        <v>2237</v>
      </c>
      <c r="Q1157" s="33">
        <f t="shared" si="18"/>
        <v>0.56137254901960787</v>
      </c>
    </row>
    <row r="1158" spans="1:17" x14ac:dyDescent="0.3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  <c r="L1158" t="str">
        <f>IFERROR(VLOOKUP(D1158,Products!$A:$C,3,FALSE),"")</f>
        <v>Beauty</v>
      </c>
      <c r="M1158" t="str">
        <f>IFERROR(VLOOKUP(C1158,Customers!$A:$E,5,FALSE),"")</f>
        <v>SMB</v>
      </c>
      <c r="N1158">
        <f>IFERROR(VLOOKUP(C1158,Customers!$A:$E,3,FALSE),"")</f>
        <v>26</v>
      </c>
      <c r="O1158" s="33" t="str">
        <f>IFERROR(VLOOKUP(E1158,Sales_Reps!$A:$C,3,FALSE),"")</f>
        <v>North</v>
      </c>
      <c r="P1158" s="33">
        <f>IFERROR(VLOOKUP(D1158,Products!$A:$D,4,FALSE),"")</f>
        <v>2617</v>
      </c>
      <c r="Q1158" s="33">
        <f t="shared" si="18"/>
        <v>0.56957236842105263</v>
      </c>
    </row>
    <row r="1159" spans="1:17" x14ac:dyDescent="0.3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  <c r="L1159" t="str">
        <f>IFERROR(VLOOKUP(D1159,Products!$A:$C,3,FALSE),"")</f>
        <v>Electronics</v>
      </c>
      <c r="M1159" t="str">
        <f>IFERROR(VLOOKUP(C1159,Customers!$A:$E,5,FALSE),"")</f>
        <v>Corporate</v>
      </c>
      <c r="N1159">
        <f>IFERROR(VLOOKUP(C1159,Customers!$A:$E,3,FALSE),"")</f>
        <v>29</v>
      </c>
      <c r="O1159" s="33" t="str">
        <f>IFERROR(VLOOKUP(E1159,Sales_Reps!$A:$C,3,FALSE),"")</f>
        <v>West</v>
      </c>
      <c r="P1159" s="33">
        <f>IFERROR(VLOOKUP(D1159,Products!$A:$D,4,FALSE),"")</f>
        <v>128</v>
      </c>
      <c r="Q1159" s="33">
        <f t="shared" si="18"/>
        <v>0.57333333333333336</v>
      </c>
    </row>
    <row r="1160" spans="1:17" x14ac:dyDescent="0.3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  <c r="L1160" t="str">
        <f>IFERROR(VLOOKUP(D1160,Products!$A:$C,3,FALSE),"")</f>
        <v>Beauty</v>
      </c>
      <c r="M1160" t="str">
        <f>IFERROR(VLOOKUP(C1160,Customers!$A:$E,5,FALSE),"")</f>
        <v>Retail</v>
      </c>
      <c r="N1160">
        <f>IFERROR(VLOOKUP(C1160,Customers!$A:$E,3,FALSE),"")</f>
        <v>44</v>
      </c>
      <c r="O1160" s="33" t="str">
        <f>IFERROR(VLOOKUP(E1160,Sales_Reps!$A:$C,3,FALSE),"")</f>
        <v>East</v>
      </c>
      <c r="P1160" s="33">
        <f>IFERROR(VLOOKUP(D1160,Products!$A:$D,4,FALSE),"")</f>
        <v>1626</v>
      </c>
      <c r="Q1160" s="33">
        <f t="shared" si="18"/>
        <v>0.46158940397350995</v>
      </c>
    </row>
    <row r="1161" spans="1:17" x14ac:dyDescent="0.3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  <c r="L1161" t="str">
        <f>IFERROR(VLOOKUP(D1161,Products!$A:$C,3,FALSE),"")</f>
        <v>Electronics</v>
      </c>
      <c r="M1161" t="str">
        <f>IFERROR(VLOOKUP(C1161,Customers!$A:$E,5,FALSE),"")</f>
        <v>SMB</v>
      </c>
      <c r="N1161">
        <f>IFERROR(VLOOKUP(C1161,Customers!$A:$E,3,FALSE),"")</f>
        <v>50</v>
      </c>
      <c r="O1161" s="33" t="str">
        <f>IFERROR(VLOOKUP(E1161,Sales_Reps!$A:$C,3,FALSE),"")</f>
        <v>East</v>
      </c>
      <c r="P1161" s="33">
        <f>IFERROR(VLOOKUP(D1161,Products!$A:$D,4,FALSE),"")</f>
        <v>128</v>
      </c>
      <c r="Q1161" s="33">
        <f t="shared" si="18"/>
        <v>0.57333333333333336</v>
      </c>
    </row>
    <row r="1162" spans="1:17" x14ac:dyDescent="0.3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  <c r="L1162" t="str">
        <f>IFERROR(VLOOKUP(D1162,Products!$A:$C,3,FALSE),"")</f>
        <v>Beauty</v>
      </c>
      <c r="M1162" t="str">
        <f>IFERROR(VLOOKUP(C1162,Customers!$A:$E,5,FALSE),"")</f>
        <v>Retail</v>
      </c>
      <c r="N1162">
        <f>IFERROR(VLOOKUP(C1162,Customers!$A:$E,3,FALSE),"")</f>
        <v>37</v>
      </c>
      <c r="O1162" s="33" t="str">
        <f>IFERROR(VLOOKUP(E1162,Sales_Reps!$A:$C,3,FALSE),"")</f>
        <v>South</v>
      </c>
      <c r="P1162" s="33">
        <f>IFERROR(VLOOKUP(D1162,Products!$A:$D,4,FALSE),"")</f>
        <v>1728</v>
      </c>
      <c r="Q1162" s="33">
        <f t="shared" si="18"/>
        <v>0.48417910447761192</v>
      </c>
    </row>
    <row r="1163" spans="1:17" x14ac:dyDescent="0.3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  <c r="L1163" t="str">
        <f>IFERROR(VLOOKUP(D1163,Products!$A:$C,3,FALSE),"")</f>
        <v>Grocery</v>
      </c>
      <c r="M1163" t="str">
        <f>IFERROR(VLOOKUP(C1163,Customers!$A:$E,5,FALSE),"")</f>
        <v>SMB</v>
      </c>
      <c r="N1163">
        <f>IFERROR(VLOOKUP(C1163,Customers!$A:$E,3,FALSE),"")</f>
        <v>45</v>
      </c>
      <c r="O1163" s="33" t="str">
        <f>IFERROR(VLOOKUP(E1163,Sales_Reps!$A:$C,3,FALSE),"")</f>
        <v>West</v>
      </c>
      <c r="P1163" s="33">
        <f>IFERROR(VLOOKUP(D1163,Products!$A:$D,4,FALSE),"")</f>
        <v>2027</v>
      </c>
      <c r="Q1163" s="33">
        <f t="shared" si="18"/>
        <v>0.50196560196560192</v>
      </c>
    </row>
    <row r="1164" spans="1:17" x14ac:dyDescent="0.3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  <c r="L1164" t="str">
        <f>IFERROR(VLOOKUP(D1164,Products!$A:$C,3,FALSE),"")</f>
        <v>Sports</v>
      </c>
      <c r="M1164" t="str">
        <f>IFERROR(VLOOKUP(C1164,Customers!$A:$E,5,FALSE),"")</f>
        <v>SMB</v>
      </c>
      <c r="N1164">
        <f>IFERROR(VLOOKUP(C1164,Customers!$A:$E,3,FALSE),"")</f>
        <v>51</v>
      </c>
      <c r="O1164" s="33" t="str">
        <f>IFERROR(VLOOKUP(E1164,Sales_Reps!$A:$C,3,FALSE),"")</f>
        <v>West</v>
      </c>
      <c r="P1164" s="33">
        <f>IFERROR(VLOOKUP(D1164,Products!$A:$D,4,FALSE),"")</f>
        <v>1860</v>
      </c>
      <c r="Q1164" s="33">
        <f t="shared" si="18"/>
        <v>0.50793650793650791</v>
      </c>
    </row>
    <row r="1165" spans="1:17" x14ac:dyDescent="0.3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  <c r="L1165" t="str">
        <f>IFERROR(VLOOKUP(D1165,Products!$A:$C,3,FALSE),"")</f>
        <v>Home</v>
      </c>
      <c r="M1165" t="str">
        <f>IFERROR(VLOOKUP(C1165,Customers!$A:$E,5,FALSE),"")</f>
        <v>SMB</v>
      </c>
      <c r="N1165">
        <f>IFERROR(VLOOKUP(C1165,Customers!$A:$E,3,FALSE),"")</f>
        <v>44</v>
      </c>
      <c r="O1165" s="33" t="str">
        <f>IFERROR(VLOOKUP(E1165,Sales_Reps!$A:$C,3,FALSE),"")</f>
        <v>West</v>
      </c>
      <c r="P1165" s="33">
        <f>IFERROR(VLOOKUP(D1165,Products!$A:$D,4,FALSE),"")</f>
        <v>519</v>
      </c>
      <c r="Q1165" s="33">
        <f t="shared" si="18"/>
        <v>0.51944444444444449</v>
      </c>
    </row>
    <row r="1166" spans="1:17" x14ac:dyDescent="0.3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  <c r="L1166" t="str">
        <f>IFERROR(VLOOKUP(D1166,Products!$A:$C,3,FALSE),"")</f>
        <v>Electronics</v>
      </c>
      <c r="M1166" t="str">
        <f>IFERROR(VLOOKUP(C1166,Customers!$A:$E,5,FALSE),"")</f>
        <v>Retail</v>
      </c>
      <c r="N1166">
        <f>IFERROR(VLOOKUP(C1166,Customers!$A:$E,3,FALSE),"")</f>
        <v>55</v>
      </c>
      <c r="O1166" s="33" t="str">
        <f>IFERROR(VLOOKUP(E1166,Sales_Reps!$A:$C,3,FALSE),"")</f>
        <v>East</v>
      </c>
      <c r="P1166" s="33">
        <f>IFERROR(VLOOKUP(D1166,Products!$A:$D,4,FALSE),"")</f>
        <v>1052</v>
      </c>
      <c r="Q1166" s="33">
        <f t="shared" si="18"/>
        <v>0.5953846153846154</v>
      </c>
    </row>
    <row r="1167" spans="1:17" x14ac:dyDescent="0.3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  <c r="L1167" t="str">
        <f>IFERROR(VLOOKUP(D1167,Products!$A:$C,3,FALSE),"")</f>
        <v>Apparel</v>
      </c>
      <c r="M1167" t="str">
        <f>IFERROR(VLOOKUP(C1167,Customers!$A:$E,5,FALSE),"")</f>
        <v>Retail</v>
      </c>
      <c r="N1167">
        <f>IFERROR(VLOOKUP(C1167,Customers!$A:$E,3,FALSE),"")</f>
        <v>63</v>
      </c>
      <c r="O1167" s="33" t="str">
        <f>IFERROR(VLOOKUP(E1167,Sales_Reps!$A:$C,3,FALSE),"")</f>
        <v>North</v>
      </c>
      <c r="P1167" s="33">
        <f>IFERROR(VLOOKUP(D1167,Products!$A:$D,4,FALSE),"")</f>
        <v>1962</v>
      </c>
      <c r="Q1167" s="33">
        <f t="shared" si="18"/>
        <v>0.2786764705882353</v>
      </c>
    </row>
    <row r="1168" spans="1:17" x14ac:dyDescent="0.3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  <c r="L1168" t="str">
        <f>IFERROR(VLOOKUP(D1168,Products!$A:$C,3,FALSE),"")</f>
        <v>Grocery</v>
      </c>
      <c r="M1168" t="str">
        <f>IFERROR(VLOOKUP(C1168,Customers!$A:$E,5,FALSE),"")</f>
        <v>SMB</v>
      </c>
      <c r="N1168">
        <f>IFERROR(VLOOKUP(C1168,Customers!$A:$E,3,FALSE),"")</f>
        <v>53</v>
      </c>
      <c r="O1168" s="33" t="str">
        <f>IFERROR(VLOOKUP(E1168,Sales_Reps!$A:$C,3,FALSE),"")</f>
        <v>South</v>
      </c>
      <c r="P1168" s="33">
        <f>IFERROR(VLOOKUP(D1168,Products!$A:$D,4,FALSE),"")</f>
        <v>2214</v>
      </c>
      <c r="Q1168" s="33">
        <f t="shared" si="18"/>
        <v>0.39508196721311473</v>
      </c>
    </row>
    <row r="1169" spans="1:17" x14ac:dyDescent="0.3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  <c r="L1169" t="str">
        <f>IFERROR(VLOOKUP(D1169,Products!$A:$C,3,FALSE),"")</f>
        <v>Beauty</v>
      </c>
      <c r="M1169" t="str">
        <f>IFERROR(VLOOKUP(C1169,Customers!$A:$E,5,FALSE),"")</f>
        <v>Retail</v>
      </c>
      <c r="N1169">
        <f>IFERROR(VLOOKUP(C1169,Customers!$A:$E,3,FALSE),"")</f>
        <v>23</v>
      </c>
      <c r="O1169" s="33" t="str">
        <f>IFERROR(VLOOKUP(E1169,Sales_Reps!$A:$C,3,FALSE),"")</f>
        <v>North</v>
      </c>
      <c r="P1169" s="33">
        <f>IFERROR(VLOOKUP(D1169,Products!$A:$D,4,FALSE),"")</f>
        <v>1222</v>
      </c>
      <c r="Q1169" s="33">
        <f t="shared" si="18"/>
        <v>0.2593939393939394</v>
      </c>
    </row>
    <row r="1170" spans="1:17" x14ac:dyDescent="0.3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  <c r="L1170" t="str">
        <f>IFERROR(VLOOKUP(D1170,Products!$A:$C,3,FALSE),"")</f>
        <v>Sports</v>
      </c>
      <c r="M1170" t="str">
        <f>IFERROR(VLOOKUP(C1170,Customers!$A:$E,5,FALSE),"")</f>
        <v>SMB</v>
      </c>
      <c r="N1170">
        <f>IFERROR(VLOOKUP(C1170,Customers!$A:$E,3,FALSE),"")</f>
        <v>65</v>
      </c>
      <c r="O1170" s="33" t="str">
        <f>IFERROR(VLOOKUP(E1170,Sales_Reps!$A:$C,3,FALSE),"")</f>
        <v>East</v>
      </c>
      <c r="P1170" s="33">
        <f>IFERROR(VLOOKUP(D1170,Products!$A:$D,4,FALSE),"")</f>
        <v>2028</v>
      </c>
      <c r="Q1170" s="33">
        <f t="shared" si="18"/>
        <v>0.29090909090909089</v>
      </c>
    </row>
    <row r="1171" spans="1:17" x14ac:dyDescent="0.3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  <c r="L1171" t="str">
        <f>IFERROR(VLOOKUP(D1171,Products!$A:$C,3,FALSE),"")</f>
        <v>Sports</v>
      </c>
      <c r="M1171" t="str">
        <f>IFERROR(VLOOKUP(C1171,Customers!$A:$E,5,FALSE),"")</f>
        <v>Retail</v>
      </c>
      <c r="N1171">
        <f>IFERROR(VLOOKUP(C1171,Customers!$A:$E,3,FALSE),"")</f>
        <v>41</v>
      </c>
      <c r="O1171" s="33" t="str">
        <f>IFERROR(VLOOKUP(E1171,Sales_Reps!$A:$C,3,FALSE),"")</f>
        <v>West</v>
      </c>
      <c r="P1171" s="33">
        <f>IFERROR(VLOOKUP(D1171,Products!$A:$D,4,FALSE),"")</f>
        <v>2467</v>
      </c>
      <c r="Q1171" s="33">
        <f t="shared" si="18"/>
        <v>0.28492753623188405</v>
      </c>
    </row>
    <row r="1172" spans="1:17" x14ac:dyDescent="0.3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  <c r="L1172" t="str">
        <f>IFERROR(VLOOKUP(D1172,Products!$A:$C,3,FALSE),"")</f>
        <v>Home</v>
      </c>
      <c r="M1172" t="str">
        <f>IFERROR(VLOOKUP(C1172,Customers!$A:$E,5,FALSE),"")</f>
        <v>Retail</v>
      </c>
      <c r="N1172">
        <f>IFERROR(VLOOKUP(C1172,Customers!$A:$E,3,FALSE),"")</f>
        <v>44</v>
      </c>
      <c r="O1172" s="33" t="str">
        <f>IFERROR(VLOOKUP(E1172,Sales_Reps!$A:$C,3,FALSE),"")</f>
        <v>North</v>
      </c>
      <c r="P1172" s="33">
        <f>IFERROR(VLOOKUP(D1172,Products!$A:$D,4,FALSE),"")</f>
        <v>1143</v>
      </c>
      <c r="Q1172" s="33">
        <f t="shared" si="18"/>
        <v>0.43694581280788175</v>
      </c>
    </row>
    <row r="1173" spans="1:17" x14ac:dyDescent="0.3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  <c r="L1173" t="str">
        <f>IFERROR(VLOOKUP(D1173,Products!$A:$C,3,FALSE),"")</f>
        <v>Grocery</v>
      </c>
      <c r="M1173" t="str">
        <f>IFERROR(VLOOKUP(C1173,Customers!$A:$E,5,FALSE),"")</f>
        <v>Retail</v>
      </c>
      <c r="N1173">
        <f>IFERROR(VLOOKUP(C1173,Customers!$A:$E,3,FALSE),"")</f>
        <v>22</v>
      </c>
      <c r="O1173" s="33" t="str">
        <f>IFERROR(VLOOKUP(E1173,Sales_Reps!$A:$C,3,FALSE),"")</f>
        <v>South</v>
      </c>
      <c r="P1173" s="33">
        <f>IFERROR(VLOOKUP(D1173,Products!$A:$D,4,FALSE),"")</f>
        <v>1412</v>
      </c>
      <c r="Q1173" s="33">
        <f t="shared" si="18"/>
        <v>0.37797356828193834</v>
      </c>
    </row>
    <row r="1174" spans="1:17" x14ac:dyDescent="0.3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  <c r="L1174" t="str">
        <f>IFERROR(VLOOKUP(D1174,Products!$A:$C,3,FALSE),"")</f>
        <v>Home</v>
      </c>
      <c r="M1174" t="str">
        <f>IFERROR(VLOOKUP(C1174,Customers!$A:$E,5,FALSE),"")</f>
        <v>Retail</v>
      </c>
      <c r="N1174">
        <f>IFERROR(VLOOKUP(C1174,Customers!$A:$E,3,FALSE),"")</f>
        <v>61</v>
      </c>
      <c r="O1174" s="33" t="str">
        <f>IFERROR(VLOOKUP(E1174,Sales_Reps!$A:$C,3,FALSE),"")</f>
        <v>South</v>
      </c>
      <c r="P1174" s="33">
        <f>IFERROR(VLOOKUP(D1174,Products!$A:$D,4,FALSE),"")</f>
        <v>2459</v>
      </c>
      <c r="Q1174" s="33">
        <f t="shared" si="18"/>
        <v>0.51594488188976373</v>
      </c>
    </row>
    <row r="1175" spans="1:17" x14ac:dyDescent="0.3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  <c r="L1175" t="str">
        <f>IFERROR(VLOOKUP(D1175,Products!$A:$C,3,FALSE),"")</f>
        <v>Grocery</v>
      </c>
      <c r="M1175" t="str">
        <f>IFERROR(VLOOKUP(C1175,Customers!$A:$E,5,FALSE),"")</f>
        <v>Retail</v>
      </c>
      <c r="N1175">
        <f>IFERROR(VLOOKUP(C1175,Customers!$A:$E,3,FALSE),"")</f>
        <v>31</v>
      </c>
      <c r="O1175" s="33" t="str">
        <f>IFERROR(VLOOKUP(E1175,Sales_Reps!$A:$C,3,FALSE),"")</f>
        <v>West</v>
      </c>
      <c r="P1175" s="33">
        <f>IFERROR(VLOOKUP(D1175,Products!$A:$D,4,FALSE),"")</f>
        <v>2027</v>
      </c>
      <c r="Q1175" s="33">
        <f t="shared" si="18"/>
        <v>0.50196560196560192</v>
      </c>
    </row>
    <row r="1176" spans="1:17" x14ac:dyDescent="0.3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  <c r="L1176" t="str">
        <f>IFERROR(VLOOKUP(D1176,Products!$A:$C,3,FALSE),"")</f>
        <v>Beauty</v>
      </c>
      <c r="M1176" t="str">
        <f>IFERROR(VLOOKUP(C1176,Customers!$A:$E,5,FALSE),"")</f>
        <v>SMB</v>
      </c>
      <c r="N1176">
        <f>IFERROR(VLOOKUP(C1176,Customers!$A:$E,3,FALSE),"")</f>
        <v>64</v>
      </c>
      <c r="O1176" s="33" t="str">
        <f>IFERROR(VLOOKUP(E1176,Sales_Reps!$A:$C,3,FALSE),"")</f>
        <v>North</v>
      </c>
      <c r="P1176" s="33">
        <f>IFERROR(VLOOKUP(D1176,Products!$A:$D,4,FALSE),"")</f>
        <v>647</v>
      </c>
      <c r="Q1176" s="33">
        <f t="shared" si="18"/>
        <v>0.57987012987012987</v>
      </c>
    </row>
    <row r="1177" spans="1:17" x14ac:dyDescent="0.3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  <c r="L1177" t="str">
        <f>IFERROR(VLOOKUP(D1177,Products!$A:$C,3,FALSE),"")</f>
        <v>Beauty</v>
      </c>
      <c r="M1177" t="str">
        <f>IFERROR(VLOOKUP(C1177,Customers!$A:$E,5,FALSE),"")</f>
        <v>Retail</v>
      </c>
      <c r="N1177">
        <f>IFERROR(VLOOKUP(C1177,Customers!$A:$E,3,FALSE),"")</f>
        <v>48</v>
      </c>
      <c r="O1177" s="33" t="str">
        <f>IFERROR(VLOOKUP(E1177,Sales_Reps!$A:$C,3,FALSE),"")</f>
        <v>West</v>
      </c>
      <c r="P1177" s="33">
        <f>IFERROR(VLOOKUP(D1177,Products!$A:$D,4,FALSE),"")</f>
        <v>2237</v>
      </c>
      <c r="Q1177" s="33">
        <f t="shared" si="18"/>
        <v>0.56137254901960787</v>
      </c>
    </row>
    <row r="1178" spans="1:17" x14ac:dyDescent="0.3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  <c r="L1178" t="str">
        <f>IFERROR(VLOOKUP(D1178,Products!$A:$C,3,FALSE),"")</f>
        <v>Apparel</v>
      </c>
      <c r="M1178" t="str">
        <f>IFERROR(VLOOKUP(C1178,Customers!$A:$E,5,FALSE),"")</f>
        <v>Corporate</v>
      </c>
      <c r="N1178">
        <f>IFERROR(VLOOKUP(C1178,Customers!$A:$E,3,FALSE),"")</f>
        <v>40</v>
      </c>
      <c r="O1178" s="33" t="str">
        <f>IFERROR(VLOOKUP(E1178,Sales_Reps!$A:$C,3,FALSE),"")</f>
        <v>North</v>
      </c>
      <c r="P1178" s="33">
        <f>IFERROR(VLOOKUP(D1178,Products!$A:$D,4,FALSE),"")</f>
        <v>2509</v>
      </c>
      <c r="Q1178" s="33">
        <f t="shared" si="18"/>
        <v>0.3069060773480663</v>
      </c>
    </row>
    <row r="1179" spans="1:17" x14ac:dyDescent="0.3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  <c r="L1179" t="str">
        <f>IFERROR(VLOOKUP(D1179,Products!$A:$C,3,FALSE),"")</f>
        <v>Beauty</v>
      </c>
      <c r="M1179" t="str">
        <f>IFERROR(VLOOKUP(C1179,Customers!$A:$E,5,FALSE),"")</f>
        <v>Retail</v>
      </c>
      <c r="N1179">
        <f>IFERROR(VLOOKUP(C1179,Customers!$A:$E,3,FALSE),"")</f>
        <v>56</v>
      </c>
      <c r="O1179" s="33" t="str">
        <f>IFERROR(VLOOKUP(E1179,Sales_Reps!$A:$C,3,FALSE),"")</f>
        <v>North</v>
      </c>
      <c r="P1179" s="33">
        <f>IFERROR(VLOOKUP(D1179,Products!$A:$D,4,FALSE),"")</f>
        <v>2768</v>
      </c>
      <c r="Q1179" s="33">
        <f t="shared" si="18"/>
        <v>0.43278688524590164</v>
      </c>
    </row>
    <row r="1180" spans="1:17" x14ac:dyDescent="0.3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  <c r="L1180" t="str">
        <f>IFERROR(VLOOKUP(D1180,Products!$A:$C,3,FALSE),"")</f>
        <v>Electronics</v>
      </c>
      <c r="M1180" t="str">
        <f>IFERROR(VLOOKUP(C1180,Customers!$A:$E,5,FALSE),"")</f>
        <v>SMB</v>
      </c>
      <c r="N1180">
        <f>IFERROR(VLOOKUP(C1180,Customers!$A:$E,3,FALSE),"")</f>
        <v>44</v>
      </c>
      <c r="O1180" s="33" t="str">
        <f>IFERROR(VLOOKUP(E1180,Sales_Reps!$A:$C,3,FALSE),"")</f>
        <v>West</v>
      </c>
      <c r="P1180" s="33">
        <f>IFERROR(VLOOKUP(D1180,Products!$A:$D,4,FALSE),"")</f>
        <v>1149</v>
      </c>
      <c r="Q1180" s="33">
        <f t="shared" si="18"/>
        <v>0.56477272727272732</v>
      </c>
    </row>
    <row r="1181" spans="1:17" x14ac:dyDescent="0.3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  <c r="L1181" t="str">
        <f>IFERROR(VLOOKUP(D1181,Products!$A:$C,3,FALSE),"")</f>
        <v>Grocery</v>
      </c>
      <c r="M1181" t="str">
        <f>IFERROR(VLOOKUP(C1181,Customers!$A:$E,5,FALSE),"")</f>
        <v>Retail</v>
      </c>
      <c r="N1181">
        <f>IFERROR(VLOOKUP(C1181,Customers!$A:$E,3,FALSE),"")</f>
        <v>53</v>
      </c>
      <c r="O1181" s="33" t="str">
        <f>IFERROR(VLOOKUP(E1181,Sales_Reps!$A:$C,3,FALSE),"")</f>
        <v>East</v>
      </c>
      <c r="P1181" s="33">
        <f>IFERROR(VLOOKUP(D1181,Products!$A:$D,4,FALSE),"")</f>
        <v>2027</v>
      </c>
      <c r="Q1181" s="33">
        <f t="shared" si="18"/>
        <v>0.50196560196560192</v>
      </c>
    </row>
    <row r="1182" spans="1:17" x14ac:dyDescent="0.3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  <c r="L1182" t="str">
        <f>IFERROR(VLOOKUP(D1182,Products!$A:$C,3,FALSE),"")</f>
        <v>Electronics</v>
      </c>
      <c r="M1182" t="str">
        <f>IFERROR(VLOOKUP(C1182,Customers!$A:$E,5,FALSE),"")</f>
        <v>Retail</v>
      </c>
      <c r="N1182">
        <f>IFERROR(VLOOKUP(C1182,Customers!$A:$E,3,FALSE),"")</f>
        <v>28</v>
      </c>
      <c r="O1182" s="33" t="str">
        <f>IFERROR(VLOOKUP(E1182,Sales_Reps!$A:$C,3,FALSE),"")</f>
        <v>West</v>
      </c>
      <c r="P1182" s="33">
        <f>IFERROR(VLOOKUP(D1182,Products!$A:$D,4,FALSE),"")</f>
        <v>1665</v>
      </c>
      <c r="Q1182" s="33">
        <f t="shared" si="18"/>
        <v>0.53361344537815125</v>
      </c>
    </row>
    <row r="1183" spans="1:17" x14ac:dyDescent="0.3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  <c r="L1183" t="str">
        <f>IFERROR(VLOOKUP(D1183,Products!$A:$C,3,FALSE),"")</f>
        <v>Beauty</v>
      </c>
      <c r="M1183" t="str">
        <f>IFERROR(VLOOKUP(C1183,Customers!$A:$E,5,FALSE),"")</f>
        <v>SMB</v>
      </c>
      <c r="N1183">
        <f>IFERROR(VLOOKUP(C1183,Customers!$A:$E,3,FALSE),"")</f>
        <v>55</v>
      </c>
      <c r="O1183" s="33" t="str">
        <f>IFERROR(VLOOKUP(E1183,Sales_Reps!$A:$C,3,FALSE),"")</f>
        <v>North</v>
      </c>
      <c r="P1183" s="33">
        <f>IFERROR(VLOOKUP(D1183,Products!$A:$D,4,FALSE),"")</f>
        <v>1728</v>
      </c>
      <c r="Q1183" s="33">
        <f t="shared" si="18"/>
        <v>0.48417910447761192</v>
      </c>
    </row>
    <row r="1184" spans="1:17" x14ac:dyDescent="0.3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  <c r="L1184" t="str">
        <f>IFERROR(VLOOKUP(D1184,Products!$A:$C,3,FALSE),"")</f>
        <v>Sports</v>
      </c>
      <c r="M1184" t="str">
        <f>IFERROR(VLOOKUP(C1184,Customers!$A:$E,5,FALSE),"")</f>
        <v>Retail</v>
      </c>
      <c r="N1184">
        <f>IFERROR(VLOOKUP(C1184,Customers!$A:$E,3,FALSE),"")</f>
        <v>24</v>
      </c>
      <c r="O1184" s="33" t="str">
        <f>IFERROR(VLOOKUP(E1184,Sales_Reps!$A:$C,3,FALSE),"")</f>
        <v>West</v>
      </c>
      <c r="P1184" s="33">
        <f>IFERROR(VLOOKUP(D1184,Products!$A:$D,4,FALSE),"")</f>
        <v>1860</v>
      </c>
      <c r="Q1184" s="33">
        <f t="shared" si="18"/>
        <v>0.50793650793650791</v>
      </c>
    </row>
    <row r="1185" spans="1:17" x14ac:dyDescent="0.3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  <c r="L1185" t="str">
        <f>IFERROR(VLOOKUP(D1185,Products!$A:$C,3,FALSE),"")</f>
        <v>Electronics</v>
      </c>
      <c r="M1185" t="str">
        <f>IFERROR(VLOOKUP(C1185,Customers!$A:$E,5,FALSE),"")</f>
        <v>Corporate</v>
      </c>
      <c r="N1185">
        <f>IFERROR(VLOOKUP(C1185,Customers!$A:$E,3,FALSE),"")</f>
        <v>52</v>
      </c>
      <c r="O1185" s="33" t="str">
        <f>IFERROR(VLOOKUP(E1185,Sales_Reps!$A:$C,3,FALSE),"")</f>
        <v>North</v>
      </c>
      <c r="P1185" s="33">
        <f>IFERROR(VLOOKUP(D1185,Products!$A:$D,4,FALSE),"")</f>
        <v>1665</v>
      </c>
      <c r="Q1185" s="33">
        <f t="shared" si="18"/>
        <v>0.53361344537815125</v>
      </c>
    </row>
    <row r="1186" spans="1:17" x14ac:dyDescent="0.3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  <c r="L1186" t="str">
        <f>IFERROR(VLOOKUP(D1186,Products!$A:$C,3,FALSE),"")</f>
        <v>Sports</v>
      </c>
      <c r="M1186" t="str">
        <f>IFERROR(VLOOKUP(C1186,Customers!$A:$E,5,FALSE),"")</f>
        <v>Retail</v>
      </c>
      <c r="N1186">
        <f>IFERROR(VLOOKUP(C1186,Customers!$A:$E,3,FALSE),"")</f>
        <v>44</v>
      </c>
      <c r="O1186" s="33" t="str">
        <f>IFERROR(VLOOKUP(E1186,Sales_Reps!$A:$C,3,FALSE),"")</f>
        <v>West</v>
      </c>
      <c r="P1186" s="33">
        <f>IFERROR(VLOOKUP(D1186,Products!$A:$D,4,FALSE),"")</f>
        <v>2028</v>
      </c>
      <c r="Q1186" s="33">
        <f t="shared" si="18"/>
        <v>0.29090909090909089</v>
      </c>
    </row>
    <row r="1187" spans="1:17" x14ac:dyDescent="0.3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  <c r="L1187" t="str">
        <f>IFERROR(VLOOKUP(D1187,Products!$A:$C,3,FALSE),"")</f>
        <v>Apparel</v>
      </c>
      <c r="M1187" t="str">
        <f>IFERROR(VLOOKUP(C1187,Customers!$A:$E,5,FALSE),"")</f>
        <v>Retail</v>
      </c>
      <c r="N1187">
        <f>IFERROR(VLOOKUP(C1187,Customers!$A:$E,3,FALSE),"")</f>
        <v>41</v>
      </c>
      <c r="O1187" s="33" t="str">
        <f>IFERROR(VLOOKUP(E1187,Sales_Reps!$A:$C,3,FALSE),"")</f>
        <v>North</v>
      </c>
      <c r="P1187" s="33">
        <f>IFERROR(VLOOKUP(D1187,Products!$A:$D,4,FALSE),"")</f>
        <v>396</v>
      </c>
      <c r="Q1187" s="33">
        <f t="shared" si="18"/>
        <v>0.36129032258064514</v>
      </c>
    </row>
    <row r="1188" spans="1:17" x14ac:dyDescent="0.3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  <c r="L1188" t="str">
        <f>IFERROR(VLOOKUP(D1188,Products!$A:$C,3,FALSE),"")</f>
        <v>Electronics</v>
      </c>
      <c r="M1188" t="str">
        <f>IFERROR(VLOOKUP(C1188,Customers!$A:$E,5,FALSE),"")</f>
        <v>SMB</v>
      </c>
      <c r="N1188">
        <f>IFERROR(VLOOKUP(C1188,Customers!$A:$E,3,FALSE),"")</f>
        <v>44</v>
      </c>
      <c r="O1188" s="33" t="str">
        <f>IFERROR(VLOOKUP(E1188,Sales_Reps!$A:$C,3,FALSE),"")</f>
        <v>South</v>
      </c>
      <c r="P1188" s="33">
        <f>IFERROR(VLOOKUP(D1188,Products!$A:$D,4,FALSE),"")</f>
        <v>1665</v>
      </c>
      <c r="Q1188" s="33">
        <f t="shared" si="18"/>
        <v>0.53361344537815125</v>
      </c>
    </row>
    <row r="1189" spans="1:17" x14ac:dyDescent="0.3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  <c r="L1189" t="str">
        <f>IFERROR(VLOOKUP(D1189,Products!$A:$C,3,FALSE),"")</f>
        <v>Electronics</v>
      </c>
      <c r="M1189" t="str">
        <f>IFERROR(VLOOKUP(C1189,Customers!$A:$E,5,FALSE),"")</f>
        <v>Corporate</v>
      </c>
      <c r="N1189">
        <f>IFERROR(VLOOKUP(C1189,Customers!$A:$E,3,FALSE),"")</f>
        <v>41</v>
      </c>
      <c r="O1189" s="33" t="str">
        <f>IFERROR(VLOOKUP(E1189,Sales_Reps!$A:$C,3,FALSE),"")</f>
        <v>South</v>
      </c>
      <c r="P1189" s="33">
        <f>IFERROR(VLOOKUP(D1189,Products!$A:$D,4,FALSE),"")</f>
        <v>2405</v>
      </c>
      <c r="Q1189" s="33">
        <f t="shared" si="18"/>
        <v>0.54878048780487809</v>
      </c>
    </row>
    <row r="1190" spans="1:17" x14ac:dyDescent="0.3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  <c r="L1190" t="str">
        <f>IFERROR(VLOOKUP(D1190,Products!$A:$C,3,FALSE),"")</f>
        <v>Sports</v>
      </c>
      <c r="M1190" t="str">
        <f>IFERROR(VLOOKUP(C1190,Customers!$A:$E,5,FALSE),"")</f>
        <v>SMB</v>
      </c>
      <c r="N1190">
        <f>IFERROR(VLOOKUP(C1190,Customers!$A:$E,3,FALSE),"")</f>
        <v>22</v>
      </c>
      <c r="O1190" s="33" t="str">
        <f>IFERROR(VLOOKUP(E1190,Sales_Reps!$A:$C,3,FALSE),"")</f>
        <v>East</v>
      </c>
      <c r="P1190" s="33">
        <f>IFERROR(VLOOKUP(D1190,Products!$A:$D,4,FALSE),"")</f>
        <v>2265</v>
      </c>
      <c r="Q1190" s="33">
        <f t="shared" si="18"/>
        <v>0.58133086876155271</v>
      </c>
    </row>
    <row r="1191" spans="1:17" x14ac:dyDescent="0.3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  <c r="L1191" t="str">
        <f>IFERROR(VLOOKUP(D1191,Products!$A:$C,3,FALSE),"")</f>
        <v>Home</v>
      </c>
      <c r="M1191" t="str">
        <f>IFERROR(VLOOKUP(C1191,Customers!$A:$E,5,FALSE),"")</f>
        <v>Retail</v>
      </c>
      <c r="N1191">
        <f>IFERROR(VLOOKUP(C1191,Customers!$A:$E,3,FALSE),"")</f>
        <v>42</v>
      </c>
      <c r="O1191" s="33" t="str">
        <f>IFERROR(VLOOKUP(E1191,Sales_Reps!$A:$C,3,FALSE),"")</f>
        <v>South</v>
      </c>
      <c r="P1191" s="33">
        <f>IFERROR(VLOOKUP(D1191,Products!$A:$D,4,FALSE),"")</f>
        <v>2459</v>
      </c>
      <c r="Q1191" s="33">
        <f t="shared" si="18"/>
        <v>0.51594488188976373</v>
      </c>
    </row>
    <row r="1192" spans="1:17" x14ac:dyDescent="0.3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  <c r="L1192" t="str">
        <f>IFERROR(VLOOKUP(D1192,Products!$A:$C,3,FALSE),"")</f>
        <v>Electronics</v>
      </c>
      <c r="M1192" t="str">
        <f>IFERROR(VLOOKUP(C1192,Customers!$A:$E,5,FALSE),"")</f>
        <v>Retail</v>
      </c>
      <c r="N1192">
        <f>IFERROR(VLOOKUP(C1192,Customers!$A:$E,3,FALSE),"")</f>
        <v>24</v>
      </c>
      <c r="O1192" s="33" t="str">
        <f>IFERROR(VLOOKUP(E1192,Sales_Reps!$A:$C,3,FALSE),"")</f>
        <v>North</v>
      </c>
      <c r="P1192" s="33">
        <f>IFERROR(VLOOKUP(D1192,Products!$A:$D,4,FALSE),"")</f>
        <v>1665</v>
      </c>
      <c r="Q1192" s="33">
        <f t="shared" si="18"/>
        <v>0.53361344537815125</v>
      </c>
    </row>
    <row r="1193" spans="1:17" x14ac:dyDescent="0.3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  <c r="L1193" t="str">
        <f>IFERROR(VLOOKUP(D1193,Products!$A:$C,3,FALSE),"")</f>
        <v>Grocery</v>
      </c>
      <c r="M1193" t="str">
        <f>IFERROR(VLOOKUP(C1193,Customers!$A:$E,5,FALSE),"")</f>
        <v>Retail</v>
      </c>
      <c r="N1193">
        <f>IFERROR(VLOOKUP(C1193,Customers!$A:$E,3,FALSE),"")</f>
        <v>34</v>
      </c>
      <c r="O1193" s="33" t="str">
        <f>IFERROR(VLOOKUP(E1193,Sales_Reps!$A:$C,3,FALSE),"")</f>
        <v>East</v>
      </c>
      <c r="P1193" s="33">
        <f>IFERROR(VLOOKUP(D1193,Products!$A:$D,4,FALSE),"")</f>
        <v>434</v>
      </c>
      <c r="Q1193" s="33">
        <f t="shared" si="18"/>
        <v>0.5525773195876289</v>
      </c>
    </row>
    <row r="1194" spans="1:17" x14ac:dyDescent="0.3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  <c r="L1194" t="str">
        <f>IFERROR(VLOOKUP(D1194,Products!$A:$C,3,FALSE),"")</f>
        <v>Electronics</v>
      </c>
      <c r="M1194" t="str">
        <f>IFERROR(VLOOKUP(C1194,Customers!$A:$E,5,FALSE),"")</f>
        <v>Retail</v>
      </c>
      <c r="N1194">
        <f>IFERROR(VLOOKUP(C1194,Customers!$A:$E,3,FALSE),"")</f>
        <v>44</v>
      </c>
      <c r="O1194" s="33" t="str">
        <f>IFERROR(VLOOKUP(E1194,Sales_Reps!$A:$C,3,FALSE),"")</f>
        <v>South</v>
      </c>
      <c r="P1194" s="33">
        <f>IFERROR(VLOOKUP(D1194,Products!$A:$D,4,FALSE),"")</f>
        <v>128</v>
      </c>
      <c r="Q1194" s="33">
        <f t="shared" si="18"/>
        <v>0.57333333333333336</v>
      </c>
    </row>
    <row r="1195" spans="1:17" x14ac:dyDescent="0.3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  <c r="L1195" t="str">
        <f>IFERROR(VLOOKUP(D1195,Products!$A:$C,3,FALSE),"")</f>
        <v>Beauty</v>
      </c>
      <c r="M1195" t="str">
        <f>IFERROR(VLOOKUP(C1195,Customers!$A:$E,5,FALSE),"")</f>
        <v>SMB</v>
      </c>
      <c r="N1195">
        <f>IFERROR(VLOOKUP(C1195,Customers!$A:$E,3,FALSE),"")</f>
        <v>64</v>
      </c>
      <c r="O1195" s="33" t="str">
        <f>IFERROR(VLOOKUP(E1195,Sales_Reps!$A:$C,3,FALSE),"")</f>
        <v>North</v>
      </c>
      <c r="P1195" s="33">
        <f>IFERROR(VLOOKUP(D1195,Products!$A:$D,4,FALSE),"")</f>
        <v>2617</v>
      </c>
      <c r="Q1195" s="33">
        <f t="shared" si="18"/>
        <v>0.56957236842105263</v>
      </c>
    </row>
    <row r="1196" spans="1:17" x14ac:dyDescent="0.3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  <c r="L1196" t="str">
        <f>IFERROR(VLOOKUP(D1196,Products!$A:$C,3,FALSE),"")</f>
        <v>Beauty</v>
      </c>
      <c r="M1196" t="str">
        <f>IFERROR(VLOOKUP(C1196,Customers!$A:$E,5,FALSE),"")</f>
        <v>SMB</v>
      </c>
      <c r="N1196">
        <f>IFERROR(VLOOKUP(C1196,Customers!$A:$E,3,FALSE),"")</f>
        <v>39</v>
      </c>
      <c r="O1196" s="33" t="str">
        <f>IFERROR(VLOOKUP(E1196,Sales_Reps!$A:$C,3,FALSE),"")</f>
        <v>South</v>
      </c>
      <c r="P1196" s="33">
        <f>IFERROR(VLOOKUP(D1196,Products!$A:$D,4,FALSE),"")</f>
        <v>2237</v>
      </c>
      <c r="Q1196" s="33">
        <f t="shared" si="18"/>
        <v>0.56137254901960787</v>
      </c>
    </row>
    <row r="1197" spans="1:17" x14ac:dyDescent="0.3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  <c r="L1197" t="str">
        <f>IFERROR(VLOOKUP(D1197,Products!$A:$C,3,FALSE),"")</f>
        <v>Apparel</v>
      </c>
      <c r="M1197" t="str">
        <f>IFERROR(VLOOKUP(C1197,Customers!$A:$E,5,FALSE),"")</f>
        <v>Retail</v>
      </c>
      <c r="N1197">
        <f>IFERROR(VLOOKUP(C1197,Customers!$A:$E,3,FALSE),"")</f>
        <v>42</v>
      </c>
      <c r="O1197" s="33" t="str">
        <f>IFERROR(VLOOKUP(E1197,Sales_Reps!$A:$C,3,FALSE),"")</f>
        <v>East</v>
      </c>
      <c r="P1197" s="33">
        <f>IFERROR(VLOOKUP(D1197,Products!$A:$D,4,FALSE),"")</f>
        <v>1748</v>
      </c>
      <c r="Q1197" s="33">
        <f t="shared" si="18"/>
        <v>0.49333333333333335</v>
      </c>
    </row>
    <row r="1198" spans="1:17" x14ac:dyDescent="0.3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  <c r="L1198" t="str">
        <f>IFERROR(VLOOKUP(D1198,Products!$A:$C,3,FALSE),"")</f>
        <v>Apparel</v>
      </c>
      <c r="M1198" t="str">
        <f>IFERROR(VLOOKUP(C1198,Customers!$A:$E,5,FALSE),"")</f>
        <v>Retail</v>
      </c>
      <c r="N1198">
        <f>IFERROR(VLOOKUP(C1198,Customers!$A:$E,3,FALSE),"")</f>
        <v>29</v>
      </c>
      <c r="O1198" s="33" t="str">
        <f>IFERROR(VLOOKUP(E1198,Sales_Reps!$A:$C,3,FALSE),"")</f>
        <v>South</v>
      </c>
      <c r="P1198" s="33">
        <f>IFERROR(VLOOKUP(D1198,Products!$A:$D,4,FALSE),"")</f>
        <v>1173</v>
      </c>
      <c r="Q1198" s="33">
        <f t="shared" si="18"/>
        <v>0.52701612903225803</v>
      </c>
    </row>
    <row r="1199" spans="1:17" x14ac:dyDescent="0.3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  <c r="L1199" t="str">
        <f>IFERROR(VLOOKUP(D1199,Products!$A:$C,3,FALSE),"")</f>
        <v>Sports</v>
      </c>
      <c r="M1199" t="str">
        <f>IFERROR(VLOOKUP(C1199,Customers!$A:$E,5,FALSE),"")</f>
        <v>Corporate</v>
      </c>
      <c r="N1199">
        <f>IFERROR(VLOOKUP(C1199,Customers!$A:$E,3,FALSE),"")</f>
        <v>55</v>
      </c>
      <c r="O1199" s="33" t="str">
        <f>IFERROR(VLOOKUP(E1199,Sales_Reps!$A:$C,3,FALSE),"")</f>
        <v>South</v>
      </c>
      <c r="P1199" s="33">
        <f>IFERROR(VLOOKUP(D1199,Products!$A:$D,4,FALSE),"")</f>
        <v>147</v>
      </c>
      <c r="Q1199" s="33">
        <f t="shared" si="18"/>
        <v>0.22631578947368422</v>
      </c>
    </row>
    <row r="1200" spans="1:17" x14ac:dyDescent="0.3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  <c r="L1200" t="str">
        <f>IFERROR(VLOOKUP(D1200,Products!$A:$C,3,FALSE),"")</f>
        <v>Grocery</v>
      </c>
      <c r="M1200" t="str">
        <f>IFERROR(VLOOKUP(C1200,Customers!$A:$E,5,FALSE),"")</f>
        <v>SMB</v>
      </c>
      <c r="N1200">
        <f>IFERROR(VLOOKUP(C1200,Customers!$A:$E,3,FALSE),"")</f>
        <v>44</v>
      </c>
      <c r="O1200" s="33" t="str">
        <f>IFERROR(VLOOKUP(E1200,Sales_Reps!$A:$C,3,FALSE),"")</f>
        <v>East</v>
      </c>
      <c r="P1200" s="33">
        <f>IFERROR(VLOOKUP(D1200,Products!$A:$D,4,FALSE),"")</f>
        <v>1412</v>
      </c>
      <c r="Q1200" s="33">
        <f t="shared" si="18"/>
        <v>0.37797356828193834</v>
      </c>
    </row>
    <row r="1201" spans="1:17" x14ac:dyDescent="0.3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  <c r="L1201" t="str">
        <f>IFERROR(VLOOKUP(D1201,Products!$A:$C,3,FALSE),"")</f>
        <v>Apparel</v>
      </c>
      <c r="M1201" t="str">
        <f>IFERROR(VLOOKUP(C1201,Customers!$A:$E,5,FALSE),"")</f>
        <v>SMB</v>
      </c>
      <c r="N1201">
        <f>IFERROR(VLOOKUP(C1201,Customers!$A:$E,3,FALSE),"")</f>
        <v>26</v>
      </c>
      <c r="O1201" s="33" t="str">
        <f>IFERROR(VLOOKUP(E1201,Sales_Reps!$A:$C,3,FALSE),"")</f>
        <v>West</v>
      </c>
      <c r="P1201" s="33">
        <f>IFERROR(VLOOKUP(D1201,Products!$A:$D,4,FALSE),"")</f>
        <v>1075</v>
      </c>
      <c r="Q1201" s="33">
        <f t="shared" si="18"/>
        <v>0.57171314741035861</v>
      </c>
    </row>
    <row r="1202" spans="1:17" x14ac:dyDescent="0.3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  <c r="L1202" t="str">
        <f>IFERROR(VLOOKUP(D1202,Products!$A:$C,3,FALSE),"")</f>
        <v>Sports</v>
      </c>
      <c r="M1202" t="str">
        <f>IFERROR(VLOOKUP(C1202,Customers!$A:$E,5,FALSE),"")</f>
        <v>Retail</v>
      </c>
      <c r="N1202">
        <f>IFERROR(VLOOKUP(C1202,Customers!$A:$E,3,FALSE),"")</f>
        <v>56</v>
      </c>
      <c r="O1202" s="33" t="str">
        <f>IFERROR(VLOOKUP(E1202,Sales_Reps!$A:$C,3,FALSE),"")</f>
        <v>North</v>
      </c>
      <c r="P1202" s="33">
        <f>IFERROR(VLOOKUP(D1202,Products!$A:$D,4,FALSE),"")</f>
        <v>1860</v>
      </c>
      <c r="Q1202" s="33">
        <f t="shared" si="18"/>
        <v>0.50793650793650791</v>
      </c>
    </row>
    <row r="1203" spans="1:17" x14ac:dyDescent="0.3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  <c r="L1203" t="str">
        <f>IFERROR(VLOOKUP(D1203,Products!$A:$C,3,FALSE),"")</f>
        <v>Electronics</v>
      </c>
      <c r="M1203" t="str">
        <f>IFERROR(VLOOKUP(C1203,Customers!$A:$E,5,FALSE),"")</f>
        <v>SMB</v>
      </c>
      <c r="N1203">
        <f>IFERROR(VLOOKUP(C1203,Customers!$A:$E,3,FALSE),"")</f>
        <v>43</v>
      </c>
      <c r="O1203" s="33" t="str">
        <f>IFERROR(VLOOKUP(E1203,Sales_Reps!$A:$C,3,FALSE),"")</f>
        <v>South</v>
      </c>
      <c r="P1203" s="33">
        <f>IFERROR(VLOOKUP(D1203,Products!$A:$D,4,FALSE),"")</f>
        <v>1665</v>
      </c>
      <c r="Q1203" s="33">
        <f t="shared" si="18"/>
        <v>0.53361344537815125</v>
      </c>
    </row>
    <row r="1204" spans="1:17" x14ac:dyDescent="0.3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  <c r="L1204" t="str">
        <f>IFERROR(VLOOKUP(D1204,Products!$A:$C,3,FALSE),"")</f>
        <v>Home</v>
      </c>
      <c r="M1204" t="str">
        <f>IFERROR(VLOOKUP(C1204,Customers!$A:$E,5,FALSE),"")</f>
        <v>Corporate</v>
      </c>
      <c r="N1204">
        <f>IFERROR(VLOOKUP(C1204,Customers!$A:$E,3,FALSE),"")</f>
        <v>48</v>
      </c>
      <c r="O1204" s="33" t="str">
        <f>IFERROR(VLOOKUP(E1204,Sales_Reps!$A:$C,3,FALSE),"")</f>
        <v>South</v>
      </c>
      <c r="P1204" s="33">
        <f>IFERROR(VLOOKUP(D1204,Products!$A:$D,4,FALSE),"")</f>
        <v>329</v>
      </c>
      <c r="Q1204" s="33">
        <f t="shared" si="18"/>
        <v>0.50151515151515147</v>
      </c>
    </row>
    <row r="1205" spans="1:17" x14ac:dyDescent="0.3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  <c r="L1205" t="str">
        <f>IFERROR(VLOOKUP(D1205,Products!$A:$C,3,FALSE),"")</f>
        <v>Grocery</v>
      </c>
      <c r="M1205" t="str">
        <f>IFERROR(VLOOKUP(C1205,Customers!$A:$E,5,FALSE),"")</f>
        <v>Retail</v>
      </c>
      <c r="N1205">
        <f>IFERROR(VLOOKUP(C1205,Customers!$A:$E,3,FALSE),"")</f>
        <v>54</v>
      </c>
      <c r="O1205" s="33" t="str">
        <f>IFERROR(VLOOKUP(E1205,Sales_Reps!$A:$C,3,FALSE),"")</f>
        <v>South</v>
      </c>
      <c r="P1205" s="33">
        <f>IFERROR(VLOOKUP(D1205,Products!$A:$D,4,FALSE),"")</f>
        <v>434</v>
      </c>
      <c r="Q1205" s="33">
        <f t="shared" si="18"/>
        <v>0.5525773195876289</v>
      </c>
    </row>
    <row r="1206" spans="1:17" x14ac:dyDescent="0.3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  <c r="L1206" t="str">
        <f>IFERROR(VLOOKUP(D1206,Products!$A:$C,3,FALSE),"")</f>
        <v>Grocery</v>
      </c>
      <c r="M1206" t="str">
        <f>IFERROR(VLOOKUP(C1206,Customers!$A:$E,5,FALSE),"")</f>
        <v>SMB</v>
      </c>
      <c r="N1206">
        <f>IFERROR(VLOOKUP(C1206,Customers!$A:$E,3,FALSE),"")</f>
        <v>38</v>
      </c>
      <c r="O1206" s="33" t="str">
        <f>IFERROR(VLOOKUP(E1206,Sales_Reps!$A:$C,3,FALSE),"")</f>
        <v>North</v>
      </c>
      <c r="P1206" s="33">
        <f>IFERROR(VLOOKUP(D1206,Products!$A:$D,4,FALSE),"")</f>
        <v>1203</v>
      </c>
      <c r="Q1206" s="33">
        <f t="shared" si="18"/>
        <v>0.47004405286343615</v>
      </c>
    </row>
    <row r="1207" spans="1:17" x14ac:dyDescent="0.3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  <c r="L1207" t="str">
        <f>IFERROR(VLOOKUP(D1207,Products!$A:$C,3,FALSE),"")</f>
        <v>Sports</v>
      </c>
      <c r="M1207" t="str">
        <f>IFERROR(VLOOKUP(C1207,Customers!$A:$E,5,FALSE),"")</f>
        <v>SMB</v>
      </c>
      <c r="N1207">
        <f>IFERROR(VLOOKUP(C1207,Customers!$A:$E,3,FALSE),"")</f>
        <v>65</v>
      </c>
      <c r="O1207" s="33" t="str">
        <f>IFERROR(VLOOKUP(E1207,Sales_Reps!$A:$C,3,FALSE),"")</f>
        <v>South</v>
      </c>
      <c r="P1207" s="33">
        <f>IFERROR(VLOOKUP(D1207,Products!$A:$D,4,FALSE),"")</f>
        <v>974</v>
      </c>
      <c r="Q1207" s="33">
        <f t="shared" si="18"/>
        <v>0.59416666666666662</v>
      </c>
    </row>
    <row r="1208" spans="1:17" x14ac:dyDescent="0.3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  <c r="L1208" t="str">
        <f>IFERROR(VLOOKUP(D1208,Products!$A:$C,3,FALSE),"")</f>
        <v>Home</v>
      </c>
      <c r="M1208" t="str">
        <f>IFERROR(VLOOKUP(C1208,Customers!$A:$E,5,FALSE),"")</f>
        <v>SMB</v>
      </c>
      <c r="N1208">
        <f>IFERROR(VLOOKUP(C1208,Customers!$A:$E,3,FALSE),"")</f>
        <v>27</v>
      </c>
      <c r="O1208" s="33" t="str">
        <f>IFERROR(VLOOKUP(E1208,Sales_Reps!$A:$C,3,FALSE),"")</f>
        <v>South</v>
      </c>
      <c r="P1208" s="33">
        <f>IFERROR(VLOOKUP(D1208,Products!$A:$D,4,FALSE),"")</f>
        <v>2459</v>
      </c>
      <c r="Q1208" s="33">
        <f t="shared" si="18"/>
        <v>0.51594488188976373</v>
      </c>
    </row>
    <row r="1209" spans="1:17" x14ac:dyDescent="0.3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  <c r="L1209" t="str">
        <f>IFERROR(VLOOKUP(D1209,Products!$A:$C,3,FALSE),"")</f>
        <v>Beauty</v>
      </c>
      <c r="M1209" t="str">
        <f>IFERROR(VLOOKUP(C1209,Customers!$A:$E,5,FALSE),"")</f>
        <v>Retail</v>
      </c>
      <c r="N1209">
        <f>IFERROR(VLOOKUP(C1209,Customers!$A:$E,3,FALSE),"")</f>
        <v>42</v>
      </c>
      <c r="O1209" s="33" t="str">
        <f>IFERROR(VLOOKUP(E1209,Sales_Reps!$A:$C,3,FALSE),"")</f>
        <v>South</v>
      </c>
      <c r="P1209" s="33">
        <f>IFERROR(VLOOKUP(D1209,Products!$A:$D,4,FALSE),"")</f>
        <v>1728</v>
      </c>
      <c r="Q1209" s="33">
        <f t="shared" si="18"/>
        <v>0.48417910447761192</v>
      </c>
    </row>
    <row r="1210" spans="1:17" x14ac:dyDescent="0.3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  <c r="L1210" t="str">
        <f>IFERROR(VLOOKUP(D1210,Products!$A:$C,3,FALSE),"")</f>
        <v>Beauty</v>
      </c>
      <c r="M1210" t="str">
        <f>IFERROR(VLOOKUP(C1210,Customers!$A:$E,5,FALSE),"")</f>
        <v>Retail</v>
      </c>
      <c r="N1210">
        <f>IFERROR(VLOOKUP(C1210,Customers!$A:$E,3,FALSE),"")</f>
        <v>22</v>
      </c>
      <c r="O1210" s="33" t="str">
        <f>IFERROR(VLOOKUP(E1210,Sales_Reps!$A:$C,3,FALSE),"")</f>
        <v>North</v>
      </c>
      <c r="P1210" s="33">
        <f>IFERROR(VLOOKUP(D1210,Products!$A:$D,4,FALSE),"")</f>
        <v>647</v>
      </c>
      <c r="Q1210" s="33">
        <f t="shared" si="18"/>
        <v>0.57987012987012987</v>
      </c>
    </row>
    <row r="1211" spans="1:17" x14ac:dyDescent="0.3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  <c r="L1211" t="str">
        <f>IFERROR(VLOOKUP(D1211,Products!$A:$C,3,FALSE),"")</f>
        <v>Home</v>
      </c>
      <c r="M1211" t="str">
        <f>IFERROR(VLOOKUP(C1211,Customers!$A:$E,5,FALSE),"")</f>
        <v>Retail</v>
      </c>
      <c r="N1211">
        <f>IFERROR(VLOOKUP(C1211,Customers!$A:$E,3,FALSE),"")</f>
        <v>65</v>
      </c>
      <c r="O1211" s="33" t="str">
        <f>IFERROR(VLOOKUP(E1211,Sales_Reps!$A:$C,3,FALSE),"")</f>
        <v>North</v>
      </c>
      <c r="P1211" s="33">
        <f>IFERROR(VLOOKUP(D1211,Products!$A:$D,4,FALSE),"")</f>
        <v>2459</v>
      </c>
      <c r="Q1211" s="33">
        <f t="shared" si="18"/>
        <v>0.51594488188976373</v>
      </c>
    </row>
    <row r="1212" spans="1:17" x14ac:dyDescent="0.3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  <c r="L1212" t="str">
        <f>IFERROR(VLOOKUP(D1212,Products!$A:$C,3,FALSE),"")</f>
        <v>Apparel</v>
      </c>
      <c r="M1212" t="str">
        <f>IFERROR(VLOOKUP(C1212,Customers!$A:$E,5,FALSE),"")</f>
        <v>Retail</v>
      </c>
      <c r="N1212">
        <f>IFERROR(VLOOKUP(C1212,Customers!$A:$E,3,FALSE),"")</f>
        <v>49</v>
      </c>
      <c r="O1212" s="33" t="str">
        <f>IFERROR(VLOOKUP(E1212,Sales_Reps!$A:$C,3,FALSE),"")</f>
        <v>South</v>
      </c>
      <c r="P1212" s="33">
        <f>IFERROR(VLOOKUP(D1212,Products!$A:$D,4,FALSE),"")</f>
        <v>2629</v>
      </c>
      <c r="Q1212" s="33">
        <f t="shared" si="18"/>
        <v>0.26151685393258428</v>
      </c>
    </row>
    <row r="1213" spans="1:17" x14ac:dyDescent="0.3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  <c r="L1213" t="str">
        <f>IFERROR(VLOOKUP(D1213,Products!$A:$C,3,FALSE),"")</f>
        <v>Home</v>
      </c>
      <c r="M1213" t="str">
        <f>IFERROR(VLOOKUP(C1213,Customers!$A:$E,5,FALSE),"")</f>
        <v>Retail</v>
      </c>
      <c r="N1213">
        <f>IFERROR(VLOOKUP(C1213,Customers!$A:$E,3,FALSE),"")</f>
        <v>27</v>
      </c>
      <c r="O1213" s="33" t="str">
        <f>IFERROR(VLOOKUP(E1213,Sales_Reps!$A:$C,3,FALSE),"")</f>
        <v>South</v>
      </c>
      <c r="P1213" s="33">
        <f>IFERROR(VLOOKUP(D1213,Products!$A:$D,4,FALSE),"")</f>
        <v>519</v>
      </c>
      <c r="Q1213" s="33">
        <f t="shared" si="18"/>
        <v>0.51944444444444449</v>
      </c>
    </row>
    <row r="1214" spans="1:17" x14ac:dyDescent="0.3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  <c r="L1214" t="str">
        <f>IFERROR(VLOOKUP(D1214,Products!$A:$C,3,FALSE),"")</f>
        <v>Grocery</v>
      </c>
      <c r="M1214" t="str">
        <f>IFERROR(VLOOKUP(C1214,Customers!$A:$E,5,FALSE),"")</f>
        <v>Retail</v>
      </c>
      <c r="N1214">
        <f>IFERROR(VLOOKUP(C1214,Customers!$A:$E,3,FALSE),"")</f>
        <v>50</v>
      </c>
      <c r="O1214" s="33" t="str">
        <f>IFERROR(VLOOKUP(E1214,Sales_Reps!$A:$C,3,FALSE),"")</f>
        <v>East</v>
      </c>
      <c r="P1214" s="33">
        <f>IFERROR(VLOOKUP(D1214,Products!$A:$D,4,FALSE),"")</f>
        <v>1182</v>
      </c>
      <c r="Q1214" s="33">
        <f t="shared" si="18"/>
        <v>0.50336134453781511</v>
      </c>
    </row>
    <row r="1215" spans="1:17" x14ac:dyDescent="0.3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  <c r="L1215" t="str">
        <f>IFERROR(VLOOKUP(D1215,Products!$A:$C,3,FALSE),"")</f>
        <v>Apparel</v>
      </c>
      <c r="M1215" t="str">
        <f>IFERROR(VLOOKUP(C1215,Customers!$A:$E,5,FALSE),"")</f>
        <v>SMB</v>
      </c>
      <c r="N1215">
        <f>IFERROR(VLOOKUP(C1215,Customers!$A:$E,3,FALSE),"")</f>
        <v>57</v>
      </c>
      <c r="O1215" s="33" t="str">
        <f>IFERROR(VLOOKUP(E1215,Sales_Reps!$A:$C,3,FALSE),"")</f>
        <v>West</v>
      </c>
      <c r="P1215" s="33">
        <f>IFERROR(VLOOKUP(D1215,Products!$A:$D,4,FALSE),"")</f>
        <v>1173</v>
      </c>
      <c r="Q1215" s="33">
        <f t="shared" si="18"/>
        <v>0.52701612903225803</v>
      </c>
    </row>
    <row r="1216" spans="1:17" x14ac:dyDescent="0.3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  <c r="L1216" t="str">
        <f>IFERROR(VLOOKUP(D1216,Products!$A:$C,3,FALSE),"")</f>
        <v>Beauty</v>
      </c>
      <c r="M1216" t="str">
        <f>IFERROR(VLOOKUP(C1216,Customers!$A:$E,5,FALSE),"")</f>
        <v>SMB</v>
      </c>
      <c r="N1216">
        <f>IFERROR(VLOOKUP(C1216,Customers!$A:$E,3,FALSE),"")</f>
        <v>29</v>
      </c>
      <c r="O1216" s="33" t="str">
        <f>IFERROR(VLOOKUP(E1216,Sales_Reps!$A:$C,3,FALSE),"")</f>
        <v>South</v>
      </c>
      <c r="P1216" s="33">
        <f>IFERROR(VLOOKUP(D1216,Products!$A:$D,4,FALSE),"")</f>
        <v>1219</v>
      </c>
      <c r="Q1216" s="33">
        <f t="shared" si="18"/>
        <v>0.46768558951965067</v>
      </c>
    </row>
    <row r="1217" spans="1:17" x14ac:dyDescent="0.3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  <c r="L1217" t="str">
        <f>IFERROR(VLOOKUP(D1217,Products!$A:$C,3,FALSE),"")</f>
        <v>Apparel</v>
      </c>
      <c r="M1217" t="str">
        <f>IFERROR(VLOOKUP(C1217,Customers!$A:$E,5,FALSE),"")</f>
        <v>Retail</v>
      </c>
      <c r="N1217">
        <f>IFERROR(VLOOKUP(C1217,Customers!$A:$E,3,FALSE),"")</f>
        <v>44</v>
      </c>
      <c r="O1217" s="33" t="str">
        <f>IFERROR(VLOOKUP(E1217,Sales_Reps!$A:$C,3,FALSE),"")</f>
        <v>South</v>
      </c>
      <c r="P1217" s="33">
        <f>IFERROR(VLOOKUP(D1217,Products!$A:$D,4,FALSE),"")</f>
        <v>1748</v>
      </c>
      <c r="Q1217" s="33">
        <f t="shared" si="18"/>
        <v>0.49333333333333335</v>
      </c>
    </row>
    <row r="1218" spans="1:17" x14ac:dyDescent="0.3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  <c r="L1218" t="str">
        <f>IFERROR(VLOOKUP(D1218,Products!$A:$C,3,FALSE),"")</f>
        <v>Beauty</v>
      </c>
      <c r="M1218" t="str">
        <f>IFERROR(VLOOKUP(C1218,Customers!$A:$E,5,FALSE),"")</f>
        <v>SMB</v>
      </c>
      <c r="N1218">
        <f>IFERROR(VLOOKUP(C1218,Customers!$A:$E,3,FALSE),"")</f>
        <v>27</v>
      </c>
      <c r="O1218" s="33" t="str">
        <f>IFERROR(VLOOKUP(E1218,Sales_Reps!$A:$C,3,FALSE),"")</f>
        <v>West</v>
      </c>
      <c r="P1218" s="33">
        <f>IFERROR(VLOOKUP(D1218,Products!$A:$D,4,FALSE),"")</f>
        <v>2420</v>
      </c>
      <c r="Q1218" s="33">
        <f t="shared" si="18"/>
        <v>0.29855072463768118</v>
      </c>
    </row>
    <row r="1219" spans="1:17" x14ac:dyDescent="0.3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  <c r="L1219" t="str">
        <f>IFERROR(VLOOKUP(D1219,Products!$A:$C,3,FALSE),"")</f>
        <v>Electronics</v>
      </c>
      <c r="M1219" t="str">
        <f>IFERROR(VLOOKUP(C1219,Customers!$A:$E,5,FALSE),"")</f>
        <v>Corporate</v>
      </c>
      <c r="N1219">
        <f>IFERROR(VLOOKUP(C1219,Customers!$A:$E,3,FALSE),"")</f>
        <v>59</v>
      </c>
      <c r="O1219" s="33" t="str">
        <f>IFERROR(VLOOKUP(E1219,Sales_Reps!$A:$C,3,FALSE),"")</f>
        <v>West</v>
      </c>
      <c r="P1219" s="33">
        <f>IFERROR(VLOOKUP(D1219,Products!$A:$D,4,FALSE),"")</f>
        <v>1052</v>
      </c>
      <c r="Q1219" s="33">
        <f t="shared" ref="Q1219:Q1282" si="19">IFERROR((G1219-P1219)/G1219,"")</f>
        <v>0.5953846153846154</v>
      </c>
    </row>
    <row r="1220" spans="1:17" x14ac:dyDescent="0.3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  <c r="L1220" t="str">
        <f>IFERROR(VLOOKUP(D1220,Products!$A:$C,3,FALSE),"")</f>
        <v>Grocery</v>
      </c>
      <c r="M1220" t="str">
        <f>IFERROR(VLOOKUP(C1220,Customers!$A:$E,5,FALSE),"")</f>
        <v>SMB</v>
      </c>
      <c r="N1220">
        <f>IFERROR(VLOOKUP(C1220,Customers!$A:$E,3,FALSE),"")</f>
        <v>49</v>
      </c>
      <c r="O1220" s="33" t="str">
        <f>IFERROR(VLOOKUP(E1220,Sales_Reps!$A:$C,3,FALSE),"")</f>
        <v>West</v>
      </c>
      <c r="P1220" s="33">
        <f>IFERROR(VLOOKUP(D1220,Products!$A:$D,4,FALSE),"")</f>
        <v>1435</v>
      </c>
      <c r="Q1220" s="33">
        <f t="shared" si="19"/>
        <v>0.48007246376811596</v>
      </c>
    </row>
    <row r="1221" spans="1:17" x14ac:dyDescent="0.3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  <c r="L1221" t="str">
        <f>IFERROR(VLOOKUP(D1221,Products!$A:$C,3,FALSE),"")</f>
        <v>Home</v>
      </c>
      <c r="M1221" t="str">
        <f>IFERROR(VLOOKUP(C1221,Customers!$A:$E,5,FALSE),"")</f>
        <v>Corporate</v>
      </c>
      <c r="N1221">
        <f>IFERROR(VLOOKUP(C1221,Customers!$A:$E,3,FALSE),"")</f>
        <v>26</v>
      </c>
      <c r="O1221" s="33" t="str">
        <f>IFERROR(VLOOKUP(E1221,Sales_Reps!$A:$C,3,FALSE),"")</f>
        <v>North</v>
      </c>
      <c r="P1221" s="33">
        <f>IFERROR(VLOOKUP(D1221,Products!$A:$D,4,FALSE),"")</f>
        <v>1850</v>
      </c>
      <c r="Q1221" s="33">
        <f t="shared" si="19"/>
        <v>0.59869848156182215</v>
      </c>
    </row>
    <row r="1222" spans="1:17" x14ac:dyDescent="0.3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  <c r="L1222" t="str">
        <f>IFERROR(VLOOKUP(D1222,Products!$A:$C,3,FALSE),"")</f>
        <v>Apparel</v>
      </c>
      <c r="M1222" t="str">
        <f>IFERROR(VLOOKUP(C1222,Customers!$A:$E,5,FALSE),"")</f>
        <v>Retail</v>
      </c>
      <c r="N1222">
        <f>IFERROR(VLOOKUP(C1222,Customers!$A:$E,3,FALSE),"")</f>
        <v>60</v>
      </c>
      <c r="O1222" s="33" t="str">
        <f>IFERROR(VLOOKUP(E1222,Sales_Reps!$A:$C,3,FALSE),"")</f>
        <v>West</v>
      </c>
      <c r="P1222" s="33">
        <f>IFERROR(VLOOKUP(D1222,Products!$A:$D,4,FALSE),"")</f>
        <v>1173</v>
      </c>
      <c r="Q1222" s="33">
        <f t="shared" si="19"/>
        <v>0.52701612903225803</v>
      </c>
    </row>
    <row r="1223" spans="1:17" x14ac:dyDescent="0.3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  <c r="L1223" t="str">
        <f>IFERROR(VLOOKUP(D1223,Products!$A:$C,3,FALSE),"")</f>
        <v>Sports</v>
      </c>
      <c r="M1223" t="str">
        <f>IFERROR(VLOOKUP(C1223,Customers!$A:$E,5,FALSE),"")</f>
        <v>SMB</v>
      </c>
      <c r="N1223">
        <f>IFERROR(VLOOKUP(C1223,Customers!$A:$E,3,FALSE),"")</f>
        <v>29</v>
      </c>
      <c r="O1223" s="33" t="str">
        <f>IFERROR(VLOOKUP(E1223,Sales_Reps!$A:$C,3,FALSE),"")</f>
        <v>South</v>
      </c>
      <c r="P1223" s="33">
        <f>IFERROR(VLOOKUP(D1223,Products!$A:$D,4,FALSE),"")</f>
        <v>2827</v>
      </c>
      <c r="Q1223" s="33">
        <f t="shared" si="19"/>
        <v>0.5926512968299712</v>
      </c>
    </row>
    <row r="1224" spans="1:17" x14ac:dyDescent="0.3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  <c r="L1224" t="str">
        <f>IFERROR(VLOOKUP(D1224,Products!$A:$C,3,FALSE),"")</f>
        <v>Grocery</v>
      </c>
      <c r="M1224" t="str">
        <f>IFERROR(VLOOKUP(C1224,Customers!$A:$E,5,FALSE),"")</f>
        <v>SMB</v>
      </c>
      <c r="N1224">
        <f>IFERROR(VLOOKUP(C1224,Customers!$A:$E,3,FALSE),"")</f>
        <v>48</v>
      </c>
      <c r="O1224" s="33" t="str">
        <f>IFERROR(VLOOKUP(E1224,Sales_Reps!$A:$C,3,FALSE),"")</f>
        <v>East</v>
      </c>
      <c r="P1224" s="33">
        <f>IFERROR(VLOOKUP(D1224,Products!$A:$D,4,FALSE),"")</f>
        <v>1412</v>
      </c>
      <c r="Q1224" s="33">
        <f t="shared" si="19"/>
        <v>0.37797356828193834</v>
      </c>
    </row>
    <row r="1225" spans="1:17" x14ac:dyDescent="0.3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  <c r="L1225" t="str">
        <f>IFERROR(VLOOKUP(D1225,Products!$A:$C,3,FALSE),"")</f>
        <v>Beauty</v>
      </c>
      <c r="M1225" t="str">
        <f>IFERROR(VLOOKUP(C1225,Customers!$A:$E,5,FALSE),"")</f>
        <v>SMB</v>
      </c>
      <c r="N1225">
        <f>IFERROR(VLOOKUP(C1225,Customers!$A:$E,3,FALSE),"")</f>
        <v>36</v>
      </c>
      <c r="O1225" s="33" t="str">
        <f>IFERROR(VLOOKUP(E1225,Sales_Reps!$A:$C,3,FALSE),"")</f>
        <v>West</v>
      </c>
      <c r="P1225" s="33">
        <f>IFERROR(VLOOKUP(D1225,Products!$A:$D,4,FALSE),"")</f>
        <v>2237</v>
      </c>
      <c r="Q1225" s="33">
        <f t="shared" si="19"/>
        <v>0.56137254901960787</v>
      </c>
    </row>
    <row r="1226" spans="1:17" x14ac:dyDescent="0.3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  <c r="L1226" t="str">
        <f>IFERROR(VLOOKUP(D1226,Products!$A:$C,3,FALSE),"")</f>
        <v>Home</v>
      </c>
      <c r="M1226" t="str">
        <f>IFERROR(VLOOKUP(C1226,Customers!$A:$E,5,FALSE),"")</f>
        <v>SMB</v>
      </c>
      <c r="N1226">
        <f>IFERROR(VLOOKUP(C1226,Customers!$A:$E,3,FALSE),"")</f>
        <v>43</v>
      </c>
      <c r="O1226" s="33" t="str">
        <f>IFERROR(VLOOKUP(E1226,Sales_Reps!$A:$C,3,FALSE),"")</f>
        <v>South</v>
      </c>
      <c r="P1226" s="33">
        <f>IFERROR(VLOOKUP(D1226,Products!$A:$D,4,FALSE),"")</f>
        <v>1556</v>
      </c>
      <c r="Q1226" s="33">
        <f t="shared" si="19"/>
        <v>0.52123076923076928</v>
      </c>
    </row>
    <row r="1227" spans="1:17" x14ac:dyDescent="0.3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  <c r="L1227" t="str">
        <f>IFERROR(VLOOKUP(D1227,Products!$A:$C,3,FALSE),"")</f>
        <v>Electronics</v>
      </c>
      <c r="M1227" t="str">
        <f>IFERROR(VLOOKUP(C1227,Customers!$A:$E,5,FALSE),"")</f>
        <v>Retail</v>
      </c>
      <c r="N1227">
        <f>IFERROR(VLOOKUP(C1227,Customers!$A:$E,3,FALSE),"")</f>
        <v>59</v>
      </c>
      <c r="O1227" s="33" t="str">
        <f>IFERROR(VLOOKUP(E1227,Sales_Reps!$A:$C,3,FALSE),"")</f>
        <v>North</v>
      </c>
      <c r="P1227" s="33">
        <f>IFERROR(VLOOKUP(D1227,Products!$A:$D,4,FALSE),"")</f>
        <v>2865</v>
      </c>
      <c r="Q1227" s="33">
        <f t="shared" si="19"/>
        <v>0.27833753148614609</v>
      </c>
    </row>
    <row r="1228" spans="1:17" x14ac:dyDescent="0.3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  <c r="L1228" t="str">
        <f>IFERROR(VLOOKUP(D1228,Products!$A:$C,3,FALSE),"")</f>
        <v>Electronics</v>
      </c>
      <c r="M1228" t="str">
        <f>IFERROR(VLOOKUP(C1228,Customers!$A:$E,5,FALSE),"")</f>
        <v>Corporate</v>
      </c>
      <c r="N1228">
        <f>IFERROR(VLOOKUP(C1228,Customers!$A:$E,3,FALSE),"")</f>
        <v>52</v>
      </c>
      <c r="O1228" s="33" t="str">
        <f>IFERROR(VLOOKUP(E1228,Sales_Reps!$A:$C,3,FALSE),"")</f>
        <v>West</v>
      </c>
      <c r="P1228" s="33">
        <f>IFERROR(VLOOKUP(D1228,Products!$A:$D,4,FALSE),"")</f>
        <v>2405</v>
      </c>
      <c r="Q1228" s="33">
        <f t="shared" si="19"/>
        <v>0.54878048780487809</v>
      </c>
    </row>
    <row r="1229" spans="1:17" x14ac:dyDescent="0.3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  <c r="L1229" t="str">
        <f>IFERROR(VLOOKUP(D1229,Products!$A:$C,3,FALSE),"")</f>
        <v>Electronics</v>
      </c>
      <c r="M1229" t="str">
        <f>IFERROR(VLOOKUP(C1229,Customers!$A:$E,5,FALSE),"")</f>
        <v>Retail</v>
      </c>
      <c r="N1229">
        <f>IFERROR(VLOOKUP(C1229,Customers!$A:$E,3,FALSE),"")</f>
        <v>42</v>
      </c>
      <c r="O1229" s="33" t="str">
        <f>IFERROR(VLOOKUP(E1229,Sales_Reps!$A:$C,3,FALSE),"")</f>
        <v>North</v>
      </c>
      <c r="P1229" s="33">
        <f>IFERROR(VLOOKUP(D1229,Products!$A:$D,4,FALSE),"")</f>
        <v>1259</v>
      </c>
      <c r="Q1229" s="33">
        <f t="shared" si="19"/>
        <v>0.52669172932330832</v>
      </c>
    </row>
    <row r="1230" spans="1:17" x14ac:dyDescent="0.3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  <c r="L1230" t="str">
        <f>IFERROR(VLOOKUP(D1230,Products!$A:$C,3,FALSE),"")</f>
        <v>Apparel</v>
      </c>
      <c r="M1230" t="str">
        <f>IFERROR(VLOOKUP(C1230,Customers!$A:$E,5,FALSE),"")</f>
        <v>Retail</v>
      </c>
      <c r="N1230">
        <f>IFERROR(VLOOKUP(C1230,Customers!$A:$E,3,FALSE),"")</f>
        <v>39</v>
      </c>
      <c r="O1230" s="33" t="str">
        <f>IFERROR(VLOOKUP(E1230,Sales_Reps!$A:$C,3,FALSE),"")</f>
        <v>West</v>
      </c>
      <c r="P1230" s="33">
        <f>IFERROR(VLOOKUP(D1230,Products!$A:$D,4,FALSE),"")</f>
        <v>1886</v>
      </c>
      <c r="Q1230" s="33">
        <f t="shared" si="19"/>
        <v>0.4031645569620253</v>
      </c>
    </row>
    <row r="1231" spans="1:17" x14ac:dyDescent="0.3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  <c r="L1231" t="str">
        <f>IFERROR(VLOOKUP(D1231,Products!$A:$C,3,FALSE),"")</f>
        <v>Sports</v>
      </c>
      <c r="M1231" t="str">
        <f>IFERROR(VLOOKUP(C1231,Customers!$A:$E,5,FALSE),"")</f>
        <v>Corporate</v>
      </c>
      <c r="N1231">
        <f>IFERROR(VLOOKUP(C1231,Customers!$A:$E,3,FALSE),"")</f>
        <v>33</v>
      </c>
      <c r="O1231" s="33" t="str">
        <f>IFERROR(VLOOKUP(E1231,Sales_Reps!$A:$C,3,FALSE),"")</f>
        <v>East</v>
      </c>
      <c r="P1231" s="33">
        <f>IFERROR(VLOOKUP(D1231,Products!$A:$D,4,FALSE),"")</f>
        <v>516</v>
      </c>
      <c r="Q1231" s="33">
        <f t="shared" si="19"/>
        <v>0.4891089108910891</v>
      </c>
    </row>
    <row r="1232" spans="1:17" x14ac:dyDescent="0.3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  <c r="L1232" t="str">
        <f>IFERROR(VLOOKUP(D1232,Products!$A:$C,3,FALSE),"")</f>
        <v>Beauty</v>
      </c>
      <c r="M1232" t="str">
        <f>IFERROR(VLOOKUP(C1232,Customers!$A:$E,5,FALSE),"")</f>
        <v>SMB</v>
      </c>
      <c r="N1232">
        <f>IFERROR(VLOOKUP(C1232,Customers!$A:$E,3,FALSE),"")</f>
        <v>27</v>
      </c>
      <c r="O1232" s="33" t="str">
        <f>IFERROR(VLOOKUP(E1232,Sales_Reps!$A:$C,3,FALSE),"")</f>
        <v>North</v>
      </c>
      <c r="P1232" s="33">
        <f>IFERROR(VLOOKUP(D1232,Products!$A:$D,4,FALSE),"")</f>
        <v>647</v>
      </c>
      <c r="Q1232" s="33">
        <f t="shared" si="19"/>
        <v>0.57987012987012987</v>
      </c>
    </row>
    <row r="1233" spans="1:17" x14ac:dyDescent="0.3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  <c r="L1233" t="str">
        <f>IFERROR(VLOOKUP(D1233,Products!$A:$C,3,FALSE),"")</f>
        <v>Beauty</v>
      </c>
      <c r="M1233" t="str">
        <f>IFERROR(VLOOKUP(C1233,Customers!$A:$E,5,FALSE),"")</f>
        <v>Retail</v>
      </c>
      <c r="N1233">
        <f>IFERROR(VLOOKUP(C1233,Customers!$A:$E,3,FALSE),"")</f>
        <v>26</v>
      </c>
      <c r="O1233" s="33" t="str">
        <f>IFERROR(VLOOKUP(E1233,Sales_Reps!$A:$C,3,FALSE),"")</f>
        <v>South</v>
      </c>
      <c r="P1233" s="33">
        <f>IFERROR(VLOOKUP(D1233,Products!$A:$D,4,FALSE),"")</f>
        <v>2237</v>
      </c>
      <c r="Q1233" s="33">
        <f t="shared" si="19"/>
        <v>0.56137254901960787</v>
      </c>
    </row>
    <row r="1234" spans="1:17" x14ac:dyDescent="0.3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  <c r="L1234" t="str">
        <f>IFERROR(VLOOKUP(D1234,Products!$A:$C,3,FALSE),"")</f>
        <v>Electronics</v>
      </c>
      <c r="M1234" t="str">
        <f>IFERROR(VLOOKUP(C1234,Customers!$A:$E,5,FALSE),"")</f>
        <v>Retail</v>
      </c>
      <c r="N1234">
        <f>IFERROR(VLOOKUP(C1234,Customers!$A:$E,3,FALSE),"")</f>
        <v>22</v>
      </c>
      <c r="O1234" s="33" t="str">
        <f>IFERROR(VLOOKUP(E1234,Sales_Reps!$A:$C,3,FALSE),"")</f>
        <v>West</v>
      </c>
      <c r="P1234" s="33">
        <f>IFERROR(VLOOKUP(D1234,Products!$A:$D,4,FALSE),"")</f>
        <v>861</v>
      </c>
      <c r="Q1234" s="33">
        <f t="shared" si="19"/>
        <v>0.39790209790209791</v>
      </c>
    </row>
    <row r="1235" spans="1:17" x14ac:dyDescent="0.3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  <c r="L1235" t="str">
        <f>IFERROR(VLOOKUP(D1235,Products!$A:$C,3,FALSE),"")</f>
        <v>Home</v>
      </c>
      <c r="M1235" t="str">
        <f>IFERROR(VLOOKUP(C1235,Customers!$A:$E,5,FALSE),"")</f>
        <v>Retail</v>
      </c>
      <c r="N1235">
        <f>IFERROR(VLOOKUP(C1235,Customers!$A:$E,3,FALSE),"")</f>
        <v>31</v>
      </c>
      <c r="O1235" s="33" t="str">
        <f>IFERROR(VLOOKUP(E1235,Sales_Reps!$A:$C,3,FALSE),"")</f>
        <v>South</v>
      </c>
      <c r="P1235" s="33">
        <f>IFERROR(VLOOKUP(D1235,Products!$A:$D,4,FALSE),"")</f>
        <v>2549</v>
      </c>
      <c r="Q1235" s="33">
        <f t="shared" si="19"/>
        <v>0.53570127504553733</v>
      </c>
    </row>
    <row r="1236" spans="1:17" x14ac:dyDescent="0.3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  <c r="L1236" t="str">
        <f>IFERROR(VLOOKUP(D1236,Products!$A:$C,3,FALSE),"")</f>
        <v>Beauty</v>
      </c>
      <c r="M1236" t="str">
        <f>IFERROR(VLOOKUP(C1236,Customers!$A:$E,5,FALSE),"")</f>
        <v>Retail</v>
      </c>
      <c r="N1236">
        <f>IFERROR(VLOOKUP(C1236,Customers!$A:$E,3,FALSE),"")</f>
        <v>22</v>
      </c>
      <c r="O1236" s="33" t="str">
        <f>IFERROR(VLOOKUP(E1236,Sales_Reps!$A:$C,3,FALSE),"")</f>
        <v>North</v>
      </c>
      <c r="P1236" s="33">
        <f>IFERROR(VLOOKUP(D1236,Products!$A:$D,4,FALSE),"")</f>
        <v>1222</v>
      </c>
      <c r="Q1236" s="33">
        <f t="shared" si="19"/>
        <v>0.2593939393939394</v>
      </c>
    </row>
    <row r="1237" spans="1:17" x14ac:dyDescent="0.3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  <c r="L1237" t="str">
        <f>IFERROR(VLOOKUP(D1237,Products!$A:$C,3,FALSE),"")</f>
        <v>Beauty</v>
      </c>
      <c r="M1237" t="str">
        <f>IFERROR(VLOOKUP(C1237,Customers!$A:$E,5,FALSE),"")</f>
        <v>SMB</v>
      </c>
      <c r="N1237">
        <f>IFERROR(VLOOKUP(C1237,Customers!$A:$E,3,FALSE),"")</f>
        <v>31</v>
      </c>
      <c r="O1237" s="33" t="str">
        <f>IFERROR(VLOOKUP(E1237,Sales_Reps!$A:$C,3,FALSE),"")</f>
        <v>East</v>
      </c>
      <c r="P1237" s="33">
        <f>IFERROR(VLOOKUP(D1237,Products!$A:$D,4,FALSE),"")</f>
        <v>1626</v>
      </c>
      <c r="Q1237" s="33">
        <f t="shared" si="19"/>
        <v>0.46158940397350995</v>
      </c>
    </row>
    <row r="1238" spans="1:17" x14ac:dyDescent="0.3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  <c r="L1238" t="str">
        <f>IFERROR(VLOOKUP(D1238,Products!$A:$C,3,FALSE),"")</f>
        <v>Beauty</v>
      </c>
      <c r="M1238" t="str">
        <f>IFERROR(VLOOKUP(C1238,Customers!$A:$E,5,FALSE),"")</f>
        <v>SMB</v>
      </c>
      <c r="N1238">
        <f>IFERROR(VLOOKUP(C1238,Customers!$A:$E,3,FALSE),"")</f>
        <v>54</v>
      </c>
      <c r="O1238" s="33" t="str">
        <f>IFERROR(VLOOKUP(E1238,Sales_Reps!$A:$C,3,FALSE),"")</f>
        <v>North</v>
      </c>
      <c r="P1238" s="33">
        <f>IFERROR(VLOOKUP(D1238,Products!$A:$D,4,FALSE),"")</f>
        <v>647</v>
      </c>
      <c r="Q1238" s="33">
        <f t="shared" si="19"/>
        <v>0.57987012987012987</v>
      </c>
    </row>
    <row r="1239" spans="1:17" x14ac:dyDescent="0.3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  <c r="L1239" t="str">
        <f>IFERROR(VLOOKUP(D1239,Products!$A:$C,3,FALSE),"")</f>
        <v>Sports</v>
      </c>
      <c r="M1239" t="str">
        <f>IFERROR(VLOOKUP(C1239,Customers!$A:$E,5,FALSE),"")</f>
        <v>SMB</v>
      </c>
      <c r="N1239">
        <f>IFERROR(VLOOKUP(C1239,Customers!$A:$E,3,FALSE),"")</f>
        <v>60</v>
      </c>
      <c r="O1239" s="33" t="str">
        <f>IFERROR(VLOOKUP(E1239,Sales_Reps!$A:$C,3,FALSE),"")</f>
        <v>East</v>
      </c>
      <c r="P1239" s="33">
        <f>IFERROR(VLOOKUP(D1239,Products!$A:$D,4,FALSE),"")</f>
        <v>2827</v>
      </c>
      <c r="Q1239" s="33">
        <f t="shared" si="19"/>
        <v>0.5926512968299712</v>
      </c>
    </row>
    <row r="1240" spans="1:17" x14ac:dyDescent="0.3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  <c r="L1240" t="str">
        <f>IFERROR(VLOOKUP(D1240,Products!$A:$C,3,FALSE),"")</f>
        <v>Beauty</v>
      </c>
      <c r="M1240" t="str">
        <f>IFERROR(VLOOKUP(C1240,Customers!$A:$E,5,FALSE),"")</f>
        <v>Retail</v>
      </c>
      <c r="N1240">
        <f>IFERROR(VLOOKUP(C1240,Customers!$A:$E,3,FALSE),"")</f>
        <v>36</v>
      </c>
      <c r="O1240" s="33" t="str">
        <f>IFERROR(VLOOKUP(E1240,Sales_Reps!$A:$C,3,FALSE),"")</f>
        <v>East</v>
      </c>
      <c r="P1240" s="33">
        <f>IFERROR(VLOOKUP(D1240,Products!$A:$D,4,FALSE),"")</f>
        <v>2237</v>
      </c>
      <c r="Q1240" s="33">
        <f t="shared" si="19"/>
        <v>0.56137254901960787</v>
      </c>
    </row>
    <row r="1241" spans="1:17" x14ac:dyDescent="0.3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  <c r="L1241" t="str">
        <f>IFERROR(VLOOKUP(D1241,Products!$A:$C,3,FALSE),"")</f>
        <v>Electronics</v>
      </c>
      <c r="M1241" t="str">
        <f>IFERROR(VLOOKUP(C1241,Customers!$A:$E,5,FALSE),"")</f>
        <v>Corporate</v>
      </c>
      <c r="N1241">
        <f>IFERROR(VLOOKUP(C1241,Customers!$A:$E,3,FALSE),"")</f>
        <v>33</v>
      </c>
      <c r="O1241" s="33" t="str">
        <f>IFERROR(VLOOKUP(E1241,Sales_Reps!$A:$C,3,FALSE),"")</f>
        <v>South</v>
      </c>
      <c r="P1241" s="33">
        <f>IFERROR(VLOOKUP(D1241,Products!$A:$D,4,FALSE),"")</f>
        <v>2405</v>
      </c>
      <c r="Q1241" s="33">
        <f t="shared" si="19"/>
        <v>0.54878048780487809</v>
      </c>
    </row>
    <row r="1242" spans="1:17" x14ac:dyDescent="0.3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  <c r="L1242" t="str">
        <f>IFERROR(VLOOKUP(D1242,Products!$A:$C,3,FALSE),"")</f>
        <v>Sports</v>
      </c>
      <c r="M1242" t="str">
        <f>IFERROR(VLOOKUP(C1242,Customers!$A:$E,5,FALSE),"")</f>
        <v>SMB</v>
      </c>
      <c r="N1242">
        <f>IFERROR(VLOOKUP(C1242,Customers!$A:$E,3,FALSE),"")</f>
        <v>44</v>
      </c>
      <c r="O1242" s="33" t="str">
        <f>IFERROR(VLOOKUP(E1242,Sales_Reps!$A:$C,3,FALSE),"")</f>
        <v>West</v>
      </c>
      <c r="P1242" s="33">
        <f>IFERROR(VLOOKUP(D1242,Products!$A:$D,4,FALSE),"")</f>
        <v>705</v>
      </c>
      <c r="Q1242" s="33">
        <f t="shared" si="19"/>
        <v>0.265625</v>
      </c>
    </row>
    <row r="1243" spans="1:17" x14ac:dyDescent="0.3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  <c r="L1243" t="str">
        <f>IFERROR(VLOOKUP(D1243,Products!$A:$C,3,FALSE),"")</f>
        <v>Apparel</v>
      </c>
      <c r="M1243" t="str">
        <f>IFERROR(VLOOKUP(C1243,Customers!$A:$E,5,FALSE),"")</f>
        <v>Corporate</v>
      </c>
      <c r="N1243">
        <f>IFERROR(VLOOKUP(C1243,Customers!$A:$E,3,FALSE),"")</f>
        <v>46</v>
      </c>
      <c r="O1243" s="33" t="str">
        <f>IFERROR(VLOOKUP(E1243,Sales_Reps!$A:$C,3,FALSE),"")</f>
        <v>East</v>
      </c>
      <c r="P1243" s="33">
        <f>IFERROR(VLOOKUP(D1243,Products!$A:$D,4,FALSE),"")</f>
        <v>2509</v>
      </c>
      <c r="Q1243" s="33">
        <f t="shared" si="19"/>
        <v>0.3069060773480663</v>
      </c>
    </row>
    <row r="1244" spans="1:17" x14ac:dyDescent="0.3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  <c r="L1244" t="str">
        <f>IFERROR(VLOOKUP(D1244,Products!$A:$C,3,FALSE),"")</f>
        <v>Electronics</v>
      </c>
      <c r="M1244" t="str">
        <f>IFERROR(VLOOKUP(C1244,Customers!$A:$E,5,FALSE),"")</f>
        <v>Retail</v>
      </c>
      <c r="N1244">
        <f>IFERROR(VLOOKUP(C1244,Customers!$A:$E,3,FALSE),"")</f>
        <v>35</v>
      </c>
      <c r="O1244" s="33" t="str">
        <f>IFERROR(VLOOKUP(E1244,Sales_Reps!$A:$C,3,FALSE),"")</f>
        <v>North</v>
      </c>
      <c r="P1244" s="33">
        <f>IFERROR(VLOOKUP(D1244,Products!$A:$D,4,FALSE),"")</f>
        <v>1052</v>
      </c>
      <c r="Q1244" s="33">
        <f t="shared" si="19"/>
        <v>0.5953846153846154</v>
      </c>
    </row>
    <row r="1245" spans="1:17" x14ac:dyDescent="0.3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  <c r="L1245" t="str">
        <f>IFERROR(VLOOKUP(D1245,Products!$A:$C,3,FALSE),"")</f>
        <v>Electronics</v>
      </c>
      <c r="M1245" t="str">
        <f>IFERROR(VLOOKUP(C1245,Customers!$A:$E,5,FALSE),"")</f>
        <v>Retail</v>
      </c>
      <c r="N1245">
        <f>IFERROR(VLOOKUP(C1245,Customers!$A:$E,3,FALSE),"")</f>
        <v>49</v>
      </c>
      <c r="O1245" s="33" t="str">
        <f>IFERROR(VLOOKUP(E1245,Sales_Reps!$A:$C,3,FALSE),"")</f>
        <v>South</v>
      </c>
      <c r="P1245" s="33">
        <f>IFERROR(VLOOKUP(D1245,Products!$A:$D,4,FALSE),"")</f>
        <v>1259</v>
      </c>
      <c r="Q1245" s="33">
        <f t="shared" si="19"/>
        <v>0.52669172932330832</v>
      </c>
    </row>
    <row r="1246" spans="1:17" x14ac:dyDescent="0.3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  <c r="L1246" t="str">
        <f>IFERROR(VLOOKUP(D1246,Products!$A:$C,3,FALSE),"")</f>
        <v>Apparel</v>
      </c>
      <c r="M1246" t="str">
        <f>IFERROR(VLOOKUP(C1246,Customers!$A:$E,5,FALSE),"")</f>
        <v>SMB</v>
      </c>
      <c r="N1246">
        <f>IFERROR(VLOOKUP(C1246,Customers!$A:$E,3,FALSE),"")</f>
        <v>65</v>
      </c>
      <c r="O1246" s="33" t="str">
        <f>IFERROR(VLOOKUP(E1246,Sales_Reps!$A:$C,3,FALSE),"")</f>
        <v>East</v>
      </c>
      <c r="P1246" s="33">
        <f>IFERROR(VLOOKUP(D1246,Products!$A:$D,4,FALSE),"")</f>
        <v>1173</v>
      </c>
      <c r="Q1246" s="33">
        <f t="shared" si="19"/>
        <v>0.52701612903225803</v>
      </c>
    </row>
    <row r="1247" spans="1:17" x14ac:dyDescent="0.3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  <c r="L1247" t="str">
        <f>IFERROR(VLOOKUP(D1247,Products!$A:$C,3,FALSE),"")</f>
        <v>Electronics</v>
      </c>
      <c r="M1247" t="str">
        <f>IFERROR(VLOOKUP(C1247,Customers!$A:$E,5,FALSE),"")</f>
        <v>SMB</v>
      </c>
      <c r="N1247">
        <f>IFERROR(VLOOKUP(C1247,Customers!$A:$E,3,FALSE),"")</f>
        <v>38</v>
      </c>
      <c r="O1247" s="33" t="str">
        <f>IFERROR(VLOOKUP(E1247,Sales_Reps!$A:$C,3,FALSE),"")</f>
        <v>South</v>
      </c>
      <c r="P1247" s="33">
        <f>IFERROR(VLOOKUP(D1247,Products!$A:$D,4,FALSE),"")</f>
        <v>1259</v>
      </c>
      <c r="Q1247" s="33">
        <f t="shared" si="19"/>
        <v>0.52669172932330832</v>
      </c>
    </row>
    <row r="1248" spans="1:17" x14ac:dyDescent="0.3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  <c r="L1248" t="str">
        <f>IFERROR(VLOOKUP(D1248,Products!$A:$C,3,FALSE),"")</f>
        <v>Electronics</v>
      </c>
      <c r="M1248" t="str">
        <f>IFERROR(VLOOKUP(C1248,Customers!$A:$E,5,FALSE),"")</f>
        <v>Retail</v>
      </c>
      <c r="N1248">
        <f>IFERROR(VLOOKUP(C1248,Customers!$A:$E,3,FALSE),"")</f>
        <v>35</v>
      </c>
      <c r="O1248" s="33" t="str">
        <f>IFERROR(VLOOKUP(E1248,Sales_Reps!$A:$C,3,FALSE),"")</f>
        <v>South</v>
      </c>
      <c r="P1248" s="33">
        <f>IFERROR(VLOOKUP(D1248,Products!$A:$D,4,FALSE),"")</f>
        <v>2405</v>
      </c>
      <c r="Q1248" s="33">
        <f t="shared" si="19"/>
        <v>0.54878048780487809</v>
      </c>
    </row>
    <row r="1249" spans="1:17" x14ac:dyDescent="0.3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  <c r="L1249" t="str">
        <f>IFERROR(VLOOKUP(D1249,Products!$A:$C,3,FALSE),"")</f>
        <v>Sports</v>
      </c>
      <c r="M1249" t="str">
        <f>IFERROR(VLOOKUP(C1249,Customers!$A:$E,5,FALSE),"")</f>
        <v>Retail</v>
      </c>
      <c r="N1249">
        <f>IFERROR(VLOOKUP(C1249,Customers!$A:$E,3,FALSE),"")</f>
        <v>53</v>
      </c>
      <c r="O1249" s="33" t="str">
        <f>IFERROR(VLOOKUP(E1249,Sales_Reps!$A:$C,3,FALSE),"")</f>
        <v>West</v>
      </c>
      <c r="P1249" s="33">
        <f>IFERROR(VLOOKUP(D1249,Products!$A:$D,4,FALSE),"")</f>
        <v>2467</v>
      </c>
      <c r="Q1249" s="33">
        <f t="shared" si="19"/>
        <v>0.28492753623188405</v>
      </c>
    </row>
    <row r="1250" spans="1:17" x14ac:dyDescent="0.3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  <c r="L1250" t="str">
        <f>IFERROR(VLOOKUP(D1250,Products!$A:$C,3,FALSE),"")</f>
        <v>Sports</v>
      </c>
      <c r="M1250" t="str">
        <f>IFERROR(VLOOKUP(C1250,Customers!$A:$E,5,FALSE),"")</f>
        <v>Retail</v>
      </c>
      <c r="N1250">
        <f>IFERROR(VLOOKUP(C1250,Customers!$A:$E,3,FALSE),"")</f>
        <v>34</v>
      </c>
      <c r="O1250" s="33" t="str">
        <f>IFERROR(VLOOKUP(E1250,Sales_Reps!$A:$C,3,FALSE),"")</f>
        <v>West</v>
      </c>
      <c r="P1250" s="33">
        <f>IFERROR(VLOOKUP(D1250,Products!$A:$D,4,FALSE),"")</f>
        <v>147</v>
      </c>
      <c r="Q1250" s="33">
        <f t="shared" si="19"/>
        <v>0.22631578947368422</v>
      </c>
    </row>
    <row r="1251" spans="1:17" x14ac:dyDescent="0.3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  <c r="L1251" t="str">
        <f>IFERROR(VLOOKUP(D1251,Products!$A:$C,3,FALSE),"")</f>
        <v>Electronics</v>
      </c>
      <c r="M1251" t="str">
        <f>IFERROR(VLOOKUP(C1251,Customers!$A:$E,5,FALSE),"")</f>
        <v>Corporate</v>
      </c>
      <c r="N1251">
        <f>IFERROR(VLOOKUP(C1251,Customers!$A:$E,3,FALSE),"")</f>
        <v>22</v>
      </c>
      <c r="O1251" s="33" t="str">
        <f>IFERROR(VLOOKUP(E1251,Sales_Reps!$A:$C,3,FALSE),"")</f>
        <v>South</v>
      </c>
      <c r="P1251" s="33">
        <f>IFERROR(VLOOKUP(D1251,Products!$A:$D,4,FALSE),"")</f>
        <v>2865</v>
      </c>
      <c r="Q1251" s="33">
        <f t="shared" si="19"/>
        <v>0.27833753148614609</v>
      </c>
    </row>
    <row r="1252" spans="1:17" x14ac:dyDescent="0.3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  <c r="L1252" t="str">
        <f>IFERROR(VLOOKUP(D1252,Products!$A:$C,3,FALSE),"")</f>
        <v>Home</v>
      </c>
      <c r="M1252" t="str">
        <f>IFERROR(VLOOKUP(C1252,Customers!$A:$E,5,FALSE),"")</f>
        <v>Retail</v>
      </c>
      <c r="N1252">
        <f>IFERROR(VLOOKUP(C1252,Customers!$A:$E,3,FALSE),"")</f>
        <v>60</v>
      </c>
      <c r="O1252" s="33" t="str">
        <f>IFERROR(VLOOKUP(E1252,Sales_Reps!$A:$C,3,FALSE),"")</f>
        <v>North</v>
      </c>
      <c r="P1252" s="33">
        <f>IFERROR(VLOOKUP(D1252,Products!$A:$D,4,FALSE),"")</f>
        <v>1850</v>
      </c>
      <c r="Q1252" s="33">
        <f t="shared" si="19"/>
        <v>0.59869848156182215</v>
      </c>
    </row>
    <row r="1253" spans="1:17" x14ac:dyDescent="0.3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  <c r="L1253" t="str">
        <f>IFERROR(VLOOKUP(D1253,Products!$A:$C,3,FALSE),"")</f>
        <v>Apparel</v>
      </c>
      <c r="M1253" t="str">
        <f>IFERROR(VLOOKUP(C1253,Customers!$A:$E,5,FALSE),"")</f>
        <v>Retail</v>
      </c>
      <c r="N1253">
        <f>IFERROR(VLOOKUP(C1253,Customers!$A:$E,3,FALSE),"")</f>
        <v>50</v>
      </c>
      <c r="O1253" s="33" t="str">
        <f>IFERROR(VLOOKUP(E1253,Sales_Reps!$A:$C,3,FALSE),"")</f>
        <v>West</v>
      </c>
      <c r="P1253" s="33">
        <f>IFERROR(VLOOKUP(D1253,Products!$A:$D,4,FALSE),"")</f>
        <v>396</v>
      </c>
      <c r="Q1253" s="33">
        <f t="shared" si="19"/>
        <v>0.36129032258064514</v>
      </c>
    </row>
    <row r="1254" spans="1:17" x14ac:dyDescent="0.3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  <c r="L1254" t="str">
        <f>IFERROR(VLOOKUP(D1254,Products!$A:$C,3,FALSE),"")</f>
        <v>Beauty</v>
      </c>
      <c r="M1254" t="str">
        <f>IFERROR(VLOOKUP(C1254,Customers!$A:$E,5,FALSE),"")</f>
        <v>Corporate</v>
      </c>
      <c r="N1254">
        <f>IFERROR(VLOOKUP(C1254,Customers!$A:$E,3,FALSE),"")</f>
        <v>43</v>
      </c>
      <c r="O1254" s="33" t="str">
        <f>IFERROR(VLOOKUP(E1254,Sales_Reps!$A:$C,3,FALSE),"")</f>
        <v>West</v>
      </c>
      <c r="P1254" s="33">
        <f>IFERROR(VLOOKUP(D1254,Products!$A:$D,4,FALSE),"")</f>
        <v>647</v>
      </c>
      <c r="Q1254" s="33">
        <f t="shared" si="19"/>
        <v>0.57987012987012987</v>
      </c>
    </row>
    <row r="1255" spans="1:17" x14ac:dyDescent="0.3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  <c r="L1255" t="str">
        <f>IFERROR(VLOOKUP(D1255,Products!$A:$C,3,FALSE),"")</f>
        <v>Sports</v>
      </c>
      <c r="M1255" t="str">
        <f>IFERROR(VLOOKUP(C1255,Customers!$A:$E,5,FALSE),"")</f>
        <v>Retail</v>
      </c>
      <c r="N1255">
        <f>IFERROR(VLOOKUP(C1255,Customers!$A:$E,3,FALSE),"")</f>
        <v>22</v>
      </c>
      <c r="O1255" s="33" t="str">
        <f>IFERROR(VLOOKUP(E1255,Sales_Reps!$A:$C,3,FALSE),"")</f>
        <v>East</v>
      </c>
      <c r="P1255" s="33">
        <f>IFERROR(VLOOKUP(D1255,Products!$A:$D,4,FALSE),"")</f>
        <v>302</v>
      </c>
      <c r="Q1255" s="33">
        <f t="shared" si="19"/>
        <v>0.35744680851063831</v>
      </c>
    </row>
    <row r="1256" spans="1:17" x14ac:dyDescent="0.3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  <c r="L1256" t="str">
        <f>IFERROR(VLOOKUP(D1256,Products!$A:$C,3,FALSE),"")</f>
        <v>Beauty</v>
      </c>
      <c r="M1256" t="str">
        <f>IFERROR(VLOOKUP(C1256,Customers!$A:$E,5,FALSE),"")</f>
        <v>Retail</v>
      </c>
      <c r="N1256">
        <f>IFERROR(VLOOKUP(C1256,Customers!$A:$E,3,FALSE),"")</f>
        <v>47</v>
      </c>
      <c r="O1256" s="33" t="str">
        <f>IFERROR(VLOOKUP(E1256,Sales_Reps!$A:$C,3,FALSE),"")</f>
        <v>North</v>
      </c>
      <c r="P1256" s="33">
        <f>IFERROR(VLOOKUP(D1256,Products!$A:$D,4,FALSE),"")</f>
        <v>2768</v>
      </c>
      <c r="Q1256" s="33">
        <f t="shared" si="19"/>
        <v>0.43278688524590164</v>
      </c>
    </row>
    <row r="1257" spans="1:17" x14ac:dyDescent="0.3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  <c r="L1257" t="str">
        <f>IFERROR(VLOOKUP(D1257,Products!$A:$C,3,FALSE),"")</f>
        <v>Sports</v>
      </c>
      <c r="M1257" t="str">
        <f>IFERROR(VLOOKUP(C1257,Customers!$A:$E,5,FALSE),"")</f>
        <v>SMB</v>
      </c>
      <c r="N1257">
        <f>IFERROR(VLOOKUP(C1257,Customers!$A:$E,3,FALSE),"")</f>
        <v>53</v>
      </c>
      <c r="O1257" s="33" t="str">
        <f>IFERROR(VLOOKUP(E1257,Sales_Reps!$A:$C,3,FALSE),"")</f>
        <v>West</v>
      </c>
      <c r="P1257" s="33">
        <f>IFERROR(VLOOKUP(D1257,Products!$A:$D,4,FALSE),"")</f>
        <v>2265</v>
      </c>
      <c r="Q1257" s="33">
        <f t="shared" si="19"/>
        <v>0.58133086876155271</v>
      </c>
    </row>
    <row r="1258" spans="1:17" x14ac:dyDescent="0.3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  <c r="L1258" t="str">
        <f>IFERROR(VLOOKUP(D1258,Products!$A:$C,3,FALSE),"")</f>
        <v>Electronics</v>
      </c>
      <c r="M1258" t="str">
        <f>IFERROR(VLOOKUP(C1258,Customers!$A:$E,5,FALSE),"")</f>
        <v>SMB</v>
      </c>
      <c r="N1258">
        <f>IFERROR(VLOOKUP(C1258,Customers!$A:$E,3,FALSE),"")</f>
        <v>55</v>
      </c>
      <c r="O1258" s="33" t="str">
        <f>IFERROR(VLOOKUP(E1258,Sales_Reps!$A:$C,3,FALSE),"")</f>
        <v>East</v>
      </c>
      <c r="P1258" s="33">
        <f>IFERROR(VLOOKUP(D1258,Products!$A:$D,4,FALSE),"")</f>
        <v>1559</v>
      </c>
      <c r="Q1258" s="33">
        <f t="shared" si="19"/>
        <v>0.59715762273901807</v>
      </c>
    </row>
    <row r="1259" spans="1:17" x14ac:dyDescent="0.3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  <c r="L1259" t="str">
        <f>IFERROR(VLOOKUP(D1259,Products!$A:$C,3,FALSE),"")</f>
        <v>Electronics</v>
      </c>
      <c r="M1259" t="str">
        <f>IFERROR(VLOOKUP(C1259,Customers!$A:$E,5,FALSE),"")</f>
        <v>SMB</v>
      </c>
      <c r="N1259">
        <f>IFERROR(VLOOKUP(C1259,Customers!$A:$E,3,FALSE),"")</f>
        <v>26</v>
      </c>
      <c r="O1259" s="33" t="str">
        <f>IFERROR(VLOOKUP(E1259,Sales_Reps!$A:$C,3,FALSE),"")</f>
        <v>East</v>
      </c>
      <c r="P1259" s="33">
        <f>IFERROR(VLOOKUP(D1259,Products!$A:$D,4,FALSE),"")</f>
        <v>1149</v>
      </c>
      <c r="Q1259" s="33">
        <f t="shared" si="19"/>
        <v>0.56477272727272732</v>
      </c>
    </row>
    <row r="1260" spans="1:17" x14ac:dyDescent="0.3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  <c r="L1260" t="str">
        <f>IFERROR(VLOOKUP(D1260,Products!$A:$C,3,FALSE),"")</f>
        <v>Home</v>
      </c>
      <c r="M1260" t="str">
        <f>IFERROR(VLOOKUP(C1260,Customers!$A:$E,5,FALSE),"")</f>
        <v>Corporate</v>
      </c>
      <c r="N1260">
        <f>IFERROR(VLOOKUP(C1260,Customers!$A:$E,3,FALSE),"")</f>
        <v>22</v>
      </c>
      <c r="O1260" s="33" t="str">
        <f>IFERROR(VLOOKUP(E1260,Sales_Reps!$A:$C,3,FALSE),"")</f>
        <v>North</v>
      </c>
      <c r="P1260" s="33">
        <f>IFERROR(VLOOKUP(D1260,Products!$A:$D,4,FALSE),"")</f>
        <v>2459</v>
      </c>
      <c r="Q1260" s="33">
        <f t="shared" si="19"/>
        <v>0.51594488188976373</v>
      </c>
    </row>
    <row r="1261" spans="1:17" x14ac:dyDescent="0.3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  <c r="L1261" t="str">
        <f>IFERROR(VLOOKUP(D1261,Products!$A:$C,3,FALSE),"")</f>
        <v>Home</v>
      </c>
      <c r="M1261" t="str">
        <f>IFERROR(VLOOKUP(C1261,Customers!$A:$E,5,FALSE),"")</f>
        <v>SMB</v>
      </c>
      <c r="N1261">
        <f>IFERROR(VLOOKUP(C1261,Customers!$A:$E,3,FALSE),"")</f>
        <v>46</v>
      </c>
      <c r="O1261" s="33" t="str">
        <f>IFERROR(VLOOKUP(E1261,Sales_Reps!$A:$C,3,FALSE),"")</f>
        <v>East</v>
      </c>
      <c r="P1261" s="33">
        <f>IFERROR(VLOOKUP(D1261,Products!$A:$D,4,FALSE),"")</f>
        <v>1556</v>
      </c>
      <c r="Q1261" s="33">
        <f t="shared" si="19"/>
        <v>0.52123076923076928</v>
      </c>
    </row>
    <row r="1262" spans="1:17" x14ac:dyDescent="0.3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  <c r="L1262" t="str">
        <f>IFERROR(VLOOKUP(D1262,Products!$A:$C,3,FALSE),"")</f>
        <v>Electronics</v>
      </c>
      <c r="M1262" t="str">
        <f>IFERROR(VLOOKUP(C1262,Customers!$A:$E,5,FALSE),"")</f>
        <v>Retail</v>
      </c>
      <c r="N1262">
        <f>IFERROR(VLOOKUP(C1262,Customers!$A:$E,3,FALSE),"")</f>
        <v>49</v>
      </c>
      <c r="O1262" s="33" t="str">
        <f>IFERROR(VLOOKUP(E1262,Sales_Reps!$A:$C,3,FALSE),"")</f>
        <v>North</v>
      </c>
      <c r="P1262" s="33">
        <f>IFERROR(VLOOKUP(D1262,Products!$A:$D,4,FALSE),"")</f>
        <v>2865</v>
      </c>
      <c r="Q1262" s="33">
        <f t="shared" si="19"/>
        <v>0.27833753148614609</v>
      </c>
    </row>
    <row r="1263" spans="1:17" x14ac:dyDescent="0.3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  <c r="L1263" t="str">
        <f>IFERROR(VLOOKUP(D1263,Products!$A:$C,3,FALSE),"")</f>
        <v>Home</v>
      </c>
      <c r="M1263" t="str">
        <f>IFERROR(VLOOKUP(C1263,Customers!$A:$E,5,FALSE),"")</f>
        <v>Retail</v>
      </c>
      <c r="N1263">
        <f>IFERROR(VLOOKUP(C1263,Customers!$A:$E,3,FALSE),"")</f>
        <v>29</v>
      </c>
      <c r="O1263" s="33" t="str">
        <f>IFERROR(VLOOKUP(E1263,Sales_Reps!$A:$C,3,FALSE),"")</f>
        <v>East</v>
      </c>
      <c r="P1263" s="33">
        <f>IFERROR(VLOOKUP(D1263,Products!$A:$D,4,FALSE),"")</f>
        <v>329</v>
      </c>
      <c r="Q1263" s="33">
        <f t="shared" si="19"/>
        <v>0.50151515151515147</v>
      </c>
    </row>
    <row r="1264" spans="1:17" x14ac:dyDescent="0.3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  <c r="L1264" t="str">
        <f>IFERROR(VLOOKUP(D1264,Products!$A:$C,3,FALSE),"")</f>
        <v>Electronics</v>
      </c>
      <c r="M1264" t="str">
        <f>IFERROR(VLOOKUP(C1264,Customers!$A:$E,5,FALSE),"")</f>
        <v>Retail</v>
      </c>
      <c r="N1264">
        <f>IFERROR(VLOOKUP(C1264,Customers!$A:$E,3,FALSE),"")</f>
        <v>42</v>
      </c>
      <c r="O1264" s="33" t="str">
        <f>IFERROR(VLOOKUP(E1264,Sales_Reps!$A:$C,3,FALSE),"")</f>
        <v>East</v>
      </c>
      <c r="P1264" s="33">
        <f>IFERROR(VLOOKUP(D1264,Products!$A:$D,4,FALSE),"")</f>
        <v>1052</v>
      </c>
      <c r="Q1264" s="33">
        <f t="shared" si="19"/>
        <v>0.5953846153846154</v>
      </c>
    </row>
    <row r="1265" spans="1:17" x14ac:dyDescent="0.3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  <c r="L1265" t="str">
        <f>IFERROR(VLOOKUP(D1265,Products!$A:$C,3,FALSE),"")</f>
        <v>Home</v>
      </c>
      <c r="M1265" t="str">
        <f>IFERROR(VLOOKUP(C1265,Customers!$A:$E,5,FALSE),"")</f>
        <v>Corporate</v>
      </c>
      <c r="N1265">
        <f>IFERROR(VLOOKUP(C1265,Customers!$A:$E,3,FALSE),"")</f>
        <v>40</v>
      </c>
      <c r="O1265" s="33" t="str">
        <f>IFERROR(VLOOKUP(E1265,Sales_Reps!$A:$C,3,FALSE),"")</f>
        <v>South</v>
      </c>
      <c r="P1265" s="33">
        <f>IFERROR(VLOOKUP(D1265,Products!$A:$D,4,FALSE),"")</f>
        <v>329</v>
      </c>
      <c r="Q1265" s="33">
        <f t="shared" si="19"/>
        <v>0.50151515151515147</v>
      </c>
    </row>
    <row r="1266" spans="1:17" x14ac:dyDescent="0.3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  <c r="L1266" t="str">
        <f>IFERROR(VLOOKUP(D1266,Products!$A:$C,3,FALSE),"")</f>
        <v>Grocery</v>
      </c>
      <c r="M1266" t="str">
        <f>IFERROR(VLOOKUP(C1266,Customers!$A:$E,5,FALSE),"")</f>
        <v>SMB</v>
      </c>
      <c r="N1266">
        <f>IFERROR(VLOOKUP(C1266,Customers!$A:$E,3,FALSE),"")</f>
        <v>55</v>
      </c>
      <c r="O1266" s="33" t="str">
        <f>IFERROR(VLOOKUP(E1266,Sales_Reps!$A:$C,3,FALSE),"")</f>
        <v>East</v>
      </c>
      <c r="P1266" s="33">
        <f>IFERROR(VLOOKUP(D1266,Products!$A:$D,4,FALSE),"")</f>
        <v>1182</v>
      </c>
      <c r="Q1266" s="33">
        <f t="shared" si="19"/>
        <v>0.50336134453781511</v>
      </c>
    </row>
    <row r="1267" spans="1:17" x14ac:dyDescent="0.3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  <c r="L1267" t="str">
        <f>IFERROR(VLOOKUP(D1267,Products!$A:$C,3,FALSE),"")</f>
        <v>Beauty</v>
      </c>
      <c r="M1267" t="str">
        <f>IFERROR(VLOOKUP(C1267,Customers!$A:$E,5,FALSE),"")</f>
        <v>Retail</v>
      </c>
      <c r="N1267">
        <f>IFERROR(VLOOKUP(C1267,Customers!$A:$E,3,FALSE),"")</f>
        <v>28</v>
      </c>
      <c r="O1267" s="33" t="str">
        <f>IFERROR(VLOOKUP(E1267,Sales_Reps!$A:$C,3,FALSE),"")</f>
        <v>South</v>
      </c>
      <c r="P1267" s="33">
        <f>IFERROR(VLOOKUP(D1267,Products!$A:$D,4,FALSE),"")</f>
        <v>1222</v>
      </c>
      <c r="Q1267" s="33">
        <f t="shared" si="19"/>
        <v>0.2593939393939394</v>
      </c>
    </row>
    <row r="1268" spans="1:17" x14ac:dyDescent="0.3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  <c r="L1268" t="str">
        <f>IFERROR(VLOOKUP(D1268,Products!$A:$C,3,FALSE),"")</f>
        <v>Electronics</v>
      </c>
      <c r="M1268" t="str">
        <f>IFERROR(VLOOKUP(C1268,Customers!$A:$E,5,FALSE),"")</f>
        <v/>
      </c>
      <c r="N1268" t="str">
        <f>IFERROR(VLOOKUP(C1268,Customers!$A:$E,3,FALSE),"")</f>
        <v/>
      </c>
      <c r="O1268" s="33" t="str">
        <f>IFERROR(VLOOKUP(E1268,Sales_Reps!$A:$C,3,FALSE),"")</f>
        <v>North</v>
      </c>
      <c r="P1268" s="33">
        <f>IFERROR(VLOOKUP(D1268,Products!$A:$D,4,FALSE),"")</f>
        <v>1149</v>
      </c>
      <c r="Q1268" s="33">
        <f t="shared" si="19"/>
        <v>0.56477272727272732</v>
      </c>
    </row>
    <row r="1269" spans="1:17" x14ac:dyDescent="0.3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  <c r="L1269" t="str">
        <f>IFERROR(VLOOKUP(D1269,Products!$A:$C,3,FALSE),"")</f>
        <v>Grocery</v>
      </c>
      <c r="M1269" t="str">
        <f>IFERROR(VLOOKUP(C1269,Customers!$A:$E,5,FALSE),"")</f>
        <v>Retail</v>
      </c>
      <c r="N1269">
        <f>IFERROR(VLOOKUP(C1269,Customers!$A:$E,3,FALSE),"")</f>
        <v>39</v>
      </c>
      <c r="O1269" s="33" t="str">
        <f>IFERROR(VLOOKUP(E1269,Sales_Reps!$A:$C,3,FALSE),"")</f>
        <v>South</v>
      </c>
      <c r="P1269" s="33">
        <f>IFERROR(VLOOKUP(D1269,Products!$A:$D,4,FALSE),"")</f>
        <v>1182</v>
      </c>
      <c r="Q1269" s="33">
        <f t="shared" si="19"/>
        <v>0.50336134453781511</v>
      </c>
    </row>
    <row r="1270" spans="1:17" x14ac:dyDescent="0.3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  <c r="L1270" t="str">
        <f>IFERROR(VLOOKUP(D1270,Products!$A:$C,3,FALSE),"")</f>
        <v>Grocery</v>
      </c>
      <c r="M1270" t="str">
        <f>IFERROR(VLOOKUP(C1270,Customers!$A:$E,5,FALSE),"")</f>
        <v>SMB</v>
      </c>
      <c r="N1270">
        <f>IFERROR(VLOOKUP(C1270,Customers!$A:$E,3,FALSE),"")</f>
        <v>55</v>
      </c>
      <c r="O1270" s="33" t="str">
        <f>IFERROR(VLOOKUP(E1270,Sales_Reps!$A:$C,3,FALSE),"")</f>
        <v>North</v>
      </c>
      <c r="P1270" s="33">
        <f>IFERROR(VLOOKUP(D1270,Products!$A:$D,4,FALSE),"")</f>
        <v>1010</v>
      </c>
      <c r="Q1270" s="33">
        <f t="shared" si="19"/>
        <v>0.54298642533936647</v>
      </c>
    </row>
    <row r="1271" spans="1:17" x14ac:dyDescent="0.3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  <c r="L1271" t="str">
        <f>IFERROR(VLOOKUP(D1271,Products!$A:$C,3,FALSE),"")</f>
        <v>Beauty</v>
      </c>
      <c r="M1271" t="str">
        <f>IFERROR(VLOOKUP(C1271,Customers!$A:$E,5,FALSE),"")</f>
        <v>Retail</v>
      </c>
      <c r="N1271">
        <f>IFERROR(VLOOKUP(C1271,Customers!$A:$E,3,FALSE),"")</f>
        <v>52</v>
      </c>
      <c r="O1271" s="33" t="str">
        <f>IFERROR(VLOOKUP(E1271,Sales_Reps!$A:$C,3,FALSE),"")</f>
        <v>East</v>
      </c>
      <c r="P1271" s="33">
        <f>IFERROR(VLOOKUP(D1271,Products!$A:$D,4,FALSE),"")</f>
        <v>2617</v>
      </c>
      <c r="Q1271" s="33">
        <f t="shared" si="19"/>
        <v>0.56957236842105263</v>
      </c>
    </row>
    <row r="1272" spans="1:17" x14ac:dyDescent="0.3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  <c r="L1272" t="str">
        <f>IFERROR(VLOOKUP(D1272,Products!$A:$C,3,FALSE),"")</f>
        <v>Sports</v>
      </c>
      <c r="M1272" t="str">
        <f>IFERROR(VLOOKUP(C1272,Customers!$A:$E,5,FALSE),"")</f>
        <v>Retail</v>
      </c>
      <c r="N1272">
        <f>IFERROR(VLOOKUP(C1272,Customers!$A:$E,3,FALSE),"")</f>
        <v>65</v>
      </c>
      <c r="O1272" s="33" t="str">
        <f>IFERROR(VLOOKUP(E1272,Sales_Reps!$A:$C,3,FALSE),"")</f>
        <v>East</v>
      </c>
      <c r="P1272" s="33">
        <f>IFERROR(VLOOKUP(D1272,Products!$A:$D,4,FALSE),"")</f>
        <v>516</v>
      </c>
      <c r="Q1272" s="33">
        <f t="shared" si="19"/>
        <v>0.4891089108910891</v>
      </c>
    </row>
    <row r="1273" spans="1:17" x14ac:dyDescent="0.3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  <c r="L1273" t="str">
        <f>IFERROR(VLOOKUP(D1273,Products!$A:$C,3,FALSE),"")</f>
        <v>Grocery</v>
      </c>
      <c r="M1273" t="str">
        <f>IFERROR(VLOOKUP(C1273,Customers!$A:$E,5,FALSE),"")</f>
        <v>Retail</v>
      </c>
      <c r="N1273">
        <f>IFERROR(VLOOKUP(C1273,Customers!$A:$E,3,FALSE),"")</f>
        <v>65</v>
      </c>
      <c r="O1273" s="33" t="str">
        <f>IFERROR(VLOOKUP(E1273,Sales_Reps!$A:$C,3,FALSE),"")</f>
        <v>South</v>
      </c>
      <c r="P1273" s="33">
        <f>IFERROR(VLOOKUP(D1273,Products!$A:$D,4,FALSE),"")</f>
        <v>2214</v>
      </c>
      <c r="Q1273" s="33">
        <f t="shared" si="19"/>
        <v>0.39508196721311473</v>
      </c>
    </row>
    <row r="1274" spans="1:17" x14ac:dyDescent="0.3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  <c r="L1274" t="str">
        <f>IFERROR(VLOOKUP(D1274,Products!$A:$C,3,FALSE),"")</f>
        <v>Home</v>
      </c>
      <c r="M1274" t="str">
        <f>IFERROR(VLOOKUP(C1274,Customers!$A:$E,5,FALSE),"")</f>
        <v>SMB</v>
      </c>
      <c r="N1274">
        <f>IFERROR(VLOOKUP(C1274,Customers!$A:$E,3,FALSE),"")</f>
        <v>49</v>
      </c>
      <c r="O1274" s="33" t="str">
        <f>IFERROR(VLOOKUP(E1274,Sales_Reps!$A:$C,3,FALSE),"")</f>
        <v>West</v>
      </c>
      <c r="P1274" s="33">
        <f>IFERROR(VLOOKUP(D1274,Products!$A:$D,4,FALSE),"")</f>
        <v>1850</v>
      </c>
      <c r="Q1274" s="33">
        <f t="shared" si="19"/>
        <v>0.59869848156182215</v>
      </c>
    </row>
    <row r="1275" spans="1:17" x14ac:dyDescent="0.3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  <c r="L1275" t="str">
        <f>IFERROR(VLOOKUP(D1275,Products!$A:$C,3,FALSE),"")</f>
        <v>Beauty</v>
      </c>
      <c r="M1275" t="str">
        <f>IFERROR(VLOOKUP(C1275,Customers!$A:$E,5,FALSE),"")</f>
        <v>SMB</v>
      </c>
      <c r="N1275">
        <f>IFERROR(VLOOKUP(C1275,Customers!$A:$E,3,FALSE),"")</f>
        <v>49</v>
      </c>
      <c r="O1275" s="33" t="str">
        <f>IFERROR(VLOOKUP(E1275,Sales_Reps!$A:$C,3,FALSE),"")</f>
        <v>North</v>
      </c>
      <c r="P1275" s="33">
        <f>IFERROR(VLOOKUP(D1275,Products!$A:$D,4,FALSE),"")</f>
        <v>2237</v>
      </c>
      <c r="Q1275" s="33">
        <f t="shared" si="19"/>
        <v>0.56137254901960787</v>
      </c>
    </row>
    <row r="1276" spans="1:17" x14ac:dyDescent="0.3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  <c r="L1276" t="str">
        <f>IFERROR(VLOOKUP(D1276,Products!$A:$C,3,FALSE),"")</f>
        <v>Beauty</v>
      </c>
      <c r="M1276" t="str">
        <f>IFERROR(VLOOKUP(C1276,Customers!$A:$E,5,FALSE),"")</f>
        <v>Retail</v>
      </c>
      <c r="N1276">
        <f>IFERROR(VLOOKUP(C1276,Customers!$A:$E,3,FALSE),"")</f>
        <v>59</v>
      </c>
      <c r="O1276" s="33" t="str">
        <f>IFERROR(VLOOKUP(E1276,Sales_Reps!$A:$C,3,FALSE),"")</f>
        <v>East</v>
      </c>
      <c r="P1276" s="33">
        <f>IFERROR(VLOOKUP(D1276,Products!$A:$D,4,FALSE),"")</f>
        <v>1626</v>
      </c>
      <c r="Q1276" s="33">
        <f t="shared" si="19"/>
        <v>0.46158940397350995</v>
      </c>
    </row>
    <row r="1277" spans="1:17" x14ac:dyDescent="0.3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  <c r="L1277" t="str">
        <f>IFERROR(VLOOKUP(D1277,Products!$A:$C,3,FALSE),"")</f>
        <v>Sports</v>
      </c>
      <c r="M1277" t="str">
        <f>IFERROR(VLOOKUP(C1277,Customers!$A:$E,5,FALSE),"")</f>
        <v>Retail</v>
      </c>
      <c r="N1277">
        <f>IFERROR(VLOOKUP(C1277,Customers!$A:$E,3,FALSE),"")</f>
        <v>52</v>
      </c>
      <c r="O1277" s="33" t="str">
        <f>IFERROR(VLOOKUP(E1277,Sales_Reps!$A:$C,3,FALSE),"")</f>
        <v>South</v>
      </c>
      <c r="P1277" s="33">
        <f>IFERROR(VLOOKUP(D1277,Products!$A:$D,4,FALSE),"")</f>
        <v>1860</v>
      </c>
      <c r="Q1277" s="33">
        <f t="shared" si="19"/>
        <v>0.50793650793650791</v>
      </c>
    </row>
    <row r="1278" spans="1:17" x14ac:dyDescent="0.3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  <c r="L1278" t="str">
        <f>IFERROR(VLOOKUP(D1278,Products!$A:$C,3,FALSE),"")</f>
        <v>Grocery</v>
      </c>
      <c r="M1278" t="str">
        <f>IFERROR(VLOOKUP(C1278,Customers!$A:$E,5,FALSE),"")</f>
        <v>Corporate</v>
      </c>
      <c r="N1278">
        <f>IFERROR(VLOOKUP(C1278,Customers!$A:$E,3,FALSE),"")</f>
        <v>47</v>
      </c>
      <c r="O1278" s="33" t="str">
        <f>IFERROR(VLOOKUP(E1278,Sales_Reps!$A:$C,3,FALSE),"")</f>
        <v>North</v>
      </c>
      <c r="P1278" s="33">
        <f>IFERROR(VLOOKUP(D1278,Products!$A:$D,4,FALSE),"")</f>
        <v>1010</v>
      </c>
      <c r="Q1278" s="33">
        <f t="shared" si="19"/>
        <v>0.54298642533936647</v>
      </c>
    </row>
    <row r="1279" spans="1:17" x14ac:dyDescent="0.3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  <c r="L1279" t="str">
        <f>IFERROR(VLOOKUP(D1279,Products!$A:$C,3,FALSE),"")</f>
        <v>Grocery</v>
      </c>
      <c r="M1279" t="str">
        <f>IFERROR(VLOOKUP(C1279,Customers!$A:$E,5,FALSE),"")</f>
        <v>Retail</v>
      </c>
      <c r="N1279">
        <f>IFERROR(VLOOKUP(C1279,Customers!$A:$E,3,FALSE),"")</f>
        <v>42</v>
      </c>
      <c r="O1279" s="33" t="str">
        <f>IFERROR(VLOOKUP(E1279,Sales_Reps!$A:$C,3,FALSE),"")</f>
        <v>South</v>
      </c>
      <c r="P1279" s="33">
        <f>IFERROR(VLOOKUP(D1279,Products!$A:$D,4,FALSE),"")</f>
        <v>1010</v>
      </c>
      <c r="Q1279" s="33">
        <f t="shared" si="19"/>
        <v>0.54298642533936647</v>
      </c>
    </row>
    <row r="1280" spans="1:17" x14ac:dyDescent="0.3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  <c r="L1280" t="str">
        <f>IFERROR(VLOOKUP(D1280,Products!$A:$C,3,FALSE),"")</f>
        <v>Beauty</v>
      </c>
      <c r="M1280" t="str">
        <f>IFERROR(VLOOKUP(C1280,Customers!$A:$E,5,FALSE),"")</f>
        <v>Corporate</v>
      </c>
      <c r="N1280">
        <f>IFERROR(VLOOKUP(C1280,Customers!$A:$E,3,FALSE),"")</f>
        <v>37</v>
      </c>
      <c r="O1280" s="33" t="str">
        <f>IFERROR(VLOOKUP(E1280,Sales_Reps!$A:$C,3,FALSE),"")</f>
        <v>South</v>
      </c>
      <c r="P1280" s="33">
        <f>IFERROR(VLOOKUP(D1280,Products!$A:$D,4,FALSE),"")</f>
        <v>1222</v>
      </c>
      <c r="Q1280" s="33">
        <f t="shared" si="19"/>
        <v>0.2593939393939394</v>
      </c>
    </row>
    <row r="1281" spans="1:17" x14ac:dyDescent="0.3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  <c r="L1281" t="str">
        <f>IFERROR(VLOOKUP(D1281,Products!$A:$C,3,FALSE),"")</f>
        <v>Sports</v>
      </c>
      <c r="M1281" t="str">
        <f>IFERROR(VLOOKUP(C1281,Customers!$A:$E,5,FALSE),"")</f>
        <v>Retail</v>
      </c>
      <c r="N1281">
        <f>IFERROR(VLOOKUP(C1281,Customers!$A:$E,3,FALSE),"")</f>
        <v>61</v>
      </c>
      <c r="O1281" s="33" t="str">
        <f>IFERROR(VLOOKUP(E1281,Sales_Reps!$A:$C,3,FALSE),"")</f>
        <v>North</v>
      </c>
      <c r="P1281" s="33">
        <f>IFERROR(VLOOKUP(D1281,Products!$A:$D,4,FALSE),"")</f>
        <v>147</v>
      </c>
      <c r="Q1281" s="33">
        <f t="shared" si="19"/>
        <v>0.22631578947368422</v>
      </c>
    </row>
    <row r="1282" spans="1:17" x14ac:dyDescent="0.3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  <c r="L1282" t="str">
        <f>IFERROR(VLOOKUP(D1282,Products!$A:$C,3,FALSE),"")</f>
        <v>Sports</v>
      </c>
      <c r="M1282" t="str">
        <f>IFERROR(VLOOKUP(C1282,Customers!$A:$E,5,FALSE),"")</f>
        <v>SMB</v>
      </c>
      <c r="N1282">
        <f>IFERROR(VLOOKUP(C1282,Customers!$A:$E,3,FALSE),"")</f>
        <v>28</v>
      </c>
      <c r="O1282" s="33" t="str">
        <f>IFERROR(VLOOKUP(E1282,Sales_Reps!$A:$C,3,FALSE),"")</f>
        <v>West</v>
      </c>
      <c r="P1282" s="33">
        <f>IFERROR(VLOOKUP(D1282,Products!$A:$D,4,FALSE),"")</f>
        <v>2028</v>
      </c>
      <c r="Q1282" s="33">
        <f t="shared" si="19"/>
        <v>0.29090909090909089</v>
      </c>
    </row>
    <row r="1283" spans="1:17" x14ac:dyDescent="0.3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  <c r="L1283" t="str">
        <f>IFERROR(VLOOKUP(D1283,Products!$A:$C,3,FALSE),"")</f>
        <v>Electronics</v>
      </c>
      <c r="M1283" t="str">
        <f>IFERROR(VLOOKUP(C1283,Customers!$A:$E,5,FALSE),"")</f>
        <v>SMB</v>
      </c>
      <c r="N1283">
        <f>IFERROR(VLOOKUP(C1283,Customers!$A:$E,3,FALSE),"")</f>
        <v>50</v>
      </c>
      <c r="O1283" s="33" t="str">
        <f>IFERROR(VLOOKUP(E1283,Sales_Reps!$A:$C,3,FALSE),"")</f>
        <v>West</v>
      </c>
      <c r="P1283" s="33">
        <f>IFERROR(VLOOKUP(D1283,Products!$A:$D,4,FALSE),"")</f>
        <v>128</v>
      </c>
      <c r="Q1283" s="33">
        <f t="shared" ref="Q1283:Q1346" si="20">IFERROR((G1283-P1283)/G1283,"")</f>
        <v>0.57333333333333336</v>
      </c>
    </row>
    <row r="1284" spans="1:17" x14ac:dyDescent="0.3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  <c r="L1284" t="str">
        <f>IFERROR(VLOOKUP(D1284,Products!$A:$C,3,FALSE),"")</f>
        <v>Beauty</v>
      </c>
      <c r="M1284" t="str">
        <f>IFERROR(VLOOKUP(C1284,Customers!$A:$E,5,FALSE),"")</f>
        <v>Retail</v>
      </c>
      <c r="N1284">
        <f>IFERROR(VLOOKUP(C1284,Customers!$A:$E,3,FALSE),"")</f>
        <v>40</v>
      </c>
      <c r="O1284" s="33" t="str">
        <f>IFERROR(VLOOKUP(E1284,Sales_Reps!$A:$C,3,FALSE),"")</f>
        <v>North</v>
      </c>
      <c r="P1284" s="33">
        <f>IFERROR(VLOOKUP(D1284,Products!$A:$D,4,FALSE),"")</f>
        <v>675</v>
      </c>
      <c r="Q1284" s="33">
        <f t="shared" si="20"/>
        <v>0.296875</v>
      </c>
    </row>
    <row r="1285" spans="1:17" x14ac:dyDescent="0.3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  <c r="L1285" t="str">
        <f>IFERROR(VLOOKUP(D1285,Products!$A:$C,3,FALSE),"")</f>
        <v>Apparel</v>
      </c>
      <c r="M1285" t="str">
        <f>IFERROR(VLOOKUP(C1285,Customers!$A:$E,5,FALSE),"")</f>
        <v>Retail</v>
      </c>
      <c r="N1285">
        <f>IFERROR(VLOOKUP(C1285,Customers!$A:$E,3,FALSE),"")</f>
        <v>54</v>
      </c>
      <c r="O1285" s="33" t="str">
        <f>IFERROR(VLOOKUP(E1285,Sales_Reps!$A:$C,3,FALSE),"")</f>
        <v>South</v>
      </c>
      <c r="P1285" s="33">
        <f>IFERROR(VLOOKUP(D1285,Products!$A:$D,4,FALSE),"")</f>
        <v>391</v>
      </c>
      <c r="Q1285" s="33">
        <f t="shared" si="20"/>
        <v>0.52317073170731709</v>
      </c>
    </row>
    <row r="1286" spans="1:17" x14ac:dyDescent="0.3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  <c r="L1286" t="str">
        <f>IFERROR(VLOOKUP(D1286,Products!$A:$C,3,FALSE),"")</f>
        <v>Home</v>
      </c>
      <c r="M1286" t="str">
        <f>IFERROR(VLOOKUP(C1286,Customers!$A:$E,5,FALSE),"")</f>
        <v>Retail</v>
      </c>
      <c r="N1286">
        <f>IFERROR(VLOOKUP(C1286,Customers!$A:$E,3,FALSE),"")</f>
        <v>28</v>
      </c>
      <c r="O1286" s="33" t="str">
        <f>IFERROR(VLOOKUP(E1286,Sales_Reps!$A:$C,3,FALSE),"")</f>
        <v>North</v>
      </c>
      <c r="P1286" s="33">
        <f>IFERROR(VLOOKUP(D1286,Products!$A:$D,4,FALSE),"")</f>
        <v>288</v>
      </c>
      <c r="Q1286" s="33">
        <f t="shared" si="20"/>
        <v>0.22162162162162163</v>
      </c>
    </row>
    <row r="1287" spans="1:17" x14ac:dyDescent="0.3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  <c r="L1287" t="str">
        <f>IFERROR(VLOOKUP(D1287,Products!$A:$C,3,FALSE),"")</f>
        <v>Home</v>
      </c>
      <c r="M1287" t="str">
        <f>IFERROR(VLOOKUP(C1287,Customers!$A:$E,5,FALSE),"")</f>
        <v>Retail</v>
      </c>
      <c r="N1287">
        <f>IFERROR(VLOOKUP(C1287,Customers!$A:$E,3,FALSE),"")</f>
        <v>35</v>
      </c>
      <c r="O1287" s="33" t="str">
        <f>IFERROR(VLOOKUP(E1287,Sales_Reps!$A:$C,3,FALSE),"")</f>
        <v>East</v>
      </c>
      <c r="P1287" s="33">
        <f>IFERROR(VLOOKUP(D1287,Products!$A:$D,4,FALSE),"")</f>
        <v>2549</v>
      </c>
      <c r="Q1287" s="33">
        <f t="shared" si="20"/>
        <v>0.53570127504553733</v>
      </c>
    </row>
    <row r="1288" spans="1:17" x14ac:dyDescent="0.3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  <c r="L1288" t="str">
        <f>IFERROR(VLOOKUP(D1288,Products!$A:$C,3,FALSE),"")</f>
        <v>Home</v>
      </c>
      <c r="M1288" t="str">
        <f>IFERROR(VLOOKUP(C1288,Customers!$A:$E,5,FALSE),"")</f>
        <v>SMB</v>
      </c>
      <c r="N1288">
        <f>IFERROR(VLOOKUP(C1288,Customers!$A:$E,3,FALSE),"")</f>
        <v>28</v>
      </c>
      <c r="O1288" s="33" t="str">
        <f>IFERROR(VLOOKUP(E1288,Sales_Reps!$A:$C,3,FALSE),"")</f>
        <v>East</v>
      </c>
      <c r="P1288" s="33">
        <f>IFERROR(VLOOKUP(D1288,Products!$A:$D,4,FALSE),"")</f>
        <v>288</v>
      </c>
      <c r="Q1288" s="33">
        <f t="shared" si="20"/>
        <v>0.22162162162162163</v>
      </c>
    </row>
    <row r="1289" spans="1:17" x14ac:dyDescent="0.3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  <c r="L1289" t="str">
        <f>IFERROR(VLOOKUP(D1289,Products!$A:$C,3,FALSE),"")</f>
        <v>Sports</v>
      </c>
      <c r="M1289" t="str">
        <f>IFERROR(VLOOKUP(C1289,Customers!$A:$E,5,FALSE),"")</f>
        <v>SMB</v>
      </c>
      <c r="N1289">
        <f>IFERROR(VLOOKUP(C1289,Customers!$A:$E,3,FALSE),"")</f>
        <v>48</v>
      </c>
      <c r="O1289" s="33" t="str">
        <f>IFERROR(VLOOKUP(E1289,Sales_Reps!$A:$C,3,FALSE),"")</f>
        <v>East</v>
      </c>
      <c r="P1289" s="33">
        <f>IFERROR(VLOOKUP(D1289,Products!$A:$D,4,FALSE),"")</f>
        <v>147</v>
      </c>
      <c r="Q1289" s="33">
        <f t="shared" si="20"/>
        <v>0.22631578947368422</v>
      </c>
    </row>
    <row r="1290" spans="1:17" x14ac:dyDescent="0.3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  <c r="L1290" t="str">
        <f>IFERROR(VLOOKUP(D1290,Products!$A:$C,3,FALSE),"")</f>
        <v>Grocery</v>
      </c>
      <c r="M1290" t="str">
        <f>IFERROR(VLOOKUP(C1290,Customers!$A:$E,5,FALSE),"")</f>
        <v>SMB</v>
      </c>
      <c r="N1290">
        <f>IFERROR(VLOOKUP(C1290,Customers!$A:$E,3,FALSE),"")</f>
        <v>44</v>
      </c>
      <c r="O1290" s="33" t="str">
        <f>IFERROR(VLOOKUP(E1290,Sales_Reps!$A:$C,3,FALSE),"")</f>
        <v>East</v>
      </c>
      <c r="P1290" s="33">
        <f>IFERROR(VLOOKUP(D1290,Products!$A:$D,4,FALSE),"")</f>
        <v>1010</v>
      </c>
      <c r="Q1290" s="33">
        <f t="shared" si="20"/>
        <v>0.54298642533936647</v>
      </c>
    </row>
    <row r="1291" spans="1:17" x14ac:dyDescent="0.3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  <c r="L1291" t="str">
        <f>IFERROR(VLOOKUP(D1291,Products!$A:$C,3,FALSE),"")</f>
        <v>Beauty</v>
      </c>
      <c r="M1291" t="str">
        <f>IFERROR(VLOOKUP(C1291,Customers!$A:$E,5,FALSE),"")</f>
        <v>Retail</v>
      </c>
      <c r="N1291">
        <f>IFERROR(VLOOKUP(C1291,Customers!$A:$E,3,FALSE),"")</f>
        <v>55</v>
      </c>
      <c r="O1291" s="33" t="str">
        <f>IFERROR(VLOOKUP(E1291,Sales_Reps!$A:$C,3,FALSE),"")</f>
        <v>South</v>
      </c>
      <c r="P1291" s="33">
        <f>IFERROR(VLOOKUP(D1291,Products!$A:$D,4,FALSE),"")</f>
        <v>1222</v>
      </c>
      <c r="Q1291" s="33">
        <f t="shared" si="20"/>
        <v>0.2593939393939394</v>
      </c>
    </row>
    <row r="1292" spans="1:17" x14ac:dyDescent="0.3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  <c r="L1292" t="str">
        <f>IFERROR(VLOOKUP(D1292,Products!$A:$C,3,FALSE),"")</f>
        <v>Home</v>
      </c>
      <c r="M1292" t="str">
        <f>IFERROR(VLOOKUP(C1292,Customers!$A:$E,5,FALSE),"")</f>
        <v>Retail</v>
      </c>
      <c r="N1292">
        <f>IFERROR(VLOOKUP(C1292,Customers!$A:$E,3,FALSE),"")</f>
        <v>32</v>
      </c>
      <c r="O1292" s="33" t="str">
        <f>IFERROR(VLOOKUP(E1292,Sales_Reps!$A:$C,3,FALSE),"")</f>
        <v>South</v>
      </c>
      <c r="P1292" s="33">
        <f>IFERROR(VLOOKUP(D1292,Products!$A:$D,4,FALSE),"")</f>
        <v>329</v>
      </c>
      <c r="Q1292" s="33">
        <f t="shared" si="20"/>
        <v>0.50151515151515147</v>
      </c>
    </row>
    <row r="1293" spans="1:17" x14ac:dyDescent="0.3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  <c r="L1293" t="str">
        <f>IFERROR(VLOOKUP(D1293,Products!$A:$C,3,FALSE),"")</f>
        <v>Home</v>
      </c>
      <c r="M1293" t="str">
        <f>IFERROR(VLOOKUP(C1293,Customers!$A:$E,5,FALSE),"")</f>
        <v>SMB</v>
      </c>
      <c r="N1293">
        <f>IFERROR(VLOOKUP(C1293,Customers!$A:$E,3,FALSE),"")</f>
        <v>44</v>
      </c>
      <c r="O1293" s="33" t="str">
        <f>IFERROR(VLOOKUP(E1293,Sales_Reps!$A:$C,3,FALSE),"")</f>
        <v>North</v>
      </c>
      <c r="P1293" s="33">
        <f>IFERROR(VLOOKUP(D1293,Products!$A:$D,4,FALSE),"")</f>
        <v>1850</v>
      </c>
      <c r="Q1293" s="33">
        <f t="shared" si="20"/>
        <v>0.59869848156182215</v>
      </c>
    </row>
    <row r="1294" spans="1:17" x14ac:dyDescent="0.3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  <c r="L1294" t="str">
        <f>IFERROR(VLOOKUP(D1294,Products!$A:$C,3,FALSE),"")</f>
        <v>Grocery</v>
      </c>
      <c r="M1294" t="str">
        <f>IFERROR(VLOOKUP(C1294,Customers!$A:$E,5,FALSE),"")</f>
        <v>SMB</v>
      </c>
      <c r="N1294">
        <f>IFERROR(VLOOKUP(C1294,Customers!$A:$E,3,FALSE),"")</f>
        <v>22</v>
      </c>
      <c r="O1294" s="33" t="str">
        <f>IFERROR(VLOOKUP(E1294,Sales_Reps!$A:$C,3,FALSE),"")</f>
        <v>West</v>
      </c>
      <c r="P1294" s="33">
        <f>IFERROR(VLOOKUP(D1294,Products!$A:$D,4,FALSE),"")</f>
        <v>1010</v>
      </c>
      <c r="Q1294" s="33">
        <f t="shared" si="20"/>
        <v>0.54298642533936647</v>
      </c>
    </row>
    <row r="1295" spans="1:17" x14ac:dyDescent="0.3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  <c r="L1295" t="str">
        <f>IFERROR(VLOOKUP(D1295,Products!$A:$C,3,FALSE),"")</f>
        <v>Beauty</v>
      </c>
      <c r="M1295" t="str">
        <f>IFERROR(VLOOKUP(C1295,Customers!$A:$E,5,FALSE),"")</f>
        <v>SMB</v>
      </c>
      <c r="N1295">
        <f>IFERROR(VLOOKUP(C1295,Customers!$A:$E,3,FALSE),"")</f>
        <v>62</v>
      </c>
      <c r="O1295" s="33" t="str">
        <f>IFERROR(VLOOKUP(E1295,Sales_Reps!$A:$C,3,FALSE),"")</f>
        <v>East</v>
      </c>
      <c r="P1295" s="33">
        <f>IFERROR(VLOOKUP(D1295,Products!$A:$D,4,FALSE),"")</f>
        <v>1219</v>
      </c>
      <c r="Q1295" s="33">
        <f t="shared" si="20"/>
        <v>0.46768558951965067</v>
      </c>
    </row>
    <row r="1296" spans="1:17" x14ac:dyDescent="0.3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  <c r="L1296" t="str">
        <f>IFERROR(VLOOKUP(D1296,Products!$A:$C,3,FALSE),"")</f>
        <v>Home</v>
      </c>
      <c r="M1296" t="str">
        <f>IFERROR(VLOOKUP(C1296,Customers!$A:$E,5,FALSE),"")</f>
        <v>Corporate</v>
      </c>
      <c r="N1296">
        <f>IFERROR(VLOOKUP(C1296,Customers!$A:$E,3,FALSE),"")</f>
        <v>46</v>
      </c>
      <c r="O1296" s="33" t="str">
        <f>IFERROR(VLOOKUP(E1296,Sales_Reps!$A:$C,3,FALSE),"")</f>
        <v>West</v>
      </c>
      <c r="P1296" s="33">
        <f>IFERROR(VLOOKUP(D1296,Products!$A:$D,4,FALSE),"")</f>
        <v>519</v>
      </c>
      <c r="Q1296" s="33">
        <f t="shared" si="20"/>
        <v>0.51944444444444449</v>
      </c>
    </row>
    <row r="1297" spans="1:17" x14ac:dyDescent="0.3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  <c r="L1297" t="str">
        <f>IFERROR(VLOOKUP(D1297,Products!$A:$C,3,FALSE),"")</f>
        <v>Sports</v>
      </c>
      <c r="M1297" t="str">
        <f>IFERROR(VLOOKUP(C1297,Customers!$A:$E,5,FALSE),"")</f>
        <v>SMB</v>
      </c>
      <c r="N1297">
        <f>IFERROR(VLOOKUP(C1297,Customers!$A:$E,3,FALSE),"")</f>
        <v>30</v>
      </c>
      <c r="O1297" s="33" t="str">
        <f>IFERROR(VLOOKUP(E1297,Sales_Reps!$A:$C,3,FALSE),"")</f>
        <v>South</v>
      </c>
      <c r="P1297" s="33">
        <f>IFERROR(VLOOKUP(D1297,Products!$A:$D,4,FALSE),"")</f>
        <v>705</v>
      </c>
      <c r="Q1297" s="33">
        <f t="shared" si="20"/>
        <v>0.265625</v>
      </c>
    </row>
    <row r="1298" spans="1:17" x14ac:dyDescent="0.3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  <c r="L1298" t="str">
        <f>IFERROR(VLOOKUP(D1298,Products!$A:$C,3,FALSE),"")</f>
        <v>Sports</v>
      </c>
      <c r="M1298" t="str">
        <f>IFERROR(VLOOKUP(C1298,Customers!$A:$E,5,FALSE),"")</f>
        <v>SMB</v>
      </c>
      <c r="N1298">
        <f>IFERROR(VLOOKUP(C1298,Customers!$A:$E,3,FALSE),"")</f>
        <v>47</v>
      </c>
      <c r="O1298" s="33" t="str">
        <f>IFERROR(VLOOKUP(E1298,Sales_Reps!$A:$C,3,FALSE),"")</f>
        <v>North</v>
      </c>
      <c r="P1298" s="33">
        <f>IFERROR(VLOOKUP(D1298,Products!$A:$D,4,FALSE),"")</f>
        <v>974</v>
      </c>
      <c r="Q1298" s="33">
        <f t="shared" si="20"/>
        <v>0.59416666666666662</v>
      </c>
    </row>
    <row r="1299" spans="1:17" x14ac:dyDescent="0.3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  <c r="L1299" t="str">
        <f>IFERROR(VLOOKUP(D1299,Products!$A:$C,3,FALSE),"")</f>
        <v>Beauty</v>
      </c>
      <c r="M1299" t="str">
        <f>IFERROR(VLOOKUP(C1299,Customers!$A:$E,5,FALSE),"")</f>
        <v>Retail</v>
      </c>
      <c r="N1299">
        <f>IFERROR(VLOOKUP(C1299,Customers!$A:$E,3,FALSE),"")</f>
        <v>38</v>
      </c>
      <c r="O1299" s="33" t="str">
        <f>IFERROR(VLOOKUP(E1299,Sales_Reps!$A:$C,3,FALSE),"")</f>
        <v>South</v>
      </c>
      <c r="P1299" s="33">
        <f>IFERROR(VLOOKUP(D1299,Products!$A:$D,4,FALSE),"")</f>
        <v>1219</v>
      </c>
      <c r="Q1299" s="33">
        <f t="shared" si="20"/>
        <v>0.46768558951965067</v>
      </c>
    </row>
    <row r="1300" spans="1:17" x14ac:dyDescent="0.3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  <c r="L1300" t="str">
        <f>IFERROR(VLOOKUP(D1300,Products!$A:$C,3,FALSE),"")</f>
        <v>Home</v>
      </c>
      <c r="M1300" t="str">
        <f>IFERROR(VLOOKUP(C1300,Customers!$A:$E,5,FALSE),"")</f>
        <v>Retail</v>
      </c>
      <c r="N1300">
        <f>IFERROR(VLOOKUP(C1300,Customers!$A:$E,3,FALSE),"")</f>
        <v>37</v>
      </c>
      <c r="O1300" s="33" t="str">
        <f>IFERROR(VLOOKUP(E1300,Sales_Reps!$A:$C,3,FALSE),"")</f>
        <v>East</v>
      </c>
      <c r="P1300" s="33">
        <f>IFERROR(VLOOKUP(D1300,Products!$A:$D,4,FALSE),"")</f>
        <v>519</v>
      </c>
      <c r="Q1300" s="33">
        <f t="shared" si="20"/>
        <v>0.51944444444444449</v>
      </c>
    </row>
    <row r="1301" spans="1:17" x14ac:dyDescent="0.3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  <c r="L1301" t="str">
        <f>IFERROR(VLOOKUP(D1301,Products!$A:$C,3,FALSE),"")</f>
        <v>Home</v>
      </c>
      <c r="M1301" t="str">
        <f>IFERROR(VLOOKUP(C1301,Customers!$A:$E,5,FALSE),"")</f>
        <v>Retail</v>
      </c>
      <c r="N1301">
        <f>IFERROR(VLOOKUP(C1301,Customers!$A:$E,3,FALSE),"")</f>
        <v>55</v>
      </c>
      <c r="O1301" s="33" t="str">
        <f>IFERROR(VLOOKUP(E1301,Sales_Reps!$A:$C,3,FALSE),"")</f>
        <v>North</v>
      </c>
      <c r="P1301" s="33">
        <f>IFERROR(VLOOKUP(D1301,Products!$A:$D,4,FALSE),"")</f>
        <v>464</v>
      </c>
      <c r="Q1301" s="33">
        <f t="shared" si="20"/>
        <v>0.57431192660550456</v>
      </c>
    </row>
    <row r="1302" spans="1:17" x14ac:dyDescent="0.3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  <c r="L1302" t="str">
        <f>IFERROR(VLOOKUP(D1302,Products!$A:$C,3,FALSE),"")</f>
        <v>Grocery</v>
      </c>
      <c r="M1302" t="str">
        <f>IFERROR(VLOOKUP(C1302,Customers!$A:$E,5,FALSE),"")</f>
        <v>Retail</v>
      </c>
      <c r="N1302">
        <f>IFERROR(VLOOKUP(C1302,Customers!$A:$E,3,FALSE),"")</f>
        <v>37</v>
      </c>
      <c r="O1302" s="33" t="str">
        <f>IFERROR(VLOOKUP(E1302,Sales_Reps!$A:$C,3,FALSE),"")</f>
        <v>East</v>
      </c>
      <c r="P1302" s="33">
        <f>IFERROR(VLOOKUP(D1302,Products!$A:$D,4,FALSE),"")</f>
        <v>1010</v>
      </c>
      <c r="Q1302" s="33">
        <f t="shared" si="20"/>
        <v>0.54298642533936647</v>
      </c>
    </row>
    <row r="1303" spans="1:17" x14ac:dyDescent="0.3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  <c r="L1303" t="str">
        <f>IFERROR(VLOOKUP(D1303,Products!$A:$C,3,FALSE),"")</f>
        <v>Apparel</v>
      </c>
      <c r="M1303" t="str">
        <f>IFERROR(VLOOKUP(C1303,Customers!$A:$E,5,FALSE),"")</f>
        <v>Corporate</v>
      </c>
      <c r="N1303">
        <f>IFERROR(VLOOKUP(C1303,Customers!$A:$E,3,FALSE),"")</f>
        <v>47</v>
      </c>
      <c r="O1303" s="33" t="str">
        <f>IFERROR(VLOOKUP(E1303,Sales_Reps!$A:$C,3,FALSE),"")</f>
        <v>South</v>
      </c>
      <c r="P1303" s="33">
        <f>IFERROR(VLOOKUP(D1303,Products!$A:$D,4,FALSE),"")</f>
        <v>2509</v>
      </c>
      <c r="Q1303" s="33">
        <f t="shared" si="20"/>
        <v>0.3069060773480663</v>
      </c>
    </row>
    <row r="1304" spans="1:17" x14ac:dyDescent="0.3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  <c r="L1304" t="str">
        <f>IFERROR(VLOOKUP(D1304,Products!$A:$C,3,FALSE),"")</f>
        <v>Home</v>
      </c>
      <c r="M1304" t="str">
        <f>IFERROR(VLOOKUP(C1304,Customers!$A:$E,5,FALSE),"")</f>
        <v>Retail</v>
      </c>
      <c r="N1304">
        <f>IFERROR(VLOOKUP(C1304,Customers!$A:$E,3,FALSE),"")</f>
        <v>26</v>
      </c>
      <c r="O1304" s="33" t="str">
        <f>IFERROR(VLOOKUP(E1304,Sales_Reps!$A:$C,3,FALSE),"")</f>
        <v>South</v>
      </c>
      <c r="P1304" s="33">
        <f>IFERROR(VLOOKUP(D1304,Products!$A:$D,4,FALSE),"")</f>
        <v>1143</v>
      </c>
      <c r="Q1304" s="33">
        <f t="shared" si="20"/>
        <v>0.43694581280788175</v>
      </c>
    </row>
    <row r="1305" spans="1:17" x14ac:dyDescent="0.3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  <c r="L1305" t="str">
        <f>IFERROR(VLOOKUP(D1305,Products!$A:$C,3,FALSE),"")</f>
        <v>Electronics</v>
      </c>
      <c r="M1305" t="str">
        <f>IFERROR(VLOOKUP(C1305,Customers!$A:$E,5,FALSE),"")</f>
        <v>Corporate</v>
      </c>
      <c r="N1305">
        <f>IFERROR(VLOOKUP(C1305,Customers!$A:$E,3,FALSE),"")</f>
        <v>26</v>
      </c>
      <c r="O1305" s="33" t="str">
        <f>IFERROR(VLOOKUP(E1305,Sales_Reps!$A:$C,3,FALSE),"")</f>
        <v>East</v>
      </c>
      <c r="P1305" s="33">
        <f>IFERROR(VLOOKUP(D1305,Products!$A:$D,4,FALSE),"")</f>
        <v>1559</v>
      </c>
      <c r="Q1305" s="33">
        <f t="shared" si="20"/>
        <v>0.59715762273901807</v>
      </c>
    </row>
    <row r="1306" spans="1:17" x14ac:dyDescent="0.3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  <c r="L1306" t="str">
        <f>IFERROR(VLOOKUP(D1306,Products!$A:$C,3,FALSE),"")</f>
        <v>Electronics</v>
      </c>
      <c r="M1306" t="str">
        <f>IFERROR(VLOOKUP(C1306,Customers!$A:$E,5,FALSE),"")</f>
        <v>Retail</v>
      </c>
      <c r="N1306">
        <f>IFERROR(VLOOKUP(C1306,Customers!$A:$E,3,FALSE),"")</f>
        <v>52</v>
      </c>
      <c r="O1306" s="33" t="str">
        <f>IFERROR(VLOOKUP(E1306,Sales_Reps!$A:$C,3,FALSE),"")</f>
        <v>South</v>
      </c>
      <c r="P1306" s="33">
        <f>IFERROR(VLOOKUP(D1306,Products!$A:$D,4,FALSE),"")</f>
        <v>1665</v>
      </c>
      <c r="Q1306" s="33">
        <f t="shared" si="20"/>
        <v>0.53361344537815125</v>
      </c>
    </row>
    <row r="1307" spans="1:17" x14ac:dyDescent="0.3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  <c r="L1307" t="str">
        <f>IFERROR(VLOOKUP(D1307,Products!$A:$C,3,FALSE),"")</f>
        <v>Electronics</v>
      </c>
      <c r="M1307" t="str">
        <f>IFERROR(VLOOKUP(C1307,Customers!$A:$E,5,FALSE),"")</f>
        <v>Corporate</v>
      </c>
      <c r="N1307">
        <f>IFERROR(VLOOKUP(C1307,Customers!$A:$E,3,FALSE),"")</f>
        <v>31</v>
      </c>
      <c r="O1307" s="33" t="str">
        <f>IFERROR(VLOOKUP(E1307,Sales_Reps!$A:$C,3,FALSE),"")</f>
        <v>East</v>
      </c>
      <c r="P1307" s="33">
        <f>IFERROR(VLOOKUP(D1307,Products!$A:$D,4,FALSE),"")</f>
        <v>2405</v>
      </c>
      <c r="Q1307" s="33">
        <f t="shared" si="20"/>
        <v>0.54878048780487809</v>
      </c>
    </row>
    <row r="1308" spans="1:17" x14ac:dyDescent="0.3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  <c r="L1308" t="str">
        <f>IFERROR(VLOOKUP(D1308,Products!$A:$C,3,FALSE),"")</f>
        <v>Electronics</v>
      </c>
      <c r="M1308" t="str">
        <f>IFERROR(VLOOKUP(C1308,Customers!$A:$E,5,FALSE),"")</f>
        <v>Retail</v>
      </c>
      <c r="N1308">
        <f>IFERROR(VLOOKUP(C1308,Customers!$A:$E,3,FALSE),"")</f>
        <v>36</v>
      </c>
      <c r="O1308" s="33" t="str">
        <f>IFERROR(VLOOKUP(E1308,Sales_Reps!$A:$C,3,FALSE),"")</f>
        <v>South</v>
      </c>
      <c r="P1308" s="33">
        <f>IFERROR(VLOOKUP(D1308,Products!$A:$D,4,FALSE),"")</f>
        <v>517</v>
      </c>
      <c r="Q1308" s="33">
        <f t="shared" si="20"/>
        <v>0.57622950819672136</v>
      </c>
    </row>
    <row r="1309" spans="1:17" x14ac:dyDescent="0.3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  <c r="L1309" t="str">
        <f>IFERROR(VLOOKUP(D1309,Products!$A:$C,3,FALSE),"")</f>
        <v>Apparel</v>
      </c>
      <c r="M1309" t="str">
        <f>IFERROR(VLOOKUP(C1309,Customers!$A:$E,5,FALSE),"")</f>
        <v>Retail</v>
      </c>
      <c r="N1309">
        <f>IFERROR(VLOOKUP(C1309,Customers!$A:$E,3,FALSE),"")</f>
        <v>49</v>
      </c>
      <c r="O1309" s="33" t="str">
        <f>IFERROR(VLOOKUP(E1309,Sales_Reps!$A:$C,3,FALSE),"")</f>
        <v>East</v>
      </c>
      <c r="P1309" s="33">
        <f>IFERROR(VLOOKUP(D1309,Products!$A:$D,4,FALSE),"")</f>
        <v>1748</v>
      </c>
      <c r="Q1309" s="33">
        <f t="shared" si="20"/>
        <v>0.49333333333333335</v>
      </c>
    </row>
    <row r="1310" spans="1:17" x14ac:dyDescent="0.3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  <c r="L1310" t="str">
        <f>IFERROR(VLOOKUP(D1310,Products!$A:$C,3,FALSE),"")</f>
        <v>Apparel</v>
      </c>
      <c r="M1310" t="str">
        <f>IFERROR(VLOOKUP(C1310,Customers!$A:$E,5,FALSE),"")</f>
        <v>SMB</v>
      </c>
      <c r="N1310">
        <f>IFERROR(VLOOKUP(C1310,Customers!$A:$E,3,FALSE),"")</f>
        <v>65</v>
      </c>
      <c r="O1310" s="33" t="str">
        <f>IFERROR(VLOOKUP(E1310,Sales_Reps!$A:$C,3,FALSE),"")</f>
        <v>South</v>
      </c>
      <c r="P1310" s="33">
        <f>IFERROR(VLOOKUP(D1310,Products!$A:$D,4,FALSE),"")</f>
        <v>2629</v>
      </c>
      <c r="Q1310" s="33">
        <f t="shared" si="20"/>
        <v>0.26151685393258428</v>
      </c>
    </row>
    <row r="1311" spans="1:17" x14ac:dyDescent="0.3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  <c r="L1311" t="str">
        <f>IFERROR(VLOOKUP(D1311,Products!$A:$C,3,FALSE),"")</f>
        <v>Home</v>
      </c>
      <c r="M1311" t="str">
        <f>IFERROR(VLOOKUP(C1311,Customers!$A:$E,5,FALSE),"")</f>
        <v>Corporate</v>
      </c>
      <c r="N1311">
        <f>IFERROR(VLOOKUP(C1311,Customers!$A:$E,3,FALSE),"")</f>
        <v>36</v>
      </c>
      <c r="O1311" s="33" t="str">
        <f>IFERROR(VLOOKUP(E1311,Sales_Reps!$A:$C,3,FALSE),"")</f>
        <v>North</v>
      </c>
      <c r="P1311" s="33">
        <f>IFERROR(VLOOKUP(D1311,Products!$A:$D,4,FALSE),"")</f>
        <v>288</v>
      </c>
      <c r="Q1311" s="33">
        <f t="shared" si="20"/>
        <v>0.22162162162162163</v>
      </c>
    </row>
    <row r="1312" spans="1:17" x14ac:dyDescent="0.3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  <c r="L1312" t="str">
        <f>IFERROR(VLOOKUP(D1312,Products!$A:$C,3,FALSE),"")</f>
        <v>Electronics</v>
      </c>
      <c r="M1312" t="str">
        <f>IFERROR(VLOOKUP(C1312,Customers!$A:$E,5,FALSE),"")</f>
        <v>Retail</v>
      </c>
      <c r="N1312">
        <f>IFERROR(VLOOKUP(C1312,Customers!$A:$E,3,FALSE),"")</f>
        <v>48</v>
      </c>
      <c r="O1312" s="33" t="str">
        <f>IFERROR(VLOOKUP(E1312,Sales_Reps!$A:$C,3,FALSE),"")</f>
        <v>North</v>
      </c>
      <c r="P1312" s="33">
        <f>IFERROR(VLOOKUP(D1312,Products!$A:$D,4,FALSE),"")</f>
        <v>517</v>
      </c>
      <c r="Q1312" s="33">
        <f t="shared" si="20"/>
        <v>0.57622950819672136</v>
      </c>
    </row>
    <row r="1313" spans="1:17" x14ac:dyDescent="0.3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  <c r="L1313" t="str">
        <f>IFERROR(VLOOKUP(D1313,Products!$A:$C,3,FALSE),"")</f>
        <v>Apparel</v>
      </c>
      <c r="M1313" t="str">
        <f>IFERROR(VLOOKUP(C1313,Customers!$A:$E,5,FALSE),"")</f>
        <v>SMB</v>
      </c>
      <c r="N1313">
        <f>IFERROR(VLOOKUP(C1313,Customers!$A:$E,3,FALSE),"")</f>
        <v>39</v>
      </c>
      <c r="O1313" s="33" t="str">
        <f>IFERROR(VLOOKUP(E1313,Sales_Reps!$A:$C,3,FALSE),"")</f>
        <v>North</v>
      </c>
      <c r="P1313" s="33">
        <f>IFERROR(VLOOKUP(D1313,Products!$A:$D,4,FALSE),"")</f>
        <v>2611</v>
      </c>
      <c r="Q1313" s="33">
        <f t="shared" si="20"/>
        <v>0.28269230769230769</v>
      </c>
    </row>
    <row r="1314" spans="1:17" x14ac:dyDescent="0.3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  <c r="L1314" t="str">
        <f>IFERROR(VLOOKUP(D1314,Products!$A:$C,3,FALSE),"")</f>
        <v>Beauty</v>
      </c>
      <c r="M1314" t="str">
        <f>IFERROR(VLOOKUP(C1314,Customers!$A:$E,5,FALSE),"")</f>
        <v>Corporate</v>
      </c>
      <c r="N1314">
        <f>IFERROR(VLOOKUP(C1314,Customers!$A:$E,3,FALSE),"")</f>
        <v>62</v>
      </c>
      <c r="O1314" s="33" t="str">
        <f>IFERROR(VLOOKUP(E1314,Sales_Reps!$A:$C,3,FALSE),"")</f>
        <v>South</v>
      </c>
      <c r="P1314" s="33">
        <f>IFERROR(VLOOKUP(D1314,Products!$A:$D,4,FALSE),"")</f>
        <v>1626</v>
      </c>
      <c r="Q1314" s="33">
        <f t="shared" si="20"/>
        <v>0.46158940397350995</v>
      </c>
    </row>
    <row r="1315" spans="1:17" x14ac:dyDescent="0.3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  <c r="L1315" t="str">
        <f>IFERROR(VLOOKUP(D1315,Products!$A:$C,3,FALSE),"")</f>
        <v>Beauty</v>
      </c>
      <c r="M1315" t="str">
        <f>IFERROR(VLOOKUP(C1315,Customers!$A:$E,5,FALSE),"")</f>
        <v>Retail</v>
      </c>
      <c r="N1315">
        <f>IFERROR(VLOOKUP(C1315,Customers!$A:$E,3,FALSE),"")</f>
        <v>27</v>
      </c>
      <c r="O1315" s="33" t="str">
        <f>IFERROR(VLOOKUP(E1315,Sales_Reps!$A:$C,3,FALSE),"")</f>
        <v>North</v>
      </c>
      <c r="P1315" s="33">
        <f>IFERROR(VLOOKUP(D1315,Products!$A:$D,4,FALSE),"")</f>
        <v>2237</v>
      </c>
      <c r="Q1315" s="33">
        <f t="shared" si="20"/>
        <v>0.56137254901960787</v>
      </c>
    </row>
    <row r="1316" spans="1:17" x14ac:dyDescent="0.3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  <c r="L1316" t="str">
        <f>IFERROR(VLOOKUP(D1316,Products!$A:$C,3,FALSE),"")</f>
        <v>Electronics</v>
      </c>
      <c r="M1316" t="str">
        <f>IFERROR(VLOOKUP(C1316,Customers!$A:$E,5,FALSE),"")</f>
        <v>Retail</v>
      </c>
      <c r="N1316">
        <f>IFERROR(VLOOKUP(C1316,Customers!$A:$E,3,FALSE),"")</f>
        <v>49</v>
      </c>
      <c r="O1316" s="33" t="str">
        <f>IFERROR(VLOOKUP(E1316,Sales_Reps!$A:$C,3,FALSE),"")</f>
        <v>North</v>
      </c>
      <c r="P1316" s="33">
        <f>IFERROR(VLOOKUP(D1316,Products!$A:$D,4,FALSE),"")</f>
        <v>128</v>
      </c>
      <c r="Q1316" s="33">
        <f t="shared" si="20"/>
        <v>0.57333333333333336</v>
      </c>
    </row>
    <row r="1317" spans="1:17" x14ac:dyDescent="0.3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  <c r="L1317" t="str">
        <f>IFERROR(VLOOKUP(D1317,Products!$A:$C,3,FALSE),"")</f>
        <v>Beauty</v>
      </c>
      <c r="M1317" t="str">
        <f>IFERROR(VLOOKUP(C1317,Customers!$A:$E,5,FALSE),"")</f>
        <v>SMB</v>
      </c>
      <c r="N1317">
        <f>IFERROR(VLOOKUP(C1317,Customers!$A:$E,3,FALSE),"")</f>
        <v>44</v>
      </c>
      <c r="O1317" s="33" t="str">
        <f>IFERROR(VLOOKUP(E1317,Sales_Reps!$A:$C,3,FALSE),"")</f>
        <v>North</v>
      </c>
      <c r="P1317" s="33">
        <f>IFERROR(VLOOKUP(D1317,Products!$A:$D,4,FALSE),"")</f>
        <v>1219</v>
      </c>
      <c r="Q1317" s="33">
        <f t="shared" si="20"/>
        <v>0.46768558951965067</v>
      </c>
    </row>
    <row r="1318" spans="1:17" x14ac:dyDescent="0.3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  <c r="L1318" t="str">
        <f>IFERROR(VLOOKUP(D1318,Products!$A:$C,3,FALSE),"")</f>
        <v>Apparel</v>
      </c>
      <c r="M1318" t="str">
        <f>IFERROR(VLOOKUP(C1318,Customers!$A:$E,5,FALSE),"")</f>
        <v>Corporate</v>
      </c>
      <c r="N1318">
        <f>IFERROR(VLOOKUP(C1318,Customers!$A:$E,3,FALSE),"")</f>
        <v>55</v>
      </c>
      <c r="O1318" s="33" t="str">
        <f>IFERROR(VLOOKUP(E1318,Sales_Reps!$A:$C,3,FALSE),"")</f>
        <v>West</v>
      </c>
      <c r="P1318" s="33">
        <f>IFERROR(VLOOKUP(D1318,Products!$A:$D,4,FALSE),"")</f>
        <v>2611</v>
      </c>
      <c r="Q1318" s="33">
        <f t="shared" si="20"/>
        <v>0.28269230769230769</v>
      </c>
    </row>
    <row r="1319" spans="1:17" x14ac:dyDescent="0.3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  <c r="L1319" t="str">
        <f>IFERROR(VLOOKUP(D1319,Products!$A:$C,3,FALSE),"")</f>
        <v>Apparel</v>
      </c>
      <c r="M1319" t="str">
        <f>IFERROR(VLOOKUP(C1319,Customers!$A:$E,5,FALSE),"")</f>
        <v>Retail</v>
      </c>
      <c r="N1319">
        <f>IFERROR(VLOOKUP(C1319,Customers!$A:$E,3,FALSE),"")</f>
        <v>52</v>
      </c>
      <c r="O1319" s="33" t="str">
        <f>IFERROR(VLOOKUP(E1319,Sales_Reps!$A:$C,3,FALSE),"")</f>
        <v>East</v>
      </c>
      <c r="P1319" s="33">
        <f>IFERROR(VLOOKUP(D1319,Products!$A:$D,4,FALSE),"")</f>
        <v>391</v>
      </c>
      <c r="Q1319" s="33">
        <f t="shared" si="20"/>
        <v>0.52317073170731709</v>
      </c>
    </row>
    <row r="1320" spans="1:17" x14ac:dyDescent="0.3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  <c r="L1320" t="str">
        <f>IFERROR(VLOOKUP(D1320,Products!$A:$C,3,FALSE),"")</f>
        <v>Grocery</v>
      </c>
      <c r="M1320" t="str">
        <f>IFERROR(VLOOKUP(C1320,Customers!$A:$E,5,FALSE),"")</f>
        <v>Corporate</v>
      </c>
      <c r="N1320">
        <f>IFERROR(VLOOKUP(C1320,Customers!$A:$E,3,FALSE),"")</f>
        <v>42</v>
      </c>
      <c r="O1320" s="33" t="str">
        <f>IFERROR(VLOOKUP(E1320,Sales_Reps!$A:$C,3,FALSE),"")</f>
        <v>South</v>
      </c>
      <c r="P1320" s="33">
        <f>IFERROR(VLOOKUP(D1320,Products!$A:$D,4,FALSE),"")</f>
        <v>434</v>
      </c>
      <c r="Q1320" s="33">
        <f t="shared" si="20"/>
        <v>0.5525773195876289</v>
      </c>
    </row>
    <row r="1321" spans="1:17" x14ac:dyDescent="0.3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  <c r="L1321" t="str">
        <f>IFERROR(VLOOKUP(D1321,Products!$A:$C,3,FALSE),"")</f>
        <v>Apparel</v>
      </c>
      <c r="M1321" t="str">
        <f>IFERROR(VLOOKUP(C1321,Customers!$A:$E,5,FALSE),"")</f>
        <v>Retail</v>
      </c>
      <c r="N1321">
        <f>IFERROR(VLOOKUP(C1321,Customers!$A:$E,3,FALSE),"")</f>
        <v>60</v>
      </c>
      <c r="O1321" s="33" t="str">
        <f>IFERROR(VLOOKUP(E1321,Sales_Reps!$A:$C,3,FALSE),"")</f>
        <v>East</v>
      </c>
      <c r="P1321" s="33">
        <f>IFERROR(VLOOKUP(D1321,Products!$A:$D,4,FALSE),"")</f>
        <v>2629</v>
      </c>
      <c r="Q1321" s="33">
        <f t="shared" si="20"/>
        <v>0.26151685393258428</v>
      </c>
    </row>
    <row r="1322" spans="1:17" x14ac:dyDescent="0.3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  <c r="L1322" t="str">
        <f>IFERROR(VLOOKUP(D1322,Products!$A:$C,3,FALSE),"")</f>
        <v>Home</v>
      </c>
      <c r="M1322" t="str">
        <f>IFERROR(VLOOKUP(C1322,Customers!$A:$E,5,FALSE),"")</f>
        <v>Retail</v>
      </c>
      <c r="N1322">
        <f>IFERROR(VLOOKUP(C1322,Customers!$A:$E,3,FALSE),"")</f>
        <v>60</v>
      </c>
      <c r="O1322" s="33" t="str">
        <f>IFERROR(VLOOKUP(E1322,Sales_Reps!$A:$C,3,FALSE),"")</f>
        <v>South</v>
      </c>
      <c r="P1322" s="33">
        <f>IFERROR(VLOOKUP(D1322,Products!$A:$D,4,FALSE),"")</f>
        <v>464</v>
      </c>
      <c r="Q1322" s="33">
        <f t="shared" si="20"/>
        <v>0.57431192660550456</v>
      </c>
    </row>
    <row r="1323" spans="1:17" x14ac:dyDescent="0.3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  <c r="L1323" t="str">
        <f>IFERROR(VLOOKUP(D1323,Products!$A:$C,3,FALSE),"")</f>
        <v>Electronics</v>
      </c>
      <c r="M1323" t="str">
        <f>IFERROR(VLOOKUP(C1323,Customers!$A:$E,5,FALSE),"")</f>
        <v>Retail</v>
      </c>
      <c r="N1323">
        <f>IFERROR(VLOOKUP(C1323,Customers!$A:$E,3,FALSE),"")</f>
        <v>33</v>
      </c>
      <c r="O1323" s="33" t="str">
        <f>IFERROR(VLOOKUP(E1323,Sales_Reps!$A:$C,3,FALSE),"")</f>
        <v>East</v>
      </c>
      <c r="P1323" s="33">
        <f>IFERROR(VLOOKUP(D1323,Products!$A:$D,4,FALSE),"")</f>
        <v>1259</v>
      </c>
      <c r="Q1323" s="33">
        <f t="shared" si="20"/>
        <v>0.52669172932330832</v>
      </c>
    </row>
    <row r="1324" spans="1:17" x14ac:dyDescent="0.3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  <c r="L1324" t="str">
        <f>IFERROR(VLOOKUP(D1324,Products!$A:$C,3,FALSE),"")</f>
        <v>Electronics</v>
      </c>
      <c r="M1324" t="str">
        <f>IFERROR(VLOOKUP(C1324,Customers!$A:$E,5,FALSE),"")</f>
        <v>Retail</v>
      </c>
      <c r="N1324">
        <f>IFERROR(VLOOKUP(C1324,Customers!$A:$E,3,FALSE),"")</f>
        <v>28</v>
      </c>
      <c r="O1324" s="33" t="str">
        <f>IFERROR(VLOOKUP(E1324,Sales_Reps!$A:$C,3,FALSE),"")</f>
        <v>North</v>
      </c>
      <c r="P1324" s="33">
        <f>IFERROR(VLOOKUP(D1324,Products!$A:$D,4,FALSE),"")</f>
        <v>2865</v>
      </c>
      <c r="Q1324" s="33">
        <f t="shared" si="20"/>
        <v>0.27833753148614609</v>
      </c>
    </row>
    <row r="1325" spans="1:17" x14ac:dyDescent="0.3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  <c r="L1325" t="str">
        <f>IFERROR(VLOOKUP(D1325,Products!$A:$C,3,FALSE),"")</f>
        <v>Sports</v>
      </c>
      <c r="M1325" t="str">
        <f>IFERROR(VLOOKUP(C1325,Customers!$A:$E,5,FALSE),"")</f>
        <v>Retail</v>
      </c>
      <c r="N1325">
        <f>IFERROR(VLOOKUP(C1325,Customers!$A:$E,3,FALSE),"")</f>
        <v>49</v>
      </c>
      <c r="O1325" s="33" t="str">
        <f>IFERROR(VLOOKUP(E1325,Sales_Reps!$A:$C,3,FALSE),"")</f>
        <v>East</v>
      </c>
      <c r="P1325" s="33">
        <f>IFERROR(VLOOKUP(D1325,Products!$A:$D,4,FALSE),"")</f>
        <v>2827</v>
      </c>
      <c r="Q1325" s="33">
        <f t="shared" si="20"/>
        <v>0.5926512968299712</v>
      </c>
    </row>
    <row r="1326" spans="1:17" x14ac:dyDescent="0.3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  <c r="L1326" t="str">
        <f>IFERROR(VLOOKUP(D1326,Products!$A:$C,3,FALSE),"")</f>
        <v>Sports</v>
      </c>
      <c r="M1326" t="str">
        <f>IFERROR(VLOOKUP(C1326,Customers!$A:$E,5,FALSE),"")</f>
        <v>SMB</v>
      </c>
      <c r="N1326">
        <f>IFERROR(VLOOKUP(C1326,Customers!$A:$E,3,FALSE),"")</f>
        <v>27</v>
      </c>
      <c r="O1326" s="33" t="str">
        <f>IFERROR(VLOOKUP(E1326,Sales_Reps!$A:$C,3,FALSE),"")</f>
        <v>North</v>
      </c>
      <c r="P1326" s="33">
        <f>IFERROR(VLOOKUP(D1326,Products!$A:$D,4,FALSE),"")</f>
        <v>974</v>
      </c>
      <c r="Q1326" s="33">
        <f t="shared" si="20"/>
        <v>0.59416666666666662</v>
      </c>
    </row>
    <row r="1327" spans="1:17" x14ac:dyDescent="0.3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  <c r="L1327" t="str">
        <f>IFERROR(VLOOKUP(D1327,Products!$A:$C,3,FALSE),"")</f>
        <v>Sports</v>
      </c>
      <c r="M1327" t="str">
        <f>IFERROR(VLOOKUP(C1327,Customers!$A:$E,5,FALSE),"")</f>
        <v>Retail</v>
      </c>
      <c r="N1327">
        <f>IFERROR(VLOOKUP(C1327,Customers!$A:$E,3,FALSE),"")</f>
        <v>44</v>
      </c>
      <c r="O1327" s="33" t="str">
        <f>IFERROR(VLOOKUP(E1327,Sales_Reps!$A:$C,3,FALSE),"")</f>
        <v>East</v>
      </c>
      <c r="P1327" s="33">
        <f>IFERROR(VLOOKUP(D1327,Products!$A:$D,4,FALSE),"")</f>
        <v>2467</v>
      </c>
      <c r="Q1327" s="33">
        <f t="shared" si="20"/>
        <v>0.28492753623188405</v>
      </c>
    </row>
    <row r="1328" spans="1:17" x14ac:dyDescent="0.3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  <c r="L1328" t="str">
        <f>IFERROR(VLOOKUP(D1328,Products!$A:$C,3,FALSE),"")</f>
        <v>Electronics</v>
      </c>
      <c r="M1328" t="str">
        <f>IFERROR(VLOOKUP(C1328,Customers!$A:$E,5,FALSE),"")</f>
        <v>SMB</v>
      </c>
      <c r="N1328">
        <f>IFERROR(VLOOKUP(C1328,Customers!$A:$E,3,FALSE),"")</f>
        <v>30</v>
      </c>
      <c r="O1328" s="33" t="str">
        <f>IFERROR(VLOOKUP(E1328,Sales_Reps!$A:$C,3,FALSE),"")</f>
        <v>North</v>
      </c>
      <c r="P1328" s="33">
        <f>IFERROR(VLOOKUP(D1328,Products!$A:$D,4,FALSE),"")</f>
        <v>517</v>
      </c>
      <c r="Q1328" s="33">
        <f t="shared" si="20"/>
        <v>0.57622950819672136</v>
      </c>
    </row>
    <row r="1329" spans="1:17" x14ac:dyDescent="0.3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  <c r="L1329" t="str">
        <f>IFERROR(VLOOKUP(D1329,Products!$A:$C,3,FALSE),"")</f>
        <v>Apparel</v>
      </c>
      <c r="M1329" t="str">
        <f>IFERROR(VLOOKUP(C1329,Customers!$A:$E,5,FALSE),"")</f>
        <v>Retail</v>
      </c>
      <c r="N1329">
        <f>IFERROR(VLOOKUP(C1329,Customers!$A:$E,3,FALSE),"")</f>
        <v>62</v>
      </c>
      <c r="O1329" s="33" t="str">
        <f>IFERROR(VLOOKUP(E1329,Sales_Reps!$A:$C,3,FALSE),"")</f>
        <v>North</v>
      </c>
      <c r="P1329" s="33">
        <f>IFERROR(VLOOKUP(D1329,Products!$A:$D,4,FALSE),"")</f>
        <v>396</v>
      </c>
      <c r="Q1329" s="33">
        <f t="shared" si="20"/>
        <v>0.36129032258064514</v>
      </c>
    </row>
    <row r="1330" spans="1:17" x14ac:dyDescent="0.3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  <c r="L1330" t="str">
        <f>IFERROR(VLOOKUP(D1330,Products!$A:$C,3,FALSE),"")</f>
        <v>Electronics</v>
      </c>
      <c r="M1330" t="str">
        <f>IFERROR(VLOOKUP(C1330,Customers!$A:$E,5,FALSE),"")</f>
        <v>SMB</v>
      </c>
      <c r="N1330">
        <f>IFERROR(VLOOKUP(C1330,Customers!$A:$E,3,FALSE),"")</f>
        <v>64</v>
      </c>
      <c r="O1330" s="33" t="str">
        <f>IFERROR(VLOOKUP(E1330,Sales_Reps!$A:$C,3,FALSE),"")</f>
        <v>East</v>
      </c>
      <c r="P1330" s="33">
        <f>IFERROR(VLOOKUP(D1330,Products!$A:$D,4,FALSE),"")</f>
        <v>128</v>
      </c>
      <c r="Q1330" s="33">
        <f t="shared" si="20"/>
        <v>0.57333333333333336</v>
      </c>
    </row>
    <row r="1331" spans="1:17" x14ac:dyDescent="0.3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  <c r="L1331" t="str">
        <f>IFERROR(VLOOKUP(D1331,Products!$A:$C,3,FALSE),"")</f>
        <v>Sports</v>
      </c>
      <c r="M1331" t="str">
        <f>IFERROR(VLOOKUP(C1331,Customers!$A:$E,5,FALSE),"")</f>
        <v>Retail</v>
      </c>
      <c r="N1331">
        <f>IFERROR(VLOOKUP(C1331,Customers!$A:$E,3,FALSE),"")</f>
        <v>35</v>
      </c>
      <c r="O1331" s="33" t="str">
        <f>IFERROR(VLOOKUP(E1331,Sales_Reps!$A:$C,3,FALSE),"")</f>
        <v>East</v>
      </c>
      <c r="P1331" s="33">
        <f>IFERROR(VLOOKUP(D1331,Products!$A:$D,4,FALSE),"")</f>
        <v>516</v>
      </c>
      <c r="Q1331" s="33">
        <f t="shared" si="20"/>
        <v>0.4891089108910891</v>
      </c>
    </row>
    <row r="1332" spans="1:17" x14ac:dyDescent="0.3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  <c r="L1332" t="str">
        <f>IFERROR(VLOOKUP(D1332,Products!$A:$C,3,FALSE),"")</f>
        <v>Home</v>
      </c>
      <c r="M1332" t="str">
        <f>IFERROR(VLOOKUP(C1332,Customers!$A:$E,5,FALSE),"")</f>
        <v>Retail</v>
      </c>
      <c r="N1332">
        <f>IFERROR(VLOOKUP(C1332,Customers!$A:$E,3,FALSE),"")</f>
        <v>63</v>
      </c>
      <c r="O1332" s="33" t="str">
        <f>IFERROR(VLOOKUP(E1332,Sales_Reps!$A:$C,3,FALSE),"")</f>
        <v>West</v>
      </c>
      <c r="P1332" s="33">
        <f>IFERROR(VLOOKUP(D1332,Products!$A:$D,4,FALSE),"")</f>
        <v>2459</v>
      </c>
      <c r="Q1332" s="33">
        <f t="shared" si="20"/>
        <v>0.51594488188976373</v>
      </c>
    </row>
    <row r="1333" spans="1:17" x14ac:dyDescent="0.3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  <c r="L1333" t="str">
        <f>IFERROR(VLOOKUP(D1333,Products!$A:$C,3,FALSE),"")</f>
        <v>Apparel</v>
      </c>
      <c r="M1333" t="str">
        <f>IFERROR(VLOOKUP(C1333,Customers!$A:$E,5,FALSE),"")</f>
        <v>SMB</v>
      </c>
      <c r="N1333">
        <f>IFERROR(VLOOKUP(C1333,Customers!$A:$E,3,FALSE),"")</f>
        <v>40</v>
      </c>
      <c r="O1333" s="33" t="str">
        <f>IFERROR(VLOOKUP(E1333,Sales_Reps!$A:$C,3,FALSE),"")</f>
        <v>West</v>
      </c>
      <c r="P1333" s="33">
        <f>IFERROR(VLOOKUP(D1333,Products!$A:$D,4,FALSE),"")</f>
        <v>1886</v>
      </c>
      <c r="Q1333" s="33">
        <f t="shared" si="20"/>
        <v>0.4031645569620253</v>
      </c>
    </row>
    <row r="1334" spans="1:17" x14ac:dyDescent="0.3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  <c r="L1334" t="str">
        <f>IFERROR(VLOOKUP(D1334,Products!$A:$C,3,FALSE),"")</f>
        <v>Beauty</v>
      </c>
      <c r="M1334" t="str">
        <f>IFERROR(VLOOKUP(C1334,Customers!$A:$E,5,FALSE),"")</f>
        <v>SMB</v>
      </c>
      <c r="N1334">
        <f>IFERROR(VLOOKUP(C1334,Customers!$A:$E,3,FALSE),"")</f>
        <v>49</v>
      </c>
      <c r="O1334" s="33" t="str">
        <f>IFERROR(VLOOKUP(E1334,Sales_Reps!$A:$C,3,FALSE),"")</f>
        <v>South</v>
      </c>
      <c r="P1334" s="33">
        <f>IFERROR(VLOOKUP(D1334,Products!$A:$D,4,FALSE),"")</f>
        <v>2420</v>
      </c>
      <c r="Q1334" s="33">
        <f t="shared" si="20"/>
        <v>0.29855072463768118</v>
      </c>
    </row>
    <row r="1335" spans="1:17" x14ac:dyDescent="0.3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  <c r="L1335" t="str">
        <f>IFERROR(VLOOKUP(D1335,Products!$A:$C,3,FALSE),"")</f>
        <v>Electronics</v>
      </c>
      <c r="M1335" t="str">
        <f>IFERROR(VLOOKUP(C1335,Customers!$A:$E,5,FALSE),"")</f>
        <v>Corporate</v>
      </c>
      <c r="N1335">
        <f>IFERROR(VLOOKUP(C1335,Customers!$A:$E,3,FALSE),"")</f>
        <v>47</v>
      </c>
      <c r="O1335" s="33" t="str">
        <f>IFERROR(VLOOKUP(E1335,Sales_Reps!$A:$C,3,FALSE),"")</f>
        <v>North</v>
      </c>
      <c r="P1335" s="33">
        <f>IFERROR(VLOOKUP(D1335,Products!$A:$D,4,FALSE),"")</f>
        <v>2405</v>
      </c>
      <c r="Q1335" s="33">
        <f t="shared" si="20"/>
        <v>0.54878048780487809</v>
      </c>
    </row>
    <row r="1336" spans="1:17" x14ac:dyDescent="0.3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  <c r="L1336" t="str">
        <f>IFERROR(VLOOKUP(D1336,Products!$A:$C,3,FALSE),"")</f>
        <v>Sports</v>
      </c>
      <c r="M1336" t="str">
        <f>IFERROR(VLOOKUP(C1336,Customers!$A:$E,5,FALSE),"")</f>
        <v>Retail</v>
      </c>
      <c r="N1336">
        <f>IFERROR(VLOOKUP(C1336,Customers!$A:$E,3,FALSE),"")</f>
        <v>44</v>
      </c>
      <c r="O1336" s="33" t="str">
        <f>IFERROR(VLOOKUP(E1336,Sales_Reps!$A:$C,3,FALSE),"")</f>
        <v>South</v>
      </c>
      <c r="P1336" s="33">
        <f>IFERROR(VLOOKUP(D1336,Products!$A:$D,4,FALSE),"")</f>
        <v>2827</v>
      </c>
      <c r="Q1336" s="33">
        <f t="shared" si="20"/>
        <v>0.5926512968299712</v>
      </c>
    </row>
    <row r="1337" spans="1:17" x14ac:dyDescent="0.3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  <c r="L1337" t="str">
        <f>IFERROR(VLOOKUP(D1337,Products!$A:$C,3,FALSE),"")</f>
        <v>Home</v>
      </c>
      <c r="M1337" t="str">
        <f>IFERROR(VLOOKUP(C1337,Customers!$A:$E,5,FALSE),"")</f>
        <v>Retail</v>
      </c>
      <c r="N1337">
        <f>IFERROR(VLOOKUP(C1337,Customers!$A:$E,3,FALSE),"")</f>
        <v>34</v>
      </c>
      <c r="O1337" s="33" t="str">
        <f>IFERROR(VLOOKUP(E1337,Sales_Reps!$A:$C,3,FALSE),"")</f>
        <v>West</v>
      </c>
      <c r="P1337" s="33">
        <f>IFERROR(VLOOKUP(D1337,Products!$A:$D,4,FALSE),"")</f>
        <v>329</v>
      </c>
      <c r="Q1337" s="33">
        <f t="shared" si="20"/>
        <v>0.50151515151515147</v>
      </c>
    </row>
    <row r="1338" spans="1:17" x14ac:dyDescent="0.3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  <c r="L1338" t="str">
        <f>IFERROR(VLOOKUP(D1338,Products!$A:$C,3,FALSE),"")</f>
        <v>Beauty</v>
      </c>
      <c r="M1338" t="str">
        <f>IFERROR(VLOOKUP(C1338,Customers!$A:$E,5,FALSE),"")</f>
        <v>Corporate</v>
      </c>
      <c r="N1338">
        <f>IFERROR(VLOOKUP(C1338,Customers!$A:$E,3,FALSE),"")</f>
        <v>52</v>
      </c>
      <c r="O1338" s="33" t="str">
        <f>IFERROR(VLOOKUP(E1338,Sales_Reps!$A:$C,3,FALSE),"")</f>
        <v>South</v>
      </c>
      <c r="P1338" s="33">
        <f>IFERROR(VLOOKUP(D1338,Products!$A:$D,4,FALSE),"")</f>
        <v>2237</v>
      </c>
      <c r="Q1338" s="33">
        <f t="shared" si="20"/>
        <v>0.56137254901960787</v>
      </c>
    </row>
    <row r="1339" spans="1:17" x14ac:dyDescent="0.3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  <c r="L1339" t="str">
        <f>IFERROR(VLOOKUP(D1339,Products!$A:$C,3,FALSE),"")</f>
        <v>Beauty</v>
      </c>
      <c r="M1339" t="str">
        <f>IFERROR(VLOOKUP(C1339,Customers!$A:$E,5,FALSE),"")</f>
        <v/>
      </c>
      <c r="N1339" t="str">
        <f>IFERROR(VLOOKUP(C1339,Customers!$A:$E,3,FALSE),"")</f>
        <v/>
      </c>
      <c r="O1339" s="33" t="str">
        <f>IFERROR(VLOOKUP(E1339,Sales_Reps!$A:$C,3,FALSE),"")</f>
        <v>South</v>
      </c>
      <c r="P1339" s="33">
        <f>IFERROR(VLOOKUP(D1339,Products!$A:$D,4,FALSE),"")</f>
        <v>1222</v>
      </c>
      <c r="Q1339" s="33">
        <f t="shared" si="20"/>
        <v>0.2593939393939394</v>
      </c>
    </row>
    <row r="1340" spans="1:17" x14ac:dyDescent="0.3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  <c r="L1340" t="str">
        <f>IFERROR(VLOOKUP(D1340,Products!$A:$C,3,FALSE),"")</f>
        <v>Apparel</v>
      </c>
      <c r="M1340" t="str">
        <f>IFERROR(VLOOKUP(C1340,Customers!$A:$E,5,FALSE),"")</f>
        <v>Retail</v>
      </c>
      <c r="N1340">
        <f>IFERROR(VLOOKUP(C1340,Customers!$A:$E,3,FALSE),"")</f>
        <v>24</v>
      </c>
      <c r="O1340" s="33" t="str">
        <f>IFERROR(VLOOKUP(E1340,Sales_Reps!$A:$C,3,FALSE),"")</f>
        <v>East</v>
      </c>
      <c r="P1340" s="33">
        <f>IFERROR(VLOOKUP(D1340,Products!$A:$D,4,FALSE),"")</f>
        <v>2611</v>
      </c>
      <c r="Q1340" s="33">
        <f t="shared" si="20"/>
        <v>0.28269230769230769</v>
      </c>
    </row>
    <row r="1341" spans="1:17" x14ac:dyDescent="0.3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  <c r="L1341" t="str">
        <f>IFERROR(VLOOKUP(D1341,Products!$A:$C,3,FALSE),"")</f>
        <v>Beauty</v>
      </c>
      <c r="M1341" t="str">
        <f>IFERROR(VLOOKUP(C1341,Customers!$A:$E,5,FALSE),"")</f>
        <v>Retail</v>
      </c>
      <c r="N1341">
        <f>IFERROR(VLOOKUP(C1341,Customers!$A:$E,3,FALSE),"")</f>
        <v>64</v>
      </c>
      <c r="O1341" s="33" t="str">
        <f>IFERROR(VLOOKUP(E1341,Sales_Reps!$A:$C,3,FALSE),"")</f>
        <v>West</v>
      </c>
      <c r="P1341" s="33">
        <f>IFERROR(VLOOKUP(D1341,Products!$A:$D,4,FALSE),"")</f>
        <v>2768</v>
      </c>
      <c r="Q1341" s="33">
        <f t="shared" si="20"/>
        <v>0.43278688524590164</v>
      </c>
    </row>
    <row r="1342" spans="1:17" x14ac:dyDescent="0.3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  <c r="L1342" t="str">
        <f>IFERROR(VLOOKUP(D1342,Products!$A:$C,3,FALSE),"")</f>
        <v>Electronics</v>
      </c>
      <c r="M1342" t="str">
        <f>IFERROR(VLOOKUP(C1342,Customers!$A:$E,5,FALSE),"")</f>
        <v>Retail</v>
      </c>
      <c r="N1342">
        <f>IFERROR(VLOOKUP(C1342,Customers!$A:$E,3,FALSE),"")</f>
        <v>35</v>
      </c>
      <c r="O1342" s="33" t="str">
        <f>IFERROR(VLOOKUP(E1342,Sales_Reps!$A:$C,3,FALSE),"")</f>
        <v>West</v>
      </c>
      <c r="P1342" s="33">
        <f>IFERROR(VLOOKUP(D1342,Products!$A:$D,4,FALSE),"")</f>
        <v>2405</v>
      </c>
      <c r="Q1342" s="33">
        <f t="shared" si="20"/>
        <v>0.54878048780487809</v>
      </c>
    </row>
    <row r="1343" spans="1:17" x14ac:dyDescent="0.3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  <c r="L1343" t="str">
        <f>IFERROR(VLOOKUP(D1343,Products!$A:$C,3,FALSE),"")</f>
        <v>Home</v>
      </c>
      <c r="M1343" t="str">
        <f>IFERROR(VLOOKUP(C1343,Customers!$A:$E,5,FALSE),"")</f>
        <v>SMB</v>
      </c>
      <c r="N1343">
        <f>IFERROR(VLOOKUP(C1343,Customers!$A:$E,3,FALSE),"")</f>
        <v>49</v>
      </c>
      <c r="O1343" s="33" t="str">
        <f>IFERROR(VLOOKUP(E1343,Sales_Reps!$A:$C,3,FALSE),"")</f>
        <v>East</v>
      </c>
      <c r="P1343" s="33">
        <f>IFERROR(VLOOKUP(D1343,Products!$A:$D,4,FALSE),"")</f>
        <v>2549</v>
      </c>
      <c r="Q1343" s="33">
        <f t="shared" si="20"/>
        <v>0.53570127504553733</v>
      </c>
    </row>
    <row r="1344" spans="1:17" x14ac:dyDescent="0.3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  <c r="L1344" t="str">
        <f>IFERROR(VLOOKUP(D1344,Products!$A:$C,3,FALSE),"")</f>
        <v>Sports</v>
      </c>
      <c r="M1344" t="str">
        <f>IFERROR(VLOOKUP(C1344,Customers!$A:$E,5,FALSE),"")</f>
        <v>Corporate</v>
      </c>
      <c r="N1344">
        <f>IFERROR(VLOOKUP(C1344,Customers!$A:$E,3,FALSE),"")</f>
        <v>55</v>
      </c>
      <c r="O1344" s="33" t="str">
        <f>IFERROR(VLOOKUP(E1344,Sales_Reps!$A:$C,3,FALSE),"")</f>
        <v>North</v>
      </c>
      <c r="P1344" s="33">
        <f>IFERROR(VLOOKUP(D1344,Products!$A:$D,4,FALSE),"")</f>
        <v>147</v>
      </c>
      <c r="Q1344" s="33">
        <f t="shared" si="20"/>
        <v>0.22631578947368422</v>
      </c>
    </row>
    <row r="1345" spans="1:17" x14ac:dyDescent="0.3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  <c r="L1345" t="str">
        <f>IFERROR(VLOOKUP(D1345,Products!$A:$C,3,FALSE),"")</f>
        <v>Apparel</v>
      </c>
      <c r="M1345" t="str">
        <f>IFERROR(VLOOKUP(C1345,Customers!$A:$E,5,FALSE),"")</f>
        <v>Retail</v>
      </c>
      <c r="N1345">
        <f>IFERROR(VLOOKUP(C1345,Customers!$A:$E,3,FALSE),"")</f>
        <v>27</v>
      </c>
      <c r="O1345" s="33" t="str">
        <f>IFERROR(VLOOKUP(E1345,Sales_Reps!$A:$C,3,FALSE),"")</f>
        <v>South</v>
      </c>
      <c r="P1345" s="33">
        <f>IFERROR(VLOOKUP(D1345,Products!$A:$D,4,FALSE),"")</f>
        <v>1886</v>
      </c>
      <c r="Q1345" s="33">
        <f t="shared" si="20"/>
        <v>0.4031645569620253</v>
      </c>
    </row>
    <row r="1346" spans="1:17" x14ac:dyDescent="0.3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  <c r="L1346" t="str">
        <f>IFERROR(VLOOKUP(D1346,Products!$A:$C,3,FALSE),"")</f>
        <v>Home</v>
      </c>
      <c r="M1346" t="str">
        <f>IFERROR(VLOOKUP(C1346,Customers!$A:$E,5,FALSE),"")</f>
        <v>Retail</v>
      </c>
      <c r="N1346">
        <f>IFERROR(VLOOKUP(C1346,Customers!$A:$E,3,FALSE),"")</f>
        <v>23</v>
      </c>
      <c r="O1346" s="33" t="str">
        <f>IFERROR(VLOOKUP(E1346,Sales_Reps!$A:$C,3,FALSE),"")</f>
        <v>East</v>
      </c>
      <c r="P1346" s="33">
        <f>IFERROR(VLOOKUP(D1346,Products!$A:$D,4,FALSE),"")</f>
        <v>464</v>
      </c>
      <c r="Q1346" s="33">
        <f t="shared" si="20"/>
        <v>0.57431192660550456</v>
      </c>
    </row>
    <row r="1347" spans="1:17" x14ac:dyDescent="0.3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  <c r="L1347" t="str">
        <f>IFERROR(VLOOKUP(D1347,Products!$A:$C,3,FALSE),"")</f>
        <v>Home</v>
      </c>
      <c r="M1347" t="str">
        <f>IFERROR(VLOOKUP(C1347,Customers!$A:$E,5,FALSE),"")</f>
        <v>Corporate</v>
      </c>
      <c r="N1347">
        <f>IFERROR(VLOOKUP(C1347,Customers!$A:$E,3,FALSE),"")</f>
        <v>27</v>
      </c>
      <c r="O1347" s="33" t="str">
        <f>IFERROR(VLOOKUP(E1347,Sales_Reps!$A:$C,3,FALSE),"")</f>
        <v>North</v>
      </c>
      <c r="P1347" s="33">
        <f>IFERROR(VLOOKUP(D1347,Products!$A:$D,4,FALSE),"")</f>
        <v>288</v>
      </c>
      <c r="Q1347" s="33">
        <f t="shared" ref="Q1347:Q1410" si="21">IFERROR((G1347-P1347)/G1347,"")</f>
        <v>0.22162162162162163</v>
      </c>
    </row>
    <row r="1348" spans="1:17" x14ac:dyDescent="0.3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  <c r="L1348" t="str">
        <f>IFERROR(VLOOKUP(D1348,Products!$A:$C,3,FALSE),"")</f>
        <v>Electronics</v>
      </c>
      <c r="M1348" t="str">
        <f>IFERROR(VLOOKUP(C1348,Customers!$A:$E,5,FALSE),"")</f>
        <v>Retail</v>
      </c>
      <c r="N1348">
        <f>IFERROR(VLOOKUP(C1348,Customers!$A:$E,3,FALSE),"")</f>
        <v>51</v>
      </c>
      <c r="O1348" s="33" t="str">
        <f>IFERROR(VLOOKUP(E1348,Sales_Reps!$A:$C,3,FALSE),"")</f>
        <v>North</v>
      </c>
      <c r="P1348" s="33">
        <f>IFERROR(VLOOKUP(D1348,Products!$A:$D,4,FALSE),"")</f>
        <v>1259</v>
      </c>
      <c r="Q1348" s="33">
        <f t="shared" si="21"/>
        <v>0.52669172932330832</v>
      </c>
    </row>
    <row r="1349" spans="1:17" x14ac:dyDescent="0.3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  <c r="L1349" t="str">
        <f>IFERROR(VLOOKUP(D1349,Products!$A:$C,3,FALSE),"")</f>
        <v>Apparel</v>
      </c>
      <c r="M1349" t="str">
        <f>IFERROR(VLOOKUP(C1349,Customers!$A:$E,5,FALSE),"")</f>
        <v>Retail</v>
      </c>
      <c r="N1349">
        <f>IFERROR(VLOOKUP(C1349,Customers!$A:$E,3,FALSE),"")</f>
        <v>34</v>
      </c>
      <c r="O1349" s="33" t="str">
        <f>IFERROR(VLOOKUP(E1349,Sales_Reps!$A:$C,3,FALSE),"")</f>
        <v>East</v>
      </c>
      <c r="P1349" s="33">
        <f>IFERROR(VLOOKUP(D1349,Products!$A:$D,4,FALSE),"")</f>
        <v>2629</v>
      </c>
      <c r="Q1349" s="33">
        <f t="shared" si="21"/>
        <v>0.26151685393258428</v>
      </c>
    </row>
    <row r="1350" spans="1:17" x14ac:dyDescent="0.3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  <c r="L1350" t="str">
        <f>IFERROR(VLOOKUP(D1350,Products!$A:$C,3,FALSE),"")</f>
        <v>Beauty</v>
      </c>
      <c r="M1350" t="str">
        <f>IFERROR(VLOOKUP(C1350,Customers!$A:$E,5,FALSE),"")</f>
        <v>Corporate</v>
      </c>
      <c r="N1350">
        <f>IFERROR(VLOOKUP(C1350,Customers!$A:$E,3,FALSE),"")</f>
        <v>52</v>
      </c>
      <c r="O1350" s="33" t="str">
        <f>IFERROR(VLOOKUP(E1350,Sales_Reps!$A:$C,3,FALSE),"")</f>
        <v>North</v>
      </c>
      <c r="P1350" s="33">
        <f>IFERROR(VLOOKUP(D1350,Products!$A:$D,4,FALSE),"")</f>
        <v>675</v>
      </c>
      <c r="Q1350" s="33">
        <f t="shared" si="21"/>
        <v>0.296875</v>
      </c>
    </row>
    <row r="1351" spans="1:17" x14ac:dyDescent="0.3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  <c r="L1351" t="str">
        <f>IFERROR(VLOOKUP(D1351,Products!$A:$C,3,FALSE),"")</f>
        <v>Home</v>
      </c>
      <c r="M1351" t="str">
        <f>IFERROR(VLOOKUP(C1351,Customers!$A:$E,5,FALSE),"")</f>
        <v>Retail</v>
      </c>
      <c r="N1351">
        <f>IFERROR(VLOOKUP(C1351,Customers!$A:$E,3,FALSE),"")</f>
        <v>37</v>
      </c>
      <c r="O1351" s="33" t="str">
        <f>IFERROR(VLOOKUP(E1351,Sales_Reps!$A:$C,3,FALSE),"")</f>
        <v>West</v>
      </c>
      <c r="P1351" s="33">
        <f>IFERROR(VLOOKUP(D1351,Products!$A:$D,4,FALSE),"")</f>
        <v>288</v>
      </c>
      <c r="Q1351" s="33">
        <f t="shared" si="21"/>
        <v>0.22162162162162163</v>
      </c>
    </row>
    <row r="1352" spans="1:17" x14ac:dyDescent="0.3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  <c r="L1352" t="str">
        <f>IFERROR(VLOOKUP(D1352,Products!$A:$C,3,FALSE),"")</f>
        <v>Apparel</v>
      </c>
      <c r="M1352" t="str">
        <f>IFERROR(VLOOKUP(C1352,Customers!$A:$E,5,FALSE),"")</f>
        <v>Retail</v>
      </c>
      <c r="N1352">
        <f>IFERROR(VLOOKUP(C1352,Customers!$A:$E,3,FALSE),"")</f>
        <v>37</v>
      </c>
      <c r="O1352" s="33" t="str">
        <f>IFERROR(VLOOKUP(E1352,Sales_Reps!$A:$C,3,FALSE),"")</f>
        <v>West</v>
      </c>
      <c r="P1352" s="33">
        <f>IFERROR(VLOOKUP(D1352,Products!$A:$D,4,FALSE),"")</f>
        <v>1962</v>
      </c>
      <c r="Q1352" s="33">
        <f t="shared" si="21"/>
        <v>0.2786764705882353</v>
      </c>
    </row>
    <row r="1353" spans="1:17" x14ac:dyDescent="0.3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  <c r="L1353" t="str">
        <f>IFERROR(VLOOKUP(D1353,Products!$A:$C,3,FALSE),"")</f>
        <v>Home</v>
      </c>
      <c r="M1353" t="str">
        <f>IFERROR(VLOOKUP(C1353,Customers!$A:$E,5,FALSE),"")</f>
        <v>Corporate</v>
      </c>
      <c r="N1353">
        <f>IFERROR(VLOOKUP(C1353,Customers!$A:$E,3,FALSE),"")</f>
        <v>24</v>
      </c>
      <c r="O1353" s="33" t="str">
        <f>IFERROR(VLOOKUP(E1353,Sales_Reps!$A:$C,3,FALSE),"")</f>
        <v>North</v>
      </c>
      <c r="P1353" s="33">
        <f>IFERROR(VLOOKUP(D1353,Products!$A:$D,4,FALSE),"")</f>
        <v>2459</v>
      </c>
      <c r="Q1353" s="33">
        <f t="shared" si="21"/>
        <v>0.51594488188976373</v>
      </c>
    </row>
    <row r="1354" spans="1:17" x14ac:dyDescent="0.3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  <c r="L1354" t="str">
        <f>IFERROR(VLOOKUP(D1354,Products!$A:$C,3,FALSE),"")</f>
        <v>Beauty</v>
      </c>
      <c r="M1354" t="str">
        <f>IFERROR(VLOOKUP(C1354,Customers!$A:$E,5,FALSE),"")</f>
        <v>Corporate</v>
      </c>
      <c r="N1354">
        <f>IFERROR(VLOOKUP(C1354,Customers!$A:$E,3,FALSE),"")</f>
        <v>25</v>
      </c>
      <c r="O1354" s="33" t="str">
        <f>IFERROR(VLOOKUP(E1354,Sales_Reps!$A:$C,3,FALSE),"")</f>
        <v>North</v>
      </c>
      <c r="P1354" s="33">
        <f>IFERROR(VLOOKUP(D1354,Products!$A:$D,4,FALSE),"")</f>
        <v>1219</v>
      </c>
      <c r="Q1354" s="33">
        <f t="shared" si="21"/>
        <v>0.46768558951965067</v>
      </c>
    </row>
    <row r="1355" spans="1:17" x14ac:dyDescent="0.3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  <c r="L1355" t="str">
        <f>IFERROR(VLOOKUP(D1355,Products!$A:$C,3,FALSE),"")</f>
        <v>Grocery</v>
      </c>
      <c r="M1355" t="str">
        <f>IFERROR(VLOOKUP(C1355,Customers!$A:$E,5,FALSE),"")</f>
        <v>Corporate</v>
      </c>
      <c r="N1355">
        <f>IFERROR(VLOOKUP(C1355,Customers!$A:$E,3,FALSE),"")</f>
        <v>42</v>
      </c>
      <c r="O1355" s="33" t="str">
        <f>IFERROR(VLOOKUP(E1355,Sales_Reps!$A:$C,3,FALSE),"")</f>
        <v>North</v>
      </c>
      <c r="P1355" s="33">
        <f>IFERROR(VLOOKUP(D1355,Products!$A:$D,4,FALSE),"")</f>
        <v>1435</v>
      </c>
      <c r="Q1355" s="33">
        <f t="shared" si="21"/>
        <v>0.48007246376811596</v>
      </c>
    </row>
    <row r="1356" spans="1:17" x14ac:dyDescent="0.3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  <c r="L1356" t="str">
        <f>IFERROR(VLOOKUP(D1356,Products!$A:$C,3,FALSE),"")</f>
        <v>Grocery</v>
      </c>
      <c r="M1356" t="str">
        <f>IFERROR(VLOOKUP(C1356,Customers!$A:$E,5,FALSE),"")</f>
        <v>Retail</v>
      </c>
      <c r="N1356">
        <f>IFERROR(VLOOKUP(C1356,Customers!$A:$E,3,FALSE),"")</f>
        <v>65</v>
      </c>
      <c r="O1356" s="33" t="str">
        <f>IFERROR(VLOOKUP(E1356,Sales_Reps!$A:$C,3,FALSE),"")</f>
        <v>West</v>
      </c>
      <c r="P1356" s="33">
        <f>IFERROR(VLOOKUP(D1356,Products!$A:$D,4,FALSE),"")</f>
        <v>1203</v>
      </c>
      <c r="Q1356" s="33">
        <f t="shared" si="21"/>
        <v>0.47004405286343615</v>
      </c>
    </row>
    <row r="1357" spans="1:17" x14ac:dyDescent="0.3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  <c r="L1357" t="str">
        <f>IFERROR(VLOOKUP(D1357,Products!$A:$C,3,FALSE),"")</f>
        <v>Apparel</v>
      </c>
      <c r="M1357" t="str">
        <f>IFERROR(VLOOKUP(C1357,Customers!$A:$E,5,FALSE),"")</f>
        <v>SMB</v>
      </c>
      <c r="N1357">
        <f>IFERROR(VLOOKUP(C1357,Customers!$A:$E,3,FALSE),"")</f>
        <v>53</v>
      </c>
      <c r="O1357" s="33" t="str">
        <f>IFERROR(VLOOKUP(E1357,Sales_Reps!$A:$C,3,FALSE),"")</f>
        <v>North</v>
      </c>
      <c r="P1357" s="33">
        <f>IFERROR(VLOOKUP(D1357,Products!$A:$D,4,FALSE),"")</f>
        <v>1075</v>
      </c>
      <c r="Q1357" s="33">
        <f t="shared" si="21"/>
        <v>0.57171314741035861</v>
      </c>
    </row>
    <row r="1358" spans="1:17" x14ac:dyDescent="0.3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  <c r="L1358" t="str">
        <f>IFERROR(VLOOKUP(D1358,Products!$A:$C,3,FALSE),"")</f>
        <v>Grocery</v>
      </c>
      <c r="M1358" t="str">
        <f>IFERROR(VLOOKUP(C1358,Customers!$A:$E,5,FALSE),"")</f>
        <v>Retail</v>
      </c>
      <c r="N1358">
        <f>IFERROR(VLOOKUP(C1358,Customers!$A:$E,3,FALSE),"")</f>
        <v>46</v>
      </c>
      <c r="O1358" s="33" t="str">
        <f>IFERROR(VLOOKUP(E1358,Sales_Reps!$A:$C,3,FALSE),"")</f>
        <v>South</v>
      </c>
      <c r="P1358" s="33">
        <f>IFERROR(VLOOKUP(D1358,Products!$A:$D,4,FALSE),"")</f>
        <v>1182</v>
      </c>
      <c r="Q1358" s="33">
        <f t="shared" si="21"/>
        <v>0.50336134453781511</v>
      </c>
    </row>
    <row r="1359" spans="1:17" x14ac:dyDescent="0.3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  <c r="L1359" t="str">
        <f>IFERROR(VLOOKUP(D1359,Products!$A:$C,3,FALSE),"")</f>
        <v>Sports</v>
      </c>
      <c r="M1359" t="str">
        <f>IFERROR(VLOOKUP(C1359,Customers!$A:$E,5,FALSE),"")</f>
        <v>Retail</v>
      </c>
      <c r="N1359">
        <f>IFERROR(VLOOKUP(C1359,Customers!$A:$E,3,FALSE),"")</f>
        <v>37</v>
      </c>
      <c r="O1359" s="33" t="str">
        <f>IFERROR(VLOOKUP(E1359,Sales_Reps!$A:$C,3,FALSE),"")</f>
        <v>East</v>
      </c>
      <c r="P1359" s="33">
        <f>IFERROR(VLOOKUP(D1359,Products!$A:$D,4,FALSE),"")</f>
        <v>1860</v>
      </c>
      <c r="Q1359" s="33">
        <f t="shared" si="21"/>
        <v>0.50793650793650791</v>
      </c>
    </row>
    <row r="1360" spans="1:17" x14ac:dyDescent="0.3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  <c r="L1360" t="str">
        <f>IFERROR(VLOOKUP(D1360,Products!$A:$C,3,FALSE),"")</f>
        <v>Apparel</v>
      </c>
      <c r="M1360" t="str">
        <f>IFERROR(VLOOKUP(C1360,Customers!$A:$E,5,FALSE),"")</f>
        <v>Retail</v>
      </c>
      <c r="N1360">
        <f>IFERROR(VLOOKUP(C1360,Customers!$A:$E,3,FALSE),"")</f>
        <v>35</v>
      </c>
      <c r="O1360" s="33" t="str">
        <f>IFERROR(VLOOKUP(E1360,Sales_Reps!$A:$C,3,FALSE),"")</f>
        <v>West</v>
      </c>
      <c r="P1360" s="33">
        <f>IFERROR(VLOOKUP(D1360,Products!$A:$D,4,FALSE),"")</f>
        <v>1748</v>
      </c>
      <c r="Q1360" s="33">
        <f t="shared" si="21"/>
        <v>0.49333333333333335</v>
      </c>
    </row>
    <row r="1361" spans="1:17" x14ac:dyDescent="0.3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  <c r="L1361" t="str">
        <f>IFERROR(VLOOKUP(D1361,Products!$A:$C,3,FALSE),"")</f>
        <v>Beauty</v>
      </c>
      <c r="M1361" t="str">
        <f>IFERROR(VLOOKUP(C1361,Customers!$A:$E,5,FALSE),"")</f>
        <v>Retail</v>
      </c>
      <c r="N1361">
        <f>IFERROR(VLOOKUP(C1361,Customers!$A:$E,3,FALSE),"")</f>
        <v>44</v>
      </c>
      <c r="O1361" s="33" t="str">
        <f>IFERROR(VLOOKUP(E1361,Sales_Reps!$A:$C,3,FALSE),"")</f>
        <v>North</v>
      </c>
      <c r="P1361" s="33">
        <f>IFERROR(VLOOKUP(D1361,Products!$A:$D,4,FALSE),"")</f>
        <v>2768</v>
      </c>
      <c r="Q1361" s="33">
        <f t="shared" si="21"/>
        <v>0.43278688524590164</v>
      </c>
    </row>
    <row r="1362" spans="1:17" x14ac:dyDescent="0.3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  <c r="L1362" t="str">
        <f>IFERROR(VLOOKUP(D1362,Products!$A:$C,3,FALSE),"")</f>
        <v>Beauty</v>
      </c>
      <c r="M1362" t="str">
        <f>IFERROR(VLOOKUP(C1362,Customers!$A:$E,5,FALSE),"")</f>
        <v>SMB</v>
      </c>
      <c r="N1362">
        <f>IFERROR(VLOOKUP(C1362,Customers!$A:$E,3,FALSE),"")</f>
        <v>40</v>
      </c>
      <c r="O1362" s="33" t="str">
        <f>IFERROR(VLOOKUP(E1362,Sales_Reps!$A:$C,3,FALSE),"")</f>
        <v>South</v>
      </c>
      <c r="P1362" s="33">
        <f>IFERROR(VLOOKUP(D1362,Products!$A:$D,4,FALSE),"")</f>
        <v>675</v>
      </c>
      <c r="Q1362" s="33">
        <f t="shared" si="21"/>
        <v>0.296875</v>
      </c>
    </row>
    <row r="1363" spans="1:17" x14ac:dyDescent="0.3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  <c r="L1363" t="str">
        <f>IFERROR(VLOOKUP(D1363,Products!$A:$C,3,FALSE),"")</f>
        <v>Apparel</v>
      </c>
      <c r="M1363" t="str">
        <f>IFERROR(VLOOKUP(C1363,Customers!$A:$E,5,FALSE),"")</f>
        <v>Retail</v>
      </c>
      <c r="N1363">
        <f>IFERROR(VLOOKUP(C1363,Customers!$A:$E,3,FALSE),"")</f>
        <v>22</v>
      </c>
      <c r="O1363" s="33" t="str">
        <f>IFERROR(VLOOKUP(E1363,Sales_Reps!$A:$C,3,FALSE),"")</f>
        <v>East</v>
      </c>
      <c r="P1363" s="33">
        <f>IFERROR(VLOOKUP(D1363,Products!$A:$D,4,FALSE),"")</f>
        <v>2629</v>
      </c>
      <c r="Q1363" s="33">
        <f t="shared" si="21"/>
        <v>0.26151685393258428</v>
      </c>
    </row>
    <row r="1364" spans="1:17" x14ac:dyDescent="0.3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  <c r="L1364" t="str">
        <f>IFERROR(VLOOKUP(D1364,Products!$A:$C,3,FALSE),"")</f>
        <v>Grocery</v>
      </c>
      <c r="M1364" t="str">
        <f>IFERROR(VLOOKUP(C1364,Customers!$A:$E,5,FALSE),"")</f>
        <v>Retail</v>
      </c>
      <c r="N1364">
        <f>IFERROR(VLOOKUP(C1364,Customers!$A:$E,3,FALSE),"")</f>
        <v>26</v>
      </c>
      <c r="O1364" s="33" t="str">
        <f>IFERROR(VLOOKUP(E1364,Sales_Reps!$A:$C,3,FALSE),"")</f>
        <v>North</v>
      </c>
      <c r="P1364" s="33">
        <f>IFERROR(VLOOKUP(D1364,Products!$A:$D,4,FALSE),"")</f>
        <v>2911</v>
      </c>
      <c r="Q1364" s="33">
        <f t="shared" si="21"/>
        <v>0.28300492610837441</v>
      </c>
    </row>
    <row r="1365" spans="1:17" x14ac:dyDescent="0.3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  <c r="L1365" t="str">
        <f>IFERROR(VLOOKUP(D1365,Products!$A:$C,3,FALSE),"")</f>
        <v>Apparel</v>
      </c>
      <c r="M1365" t="str">
        <f>IFERROR(VLOOKUP(C1365,Customers!$A:$E,5,FALSE),"")</f>
        <v>Corporate</v>
      </c>
      <c r="N1365">
        <f>IFERROR(VLOOKUP(C1365,Customers!$A:$E,3,FALSE),"")</f>
        <v>46</v>
      </c>
      <c r="O1365" s="33" t="str">
        <f>IFERROR(VLOOKUP(E1365,Sales_Reps!$A:$C,3,FALSE),"")</f>
        <v>East</v>
      </c>
      <c r="P1365" s="33">
        <f>IFERROR(VLOOKUP(D1365,Products!$A:$D,4,FALSE),"")</f>
        <v>1962</v>
      </c>
      <c r="Q1365" s="33">
        <f t="shared" si="21"/>
        <v>0.2786764705882353</v>
      </c>
    </row>
    <row r="1366" spans="1:17" x14ac:dyDescent="0.3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  <c r="L1366" t="str">
        <f>IFERROR(VLOOKUP(D1366,Products!$A:$C,3,FALSE),"")</f>
        <v>Grocery</v>
      </c>
      <c r="M1366" t="str">
        <f>IFERROR(VLOOKUP(C1366,Customers!$A:$E,5,FALSE),"")</f>
        <v>SMB</v>
      </c>
      <c r="N1366">
        <f>IFERROR(VLOOKUP(C1366,Customers!$A:$E,3,FALSE),"")</f>
        <v>43</v>
      </c>
      <c r="O1366" s="33" t="str">
        <f>IFERROR(VLOOKUP(E1366,Sales_Reps!$A:$C,3,FALSE),"")</f>
        <v>East</v>
      </c>
      <c r="P1366" s="33">
        <f>IFERROR(VLOOKUP(D1366,Products!$A:$D,4,FALSE),"")</f>
        <v>1010</v>
      </c>
      <c r="Q1366" s="33">
        <f t="shared" si="21"/>
        <v>0.54298642533936647</v>
      </c>
    </row>
    <row r="1367" spans="1:17" x14ac:dyDescent="0.3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  <c r="L1367" t="str">
        <f>IFERROR(VLOOKUP(D1367,Products!$A:$C,3,FALSE),"")</f>
        <v>Beauty</v>
      </c>
      <c r="M1367" t="str">
        <f>IFERROR(VLOOKUP(C1367,Customers!$A:$E,5,FALSE),"")</f>
        <v>Retail</v>
      </c>
      <c r="N1367">
        <f>IFERROR(VLOOKUP(C1367,Customers!$A:$E,3,FALSE),"")</f>
        <v>54</v>
      </c>
      <c r="O1367" s="33" t="str">
        <f>IFERROR(VLOOKUP(E1367,Sales_Reps!$A:$C,3,FALSE),"")</f>
        <v>South</v>
      </c>
      <c r="P1367" s="33">
        <f>IFERROR(VLOOKUP(D1367,Products!$A:$D,4,FALSE),"")</f>
        <v>2420</v>
      </c>
      <c r="Q1367" s="33">
        <f t="shared" si="21"/>
        <v>0.29855072463768118</v>
      </c>
    </row>
    <row r="1368" spans="1:17" x14ac:dyDescent="0.3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  <c r="L1368" t="str">
        <f>IFERROR(VLOOKUP(D1368,Products!$A:$C,3,FALSE),"")</f>
        <v>Grocery</v>
      </c>
      <c r="M1368" t="str">
        <f>IFERROR(VLOOKUP(C1368,Customers!$A:$E,5,FALSE),"")</f>
        <v>SMB</v>
      </c>
      <c r="N1368">
        <f>IFERROR(VLOOKUP(C1368,Customers!$A:$E,3,FALSE),"")</f>
        <v>36</v>
      </c>
      <c r="O1368" s="33" t="str">
        <f>IFERROR(VLOOKUP(E1368,Sales_Reps!$A:$C,3,FALSE),"")</f>
        <v>East</v>
      </c>
      <c r="P1368" s="33">
        <f>IFERROR(VLOOKUP(D1368,Products!$A:$D,4,FALSE),"")</f>
        <v>1182</v>
      </c>
      <c r="Q1368" s="33">
        <f t="shared" si="21"/>
        <v>0.50336134453781511</v>
      </c>
    </row>
    <row r="1369" spans="1:17" x14ac:dyDescent="0.3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  <c r="L1369" t="str">
        <f>IFERROR(VLOOKUP(D1369,Products!$A:$C,3,FALSE),"")</f>
        <v>Grocery</v>
      </c>
      <c r="M1369" t="str">
        <f>IFERROR(VLOOKUP(C1369,Customers!$A:$E,5,FALSE),"")</f>
        <v>SMB</v>
      </c>
      <c r="N1369">
        <f>IFERROR(VLOOKUP(C1369,Customers!$A:$E,3,FALSE),"")</f>
        <v>53</v>
      </c>
      <c r="O1369" s="33" t="str">
        <f>IFERROR(VLOOKUP(E1369,Sales_Reps!$A:$C,3,FALSE),"")</f>
        <v>North</v>
      </c>
      <c r="P1369" s="33">
        <f>IFERROR(VLOOKUP(D1369,Products!$A:$D,4,FALSE),"")</f>
        <v>1182</v>
      </c>
      <c r="Q1369" s="33">
        <f t="shared" si="21"/>
        <v>0.50336134453781511</v>
      </c>
    </row>
    <row r="1370" spans="1:17" x14ac:dyDescent="0.3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  <c r="L1370" t="str">
        <f>IFERROR(VLOOKUP(D1370,Products!$A:$C,3,FALSE),"")</f>
        <v>Apparel</v>
      </c>
      <c r="M1370" t="str">
        <f>IFERROR(VLOOKUP(C1370,Customers!$A:$E,5,FALSE),"")</f>
        <v>Corporate</v>
      </c>
      <c r="N1370">
        <f>IFERROR(VLOOKUP(C1370,Customers!$A:$E,3,FALSE),"")</f>
        <v>46</v>
      </c>
      <c r="O1370" s="33" t="str">
        <f>IFERROR(VLOOKUP(E1370,Sales_Reps!$A:$C,3,FALSE),"")</f>
        <v>South</v>
      </c>
      <c r="P1370" s="33">
        <f>IFERROR(VLOOKUP(D1370,Products!$A:$D,4,FALSE),"")</f>
        <v>2629</v>
      </c>
      <c r="Q1370" s="33">
        <f t="shared" si="21"/>
        <v>0.26151685393258428</v>
      </c>
    </row>
    <row r="1371" spans="1:17" x14ac:dyDescent="0.3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  <c r="L1371" t="str">
        <f>IFERROR(VLOOKUP(D1371,Products!$A:$C,3,FALSE),"")</f>
        <v>Electronics</v>
      </c>
      <c r="M1371" t="str">
        <f>IFERROR(VLOOKUP(C1371,Customers!$A:$E,5,FALSE),"")</f>
        <v>Corporate</v>
      </c>
      <c r="N1371">
        <f>IFERROR(VLOOKUP(C1371,Customers!$A:$E,3,FALSE),"")</f>
        <v>35</v>
      </c>
      <c r="O1371" s="33" t="str">
        <f>IFERROR(VLOOKUP(E1371,Sales_Reps!$A:$C,3,FALSE),"")</f>
        <v>East</v>
      </c>
      <c r="P1371" s="33">
        <f>IFERROR(VLOOKUP(D1371,Products!$A:$D,4,FALSE),"")</f>
        <v>517</v>
      </c>
      <c r="Q1371" s="33">
        <f t="shared" si="21"/>
        <v>0.57622950819672136</v>
      </c>
    </row>
    <row r="1372" spans="1:17" x14ac:dyDescent="0.3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  <c r="L1372" t="str">
        <f>IFERROR(VLOOKUP(D1372,Products!$A:$C,3,FALSE),"")</f>
        <v>Sports</v>
      </c>
      <c r="M1372" t="str">
        <f>IFERROR(VLOOKUP(C1372,Customers!$A:$E,5,FALSE),"")</f>
        <v>Retail</v>
      </c>
      <c r="N1372">
        <f>IFERROR(VLOOKUP(C1372,Customers!$A:$E,3,FALSE),"")</f>
        <v>37</v>
      </c>
      <c r="O1372" s="33" t="str">
        <f>IFERROR(VLOOKUP(E1372,Sales_Reps!$A:$C,3,FALSE),"")</f>
        <v>East</v>
      </c>
      <c r="P1372" s="33">
        <f>IFERROR(VLOOKUP(D1372,Products!$A:$D,4,FALSE),"")</f>
        <v>2827</v>
      </c>
      <c r="Q1372" s="33">
        <f t="shared" si="21"/>
        <v>0.5926512968299712</v>
      </c>
    </row>
    <row r="1373" spans="1:17" x14ac:dyDescent="0.3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  <c r="L1373" t="str">
        <f>IFERROR(VLOOKUP(D1373,Products!$A:$C,3,FALSE),"")</f>
        <v>Home</v>
      </c>
      <c r="M1373" t="str">
        <f>IFERROR(VLOOKUP(C1373,Customers!$A:$E,5,FALSE),"")</f>
        <v>SMB</v>
      </c>
      <c r="N1373">
        <f>IFERROR(VLOOKUP(C1373,Customers!$A:$E,3,FALSE),"")</f>
        <v>43</v>
      </c>
      <c r="O1373" s="33" t="str">
        <f>IFERROR(VLOOKUP(E1373,Sales_Reps!$A:$C,3,FALSE),"")</f>
        <v>East</v>
      </c>
      <c r="P1373" s="33">
        <f>IFERROR(VLOOKUP(D1373,Products!$A:$D,4,FALSE),"")</f>
        <v>464</v>
      </c>
      <c r="Q1373" s="33">
        <f t="shared" si="21"/>
        <v>0.57431192660550456</v>
      </c>
    </row>
    <row r="1374" spans="1:17" x14ac:dyDescent="0.3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  <c r="L1374" t="str">
        <f>IFERROR(VLOOKUP(D1374,Products!$A:$C,3,FALSE),"")</f>
        <v>Grocery</v>
      </c>
      <c r="M1374" t="str">
        <f>IFERROR(VLOOKUP(C1374,Customers!$A:$E,5,FALSE),"")</f>
        <v>Retail</v>
      </c>
      <c r="N1374">
        <f>IFERROR(VLOOKUP(C1374,Customers!$A:$E,3,FALSE),"")</f>
        <v>31</v>
      </c>
      <c r="O1374" s="33" t="str">
        <f>IFERROR(VLOOKUP(E1374,Sales_Reps!$A:$C,3,FALSE),"")</f>
        <v>West</v>
      </c>
      <c r="P1374" s="33">
        <f>IFERROR(VLOOKUP(D1374,Products!$A:$D,4,FALSE),"")</f>
        <v>1182</v>
      </c>
      <c r="Q1374" s="33">
        <f t="shared" si="21"/>
        <v>0.50336134453781511</v>
      </c>
    </row>
    <row r="1375" spans="1:17" x14ac:dyDescent="0.3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  <c r="L1375" t="str">
        <f>IFERROR(VLOOKUP(D1375,Products!$A:$C,3,FALSE),"")</f>
        <v>Grocery</v>
      </c>
      <c r="M1375" t="str">
        <f>IFERROR(VLOOKUP(C1375,Customers!$A:$E,5,FALSE),"")</f>
        <v>SMB</v>
      </c>
      <c r="N1375">
        <f>IFERROR(VLOOKUP(C1375,Customers!$A:$E,3,FALSE),"")</f>
        <v>43</v>
      </c>
      <c r="O1375" s="33" t="str">
        <f>IFERROR(VLOOKUP(E1375,Sales_Reps!$A:$C,3,FALSE),"")</f>
        <v>North</v>
      </c>
      <c r="P1375" s="33">
        <f>IFERROR(VLOOKUP(D1375,Products!$A:$D,4,FALSE),"")</f>
        <v>1203</v>
      </c>
      <c r="Q1375" s="33">
        <f t="shared" si="21"/>
        <v>0.47004405286343615</v>
      </c>
    </row>
    <row r="1376" spans="1:17" x14ac:dyDescent="0.3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  <c r="L1376" t="str">
        <f>IFERROR(VLOOKUP(D1376,Products!$A:$C,3,FALSE),"")</f>
        <v>Home</v>
      </c>
      <c r="M1376" t="str">
        <f>IFERROR(VLOOKUP(C1376,Customers!$A:$E,5,FALSE),"")</f>
        <v>Retail</v>
      </c>
      <c r="N1376">
        <f>IFERROR(VLOOKUP(C1376,Customers!$A:$E,3,FALSE),"")</f>
        <v>36</v>
      </c>
      <c r="O1376" s="33" t="str">
        <f>IFERROR(VLOOKUP(E1376,Sales_Reps!$A:$C,3,FALSE),"")</f>
        <v>East</v>
      </c>
      <c r="P1376" s="33">
        <f>IFERROR(VLOOKUP(D1376,Products!$A:$D,4,FALSE),"")</f>
        <v>1143</v>
      </c>
      <c r="Q1376" s="33">
        <f t="shared" si="21"/>
        <v>0.43694581280788175</v>
      </c>
    </row>
    <row r="1377" spans="1:17" x14ac:dyDescent="0.3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  <c r="L1377" t="str">
        <f>IFERROR(VLOOKUP(D1377,Products!$A:$C,3,FALSE),"")</f>
        <v>Home</v>
      </c>
      <c r="M1377" t="str">
        <f>IFERROR(VLOOKUP(C1377,Customers!$A:$E,5,FALSE),"")</f>
        <v>SMB</v>
      </c>
      <c r="N1377">
        <f>IFERROR(VLOOKUP(C1377,Customers!$A:$E,3,FALSE),"")</f>
        <v>54</v>
      </c>
      <c r="O1377" s="33" t="str">
        <f>IFERROR(VLOOKUP(E1377,Sales_Reps!$A:$C,3,FALSE),"")</f>
        <v>West</v>
      </c>
      <c r="P1377" s="33">
        <f>IFERROR(VLOOKUP(D1377,Products!$A:$D,4,FALSE),"")</f>
        <v>464</v>
      </c>
      <c r="Q1377" s="33">
        <f t="shared" si="21"/>
        <v>0.57431192660550456</v>
      </c>
    </row>
    <row r="1378" spans="1:17" x14ac:dyDescent="0.3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  <c r="L1378" t="str">
        <f>IFERROR(VLOOKUP(D1378,Products!$A:$C,3,FALSE),"")</f>
        <v>Apparel</v>
      </c>
      <c r="M1378" t="str">
        <f>IFERROR(VLOOKUP(C1378,Customers!$A:$E,5,FALSE),"")</f>
        <v>SMB</v>
      </c>
      <c r="N1378">
        <f>IFERROR(VLOOKUP(C1378,Customers!$A:$E,3,FALSE),"")</f>
        <v>43</v>
      </c>
      <c r="O1378" s="33" t="str">
        <f>IFERROR(VLOOKUP(E1378,Sales_Reps!$A:$C,3,FALSE),"")</f>
        <v>East</v>
      </c>
      <c r="P1378" s="33">
        <f>IFERROR(VLOOKUP(D1378,Products!$A:$D,4,FALSE),"")</f>
        <v>1075</v>
      </c>
      <c r="Q1378" s="33">
        <f t="shared" si="21"/>
        <v>0.57171314741035861</v>
      </c>
    </row>
    <row r="1379" spans="1:17" x14ac:dyDescent="0.3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  <c r="L1379" t="str">
        <f>IFERROR(VLOOKUP(D1379,Products!$A:$C,3,FALSE),"")</f>
        <v>Grocery</v>
      </c>
      <c r="M1379" t="str">
        <f>IFERROR(VLOOKUP(C1379,Customers!$A:$E,5,FALSE),"")</f>
        <v>Retail</v>
      </c>
      <c r="N1379">
        <f>IFERROR(VLOOKUP(C1379,Customers!$A:$E,3,FALSE),"")</f>
        <v>53</v>
      </c>
      <c r="O1379" s="33" t="str">
        <f>IFERROR(VLOOKUP(E1379,Sales_Reps!$A:$C,3,FALSE),"")</f>
        <v>West</v>
      </c>
      <c r="P1379" s="33">
        <f>IFERROR(VLOOKUP(D1379,Products!$A:$D,4,FALSE),"")</f>
        <v>1203</v>
      </c>
      <c r="Q1379" s="33">
        <f t="shared" si="21"/>
        <v>0.47004405286343615</v>
      </c>
    </row>
    <row r="1380" spans="1:17" x14ac:dyDescent="0.3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  <c r="L1380" t="str">
        <f>IFERROR(VLOOKUP(D1380,Products!$A:$C,3,FALSE),"")</f>
        <v>Electronics</v>
      </c>
      <c r="M1380" t="str">
        <f>IFERROR(VLOOKUP(C1380,Customers!$A:$E,5,FALSE),"")</f>
        <v>Corporate</v>
      </c>
      <c r="N1380">
        <f>IFERROR(VLOOKUP(C1380,Customers!$A:$E,3,FALSE),"")</f>
        <v>46</v>
      </c>
      <c r="O1380" s="33" t="str">
        <f>IFERROR(VLOOKUP(E1380,Sales_Reps!$A:$C,3,FALSE),"")</f>
        <v>West</v>
      </c>
      <c r="P1380" s="33">
        <f>IFERROR(VLOOKUP(D1380,Products!$A:$D,4,FALSE),"")</f>
        <v>2865</v>
      </c>
      <c r="Q1380" s="33">
        <f t="shared" si="21"/>
        <v>0.27833753148614609</v>
      </c>
    </row>
    <row r="1381" spans="1:17" x14ac:dyDescent="0.3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  <c r="L1381" t="str">
        <f>IFERROR(VLOOKUP(D1381,Products!$A:$C,3,FALSE),"")</f>
        <v>Grocery</v>
      </c>
      <c r="M1381" t="str">
        <f>IFERROR(VLOOKUP(C1381,Customers!$A:$E,5,FALSE),"")</f>
        <v>SMB</v>
      </c>
      <c r="N1381">
        <f>IFERROR(VLOOKUP(C1381,Customers!$A:$E,3,FALSE),"")</f>
        <v>65</v>
      </c>
      <c r="O1381" s="33" t="str">
        <f>IFERROR(VLOOKUP(E1381,Sales_Reps!$A:$C,3,FALSE),"")</f>
        <v>South</v>
      </c>
      <c r="P1381" s="33">
        <f>IFERROR(VLOOKUP(D1381,Products!$A:$D,4,FALSE),"")</f>
        <v>1010</v>
      </c>
      <c r="Q1381" s="33">
        <f t="shared" si="21"/>
        <v>0.54298642533936647</v>
      </c>
    </row>
    <row r="1382" spans="1:17" x14ac:dyDescent="0.3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  <c r="L1382" t="str">
        <f>IFERROR(VLOOKUP(D1382,Products!$A:$C,3,FALSE),"")</f>
        <v>Beauty</v>
      </c>
      <c r="M1382" t="str">
        <f>IFERROR(VLOOKUP(C1382,Customers!$A:$E,5,FALSE),"")</f>
        <v>Retail</v>
      </c>
      <c r="N1382">
        <f>IFERROR(VLOOKUP(C1382,Customers!$A:$E,3,FALSE),"")</f>
        <v>44</v>
      </c>
      <c r="O1382" s="33" t="str">
        <f>IFERROR(VLOOKUP(E1382,Sales_Reps!$A:$C,3,FALSE),"")</f>
        <v>East</v>
      </c>
      <c r="P1382" s="33">
        <f>IFERROR(VLOOKUP(D1382,Products!$A:$D,4,FALSE),"")</f>
        <v>647</v>
      </c>
      <c r="Q1382" s="33">
        <f t="shared" si="21"/>
        <v>0.57987012987012987</v>
      </c>
    </row>
    <row r="1383" spans="1:17" x14ac:dyDescent="0.3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  <c r="L1383" t="str">
        <f>IFERROR(VLOOKUP(D1383,Products!$A:$C,3,FALSE),"")</f>
        <v>Home</v>
      </c>
      <c r="M1383" t="str">
        <f>IFERROR(VLOOKUP(C1383,Customers!$A:$E,5,FALSE),"")</f>
        <v>Retail</v>
      </c>
      <c r="N1383">
        <f>IFERROR(VLOOKUP(C1383,Customers!$A:$E,3,FALSE),"")</f>
        <v>63</v>
      </c>
      <c r="O1383" s="33" t="str">
        <f>IFERROR(VLOOKUP(E1383,Sales_Reps!$A:$C,3,FALSE),"")</f>
        <v>West</v>
      </c>
      <c r="P1383" s="33">
        <f>IFERROR(VLOOKUP(D1383,Products!$A:$D,4,FALSE),"")</f>
        <v>1850</v>
      </c>
      <c r="Q1383" s="33">
        <f t="shared" si="21"/>
        <v>0.59869848156182215</v>
      </c>
    </row>
    <row r="1384" spans="1:17" x14ac:dyDescent="0.3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  <c r="L1384" t="str">
        <f>IFERROR(VLOOKUP(D1384,Products!$A:$C,3,FALSE),"")</f>
        <v>Electronics</v>
      </c>
      <c r="M1384" t="str">
        <f>IFERROR(VLOOKUP(C1384,Customers!$A:$E,5,FALSE),"")</f>
        <v>Retail</v>
      </c>
      <c r="N1384">
        <f>IFERROR(VLOOKUP(C1384,Customers!$A:$E,3,FALSE),"")</f>
        <v>56</v>
      </c>
      <c r="O1384" s="33" t="str">
        <f>IFERROR(VLOOKUP(E1384,Sales_Reps!$A:$C,3,FALSE),"")</f>
        <v>North</v>
      </c>
      <c r="P1384" s="33">
        <f>IFERROR(VLOOKUP(D1384,Products!$A:$D,4,FALSE),"")</f>
        <v>2865</v>
      </c>
      <c r="Q1384" s="33">
        <f t="shared" si="21"/>
        <v>0.27833753148614609</v>
      </c>
    </row>
    <row r="1385" spans="1:17" x14ac:dyDescent="0.3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  <c r="L1385" t="str">
        <f>IFERROR(VLOOKUP(D1385,Products!$A:$C,3,FALSE),"")</f>
        <v>Electronics</v>
      </c>
      <c r="M1385" t="str">
        <f>IFERROR(VLOOKUP(C1385,Customers!$A:$E,5,FALSE),"")</f>
        <v>Retail</v>
      </c>
      <c r="N1385">
        <f>IFERROR(VLOOKUP(C1385,Customers!$A:$E,3,FALSE),"")</f>
        <v>41</v>
      </c>
      <c r="O1385" s="33" t="str">
        <f>IFERROR(VLOOKUP(E1385,Sales_Reps!$A:$C,3,FALSE),"")</f>
        <v>North</v>
      </c>
      <c r="P1385" s="33">
        <f>IFERROR(VLOOKUP(D1385,Products!$A:$D,4,FALSE),"")</f>
        <v>1259</v>
      </c>
      <c r="Q1385" s="33">
        <f t="shared" si="21"/>
        <v>0.52669172932330832</v>
      </c>
    </row>
    <row r="1386" spans="1:17" x14ac:dyDescent="0.3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  <c r="L1386" t="str">
        <f>IFERROR(VLOOKUP(D1386,Products!$A:$C,3,FALSE),"")</f>
        <v>Beauty</v>
      </c>
      <c r="M1386" t="str">
        <f>IFERROR(VLOOKUP(C1386,Customers!$A:$E,5,FALSE),"")</f>
        <v>Corporate</v>
      </c>
      <c r="N1386">
        <f>IFERROR(VLOOKUP(C1386,Customers!$A:$E,3,FALSE),"")</f>
        <v>54</v>
      </c>
      <c r="O1386" s="33" t="str">
        <f>IFERROR(VLOOKUP(E1386,Sales_Reps!$A:$C,3,FALSE),"")</f>
        <v>East</v>
      </c>
      <c r="P1386" s="33">
        <f>IFERROR(VLOOKUP(D1386,Products!$A:$D,4,FALSE),"")</f>
        <v>2420</v>
      </c>
      <c r="Q1386" s="33">
        <f t="shared" si="21"/>
        <v>0.29855072463768118</v>
      </c>
    </row>
    <row r="1387" spans="1:17" x14ac:dyDescent="0.3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  <c r="L1387" t="str">
        <f>IFERROR(VLOOKUP(D1387,Products!$A:$C,3,FALSE),"")</f>
        <v>Sports</v>
      </c>
      <c r="M1387" t="str">
        <f>IFERROR(VLOOKUP(C1387,Customers!$A:$E,5,FALSE),"")</f>
        <v>SMB</v>
      </c>
      <c r="N1387">
        <f>IFERROR(VLOOKUP(C1387,Customers!$A:$E,3,FALSE),"")</f>
        <v>48</v>
      </c>
      <c r="O1387" s="33" t="str">
        <f>IFERROR(VLOOKUP(E1387,Sales_Reps!$A:$C,3,FALSE),"")</f>
        <v>North</v>
      </c>
      <c r="P1387" s="33">
        <f>IFERROR(VLOOKUP(D1387,Products!$A:$D,4,FALSE),"")</f>
        <v>302</v>
      </c>
      <c r="Q1387" s="33">
        <f t="shared" si="21"/>
        <v>0.35744680851063831</v>
      </c>
    </row>
    <row r="1388" spans="1:17" x14ac:dyDescent="0.3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  <c r="L1388" t="str">
        <f>IFERROR(VLOOKUP(D1388,Products!$A:$C,3,FALSE),"")</f>
        <v>Sports</v>
      </c>
      <c r="M1388" t="str">
        <f>IFERROR(VLOOKUP(C1388,Customers!$A:$E,5,FALSE),"")</f>
        <v>Retail</v>
      </c>
      <c r="N1388">
        <f>IFERROR(VLOOKUP(C1388,Customers!$A:$E,3,FALSE),"")</f>
        <v>22</v>
      </c>
      <c r="O1388" s="33" t="str">
        <f>IFERROR(VLOOKUP(E1388,Sales_Reps!$A:$C,3,FALSE),"")</f>
        <v>East</v>
      </c>
      <c r="P1388" s="33">
        <f>IFERROR(VLOOKUP(D1388,Products!$A:$D,4,FALSE),"")</f>
        <v>1860</v>
      </c>
      <c r="Q1388" s="33">
        <f t="shared" si="21"/>
        <v>0.50793650793650791</v>
      </c>
    </row>
    <row r="1389" spans="1:17" x14ac:dyDescent="0.3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  <c r="L1389" t="str">
        <f>IFERROR(VLOOKUP(D1389,Products!$A:$C,3,FALSE),"")</f>
        <v>Apparel</v>
      </c>
      <c r="M1389" t="str">
        <f>IFERROR(VLOOKUP(C1389,Customers!$A:$E,5,FALSE),"")</f>
        <v>SMB</v>
      </c>
      <c r="N1389">
        <f>IFERROR(VLOOKUP(C1389,Customers!$A:$E,3,FALSE),"")</f>
        <v>36</v>
      </c>
      <c r="O1389" s="33" t="str">
        <f>IFERROR(VLOOKUP(E1389,Sales_Reps!$A:$C,3,FALSE),"")</f>
        <v>West</v>
      </c>
      <c r="P1389" s="33">
        <f>IFERROR(VLOOKUP(D1389,Products!$A:$D,4,FALSE),"")</f>
        <v>2509</v>
      </c>
      <c r="Q1389" s="33">
        <f t="shared" si="21"/>
        <v>0.3069060773480663</v>
      </c>
    </row>
    <row r="1390" spans="1:17" x14ac:dyDescent="0.3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  <c r="L1390" t="str">
        <f>IFERROR(VLOOKUP(D1390,Products!$A:$C,3,FALSE),"")</f>
        <v>Beauty</v>
      </c>
      <c r="M1390" t="str">
        <f>IFERROR(VLOOKUP(C1390,Customers!$A:$E,5,FALSE),"")</f>
        <v>Retail</v>
      </c>
      <c r="N1390">
        <f>IFERROR(VLOOKUP(C1390,Customers!$A:$E,3,FALSE),"")</f>
        <v>53</v>
      </c>
      <c r="O1390" s="33" t="str">
        <f>IFERROR(VLOOKUP(E1390,Sales_Reps!$A:$C,3,FALSE),"")</f>
        <v>West</v>
      </c>
      <c r="P1390" s="33">
        <f>IFERROR(VLOOKUP(D1390,Products!$A:$D,4,FALSE),"")</f>
        <v>675</v>
      </c>
      <c r="Q1390" s="33">
        <f t="shared" si="21"/>
        <v>0.296875</v>
      </c>
    </row>
    <row r="1391" spans="1:17" x14ac:dyDescent="0.3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  <c r="L1391" t="str">
        <f>IFERROR(VLOOKUP(D1391,Products!$A:$C,3,FALSE),"")</f>
        <v>Beauty</v>
      </c>
      <c r="M1391" t="str">
        <f>IFERROR(VLOOKUP(C1391,Customers!$A:$E,5,FALSE),"")</f>
        <v>Retail</v>
      </c>
      <c r="N1391">
        <f>IFERROR(VLOOKUP(C1391,Customers!$A:$E,3,FALSE),"")</f>
        <v>28</v>
      </c>
      <c r="O1391" s="33" t="str">
        <f>IFERROR(VLOOKUP(E1391,Sales_Reps!$A:$C,3,FALSE),"")</f>
        <v>North</v>
      </c>
      <c r="P1391" s="33">
        <f>IFERROR(VLOOKUP(D1391,Products!$A:$D,4,FALSE),"")</f>
        <v>1728</v>
      </c>
      <c r="Q1391" s="33">
        <f t="shared" si="21"/>
        <v>0.48417910447761192</v>
      </c>
    </row>
    <row r="1392" spans="1:17" x14ac:dyDescent="0.3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  <c r="L1392" t="str">
        <f>IFERROR(VLOOKUP(D1392,Products!$A:$C,3,FALSE),"")</f>
        <v>Sports</v>
      </c>
      <c r="M1392" t="str">
        <f>IFERROR(VLOOKUP(C1392,Customers!$A:$E,5,FALSE),"")</f>
        <v>SMB</v>
      </c>
      <c r="N1392">
        <f>IFERROR(VLOOKUP(C1392,Customers!$A:$E,3,FALSE),"")</f>
        <v>28</v>
      </c>
      <c r="O1392" s="33" t="str">
        <f>IFERROR(VLOOKUP(E1392,Sales_Reps!$A:$C,3,FALSE),"")</f>
        <v>West</v>
      </c>
      <c r="P1392" s="33">
        <f>IFERROR(VLOOKUP(D1392,Products!$A:$D,4,FALSE),"")</f>
        <v>974</v>
      </c>
      <c r="Q1392" s="33">
        <f t="shared" si="21"/>
        <v>0.59416666666666662</v>
      </c>
    </row>
    <row r="1393" spans="1:17" x14ac:dyDescent="0.3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  <c r="L1393" t="str">
        <f>IFERROR(VLOOKUP(D1393,Products!$A:$C,3,FALSE),"")</f>
        <v>Sports</v>
      </c>
      <c r="M1393" t="str">
        <f>IFERROR(VLOOKUP(C1393,Customers!$A:$E,5,FALSE),"")</f>
        <v>Retail</v>
      </c>
      <c r="N1393">
        <f>IFERROR(VLOOKUP(C1393,Customers!$A:$E,3,FALSE),"")</f>
        <v>29</v>
      </c>
      <c r="O1393" s="33" t="str">
        <f>IFERROR(VLOOKUP(E1393,Sales_Reps!$A:$C,3,FALSE),"")</f>
        <v>North</v>
      </c>
      <c r="P1393" s="33">
        <f>IFERROR(VLOOKUP(D1393,Products!$A:$D,4,FALSE),"")</f>
        <v>2028</v>
      </c>
      <c r="Q1393" s="33">
        <f t="shared" si="21"/>
        <v>0.29090909090909089</v>
      </c>
    </row>
    <row r="1394" spans="1:17" x14ac:dyDescent="0.3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  <c r="L1394" t="str">
        <f>IFERROR(VLOOKUP(D1394,Products!$A:$C,3,FALSE),"")</f>
        <v>Beauty</v>
      </c>
      <c r="M1394" t="str">
        <f>IFERROR(VLOOKUP(C1394,Customers!$A:$E,5,FALSE),"")</f>
        <v>SMB</v>
      </c>
      <c r="N1394">
        <f>IFERROR(VLOOKUP(C1394,Customers!$A:$E,3,FALSE),"")</f>
        <v>46</v>
      </c>
      <c r="O1394" s="33" t="str">
        <f>IFERROR(VLOOKUP(E1394,Sales_Reps!$A:$C,3,FALSE),"")</f>
        <v>North</v>
      </c>
      <c r="P1394" s="33">
        <f>IFERROR(VLOOKUP(D1394,Products!$A:$D,4,FALSE),"")</f>
        <v>1219</v>
      </c>
      <c r="Q1394" s="33">
        <f t="shared" si="21"/>
        <v>0.46768558951965067</v>
      </c>
    </row>
    <row r="1395" spans="1:17" x14ac:dyDescent="0.3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  <c r="L1395" t="str">
        <f>IFERROR(VLOOKUP(D1395,Products!$A:$C,3,FALSE),"")</f>
        <v>Electronics</v>
      </c>
      <c r="M1395" t="str">
        <f>IFERROR(VLOOKUP(C1395,Customers!$A:$E,5,FALSE),"")</f>
        <v>Retail</v>
      </c>
      <c r="N1395">
        <f>IFERROR(VLOOKUP(C1395,Customers!$A:$E,3,FALSE),"")</f>
        <v>50</v>
      </c>
      <c r="O1395" s="33" t="str">
        <f>IFERROR(VLOOKUP(E1395,Sales_Reps!$A:$C,3,FALSE),"")</f>
        <v>East</v>
      </c>
      <c r="P1395" s="33">
        <f>IFERROR(VLOOKUP(D1395,Products!$A:$D,4,FALSE),"")</f>
        <v>2405</v>
      </c>
      <c r="Q1395" s="33">
        <f t="shared" si="21"/>
        <v>0.54878048780487809</v>
      </c>
    </row>
    <row r="1396" spans="1:17" x14ac:dyDescent="0.3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  <c r="L1396" t="str">
        <f>IFERROR(VLOOKUP(D1396,Products!$A:$C,3,FALSE),"")</f>
        <v>Apparel</v>
      </c>
      <c r="M1396" t="str">
        <f>IFERROR(VLOOKUP(C1396,Customers!$A:$E,5,FALSE),"")</f>
        <v>Retail</v>
      </c>
      <c r="N1396">
        <f>IFERROR(VLOOKUP(C1396,Customers!$A:$E,3,FALSE),"")</f>
        <v>41</v>
      </c>
      <c r="O1396" s="33" t="str">
        <f>IFERROR(VLOOKUP(E1396,Sales_Reps!$A:$C,3,FALSE),"")</f>
        <v>East</v>
      </c>
      <c r="P1396" s="33">
        <f>IFERROR(VLOOKUP(D1396,Products!$A:$D,4,FALSE),"")</f>
        <v>2611</v>
      </c>
      <c r="Q1396" s="33">
        <f t="shared" si="21"/>
        <v>0.28269230769230769</v>
      </c>
    </row>
    <row r="1397" spans="1:17" x14ac:dyDescent="0.3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  <c r="L1397" t="str">
        <f>IFERROR(VLOOKUP(D1397,Products!$A:$C,3,FALSE),"")</f>
        <v>Home</v>
      </c>
      <c r="M1397" t="str">
        <f>IFERROR(VLOOKUP(C1397,Customers!$A:$E,5,FALSE),"")</f>
        <v>SMB</v>
      </c>
      <c r="N1397">
        <f>IFERROR(VLOOKUP(C1397,Customers!$A:$E,3,FALSE),"")</f>
        <v>40</v>
      </c>
      <c r="O1397" s="33" t="str">
        <f>IFERROR(VLOOKUP(E1397,Sales_Reps!$A:$C,3,FALSE),"")</f>
        <v>West</v>
      </c>
      <c r="P1397" s="33">
        <f>IFERROR(VLOOKUP(D1397,Products!$A:$D,4,FALSE),"")</f>
        <v>2459</v>
      </c>
      <c r="Q1397" s="33">
        <f t="shared" si="21"/>
        <v>0.51594488188976373</v>
      </c>
    </row>
    <row r="1398" spans="1:17" x14ac:dyDescent="0.3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  <c r="L1398" t="str">
        <f>IFERROR(VLOOKUP(D1398,Products!$A:$C,3,FALSE),"")</f>
        <v>Home</v>
      </c>
      <c r="M1398" t="str">
        <f>IFERROR(VLOOKUP(C1398,Customers!$A:$E,5,FALSE),"")</f>
        <v>SMB</v>
      </c>
      <c r="N1398">
        <f>IFERROR(VLOOKUP(C1398,Customers!$A:$E,3,FALSE),"")</f>
        <v>26</v>
      </c>
      <c r="O1398" s="33" t="str">
        <f>IFERROR(VLOOKUP(E1398,Sales_Reps!$A:$C,3,FALSE),"")</f>
        <v>East</v>
      </c>
      <c r="P1398" s="33">
        <f>IFERROR(VLOOKUP(D1398,Products!$A:$D,4,FALSE),"")</f>
        <v>464</v>
      </c>
      <c r="Q1398" s="33">
        <f t="shared" si="21"/>
        <v>0.57431192660550456</v>
      </c>
    </row>
    <row r="1399" spans="1:17" x14ac:dyDescent="0.3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  <c r="L1399" t="str">
        <f>IFERROR(VLOOKUP(D1399,Products!$A:$C,3,FALSE),"")</f>
        <v>Beauty</v>
      </c>
      <c r="M1399" t="str">
        <f>IFERROR(VLOOKUP(C1399,Customers!$A:$E,5,FALSE),"")</f>
        <v>Corporate</v>
      </c>
      <c r="N1399">
        <f>IFERROR(VLOOKUP(C1399,Customers!$A:$E,3,FALSE),"")</f>
        <v>47</v>
      </c>
      <c r="O1399" s="33" t="str">
        <f>IFERROR(VLOOKUP(E1399,Sales_Reps!$A:$C,3,FALSE),"")</f>
        <v>West</v>
      </c>
      <c r="P1399" s="33">
        <f>IFERROR(VLOOKUP(D1399,Products!$A:$D,4,FALSE),"")</f>
        <v>2420</v>
      </c>
      <c r="Q1399" s="33">
        <f t="shared" si="21"/>
        <v>0.29855072463768118</v>
      </c>
    </row>
    <row r="1400" spans="1:17" x14ac:dyDescent="0.3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  <c r="L1400" t="str">
        <f>IFERROR(VLOOKUP(D1400,Products!$A:$C,3,FALSE),"")</f>
        <v>Sports</v>
      </c>
      <c r="M1400" t="str">
        <f>IFERROR(VLOOKUP(C1400,Customers!$A:$E,5,FALSE),"")</f>
        <v>Retail</v>
      </c>
      <c r="N1400">
        <f>IFERROR(VLOOKUP(C1400,Customers!$A:$E,3,FALSE),"")</f>
        <v>53</v>
      </c>
      <c r="O1400" s="33" t="str">
        <f>IFERROR(VLOOKUP(E1400,Sales_Reps!$A:$C,3,FALSE),"")</f>
        <v>South</v>
      </c>
      <c r="P1400" s="33">
        <f>IFERROR(VLOOKUP(D1400,Products!$A:$D,4,FALSE),"")</f>
        <v>2265</v>
      </c>
      <c r="Q1400" s="33">
        <f t="shared" si="21"/>
        <v>0.58133086876155271</v>
      </c>
    </row>
    <row r="1401" spans="1:17" x14ac:dyDescent="0.3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  <c r="L1401" t="str">
        <f>IFERROR(VLOOKUP(D1401,Products!$A:$C,3,FALSE),"")</f>
        <v>Apparel</v>
      </c>
      <c r="M1401" t="str">
        <f>IFERROR(VLOOKUP(C1401,Customers!$A:$E,5,FALSE),"")</f>
        <v>SMB</v>
      </c>
      <c r="N1401">
        <f>IFERROR(VLOOKUP(C1401,Customers!$A:$E,3,FALSE),"")</f>
        <v>34</v>
      </c>
      <c r="O1401" s="33" t="str">
        <f>IFERROR(VLOOKUP(E1401,Sales_Reps!$A:$C,3,FALSE),"")</f>
        <v>West</v>
      </c>
      <c r="P1401" s="33">
        <f>IFERROR(VLOOKUP(D1401,Products!$A:$D,4,FALSE),"")</f>
        <v>1748</v>
      </c>
      <c r="Q1401" s="33">
        <f t="shared" si="21"/>
        <v>0.49333333333333335</v>
      </c>
    </row>
    <row r="1402" spans="1:17" x14ac:dyDescent="0.3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  <c r="L1402" t="str">
        <f>IFERROR(VLOOKUP(D1402,Products!$A:$C,3,FALSE),"")</f>
        <v>Apparel</v>
      </c>
      <c r="M1402" t="str">
        <f>IFERROR(VLOOKUP(C1402,Customers!$A:$E,5,FALSE),"")</f>
        <v>Retail</v>
      </c>
      <c r="N1402">
        <f>IFERROR(VLOOKUP(C1402,Customers!$A:$E,3,FALSE),"")</f>
        <v>29</v>
      </c>
      <c r="O1402" s="33" t="str">
        <f>IFERROR(VLOOKUP(E1402,Sales_Reps!$A:$C,3,FALSE),"")</f>
        <v>West</v>
      </c>
      <c r="P1402" s="33">
        <f>IFERROR(VLOOKUP(D1402,Products!$A:$D,4,FALSE),"")</f>
        <v>1886</v>
      </c>
      <c r="Q1402" s="33">
        <f t="shared" si="21"/>
        <v>0.4031645569620253</v>
      </c>
    </row>
    <row r="1403" spans="1:17" x14ac:dyDescent="0.3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  <c r="L1403" t="str">
        <f>IFERROR(VLOOKUP(D1403,Products!$A:$C,3,FALSE),"")</f>
        <v>Beauty</v>
      </c>
      <c r="M1403" t="str">
        <f>IFERROR(VLOOKUP(C1403,Customers!$A:$E,5,FALSE),"")</f>
        <v>Corporate</v>
      </c>
      <c r="N1403">
        <f>IFERROR(VLOOKUP(C1403,Customers!$A:$E,3,FALSE),"")</f>
        <v>57</v>
      </c>
      <c r="O1403" s="33" t="str">
        <f>IFERROR(VLOOKUP(E1403,Sales_Reps!$A:$C,3,FALSE),"")</f>
        <v>West</v>
      </c>
      <c r="P1403" s="33">
        <f>IFERROR(VLOOKUP(D1403,Products!$A:$D,4,FALSE),"")</f>
        <v>647</v>
      </c>
      <c r="Q1403" s="33">
        <f t="shared" si="21"/>
        <v>0.57987012987012987</v>
      </c>
    </row>
    <row r="1404" spans="1:17" x14ac:dyDescent="0.3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  <c r="L1404" t="str">
        <f>IFERROR(VLOOKUP(D1404,Products!$A:$C,3,FALSE),"")</f>
        <v>Apparel</v>
      </c>
      <c r="M1404" t="str">
        <f>IFERROR(VLOOKUP(C1404,Customers!$A:$E,5,FALSE),"")</f>
        <v>SMB</v>
      </c>
      <c r="N1404">
        <f>IFERROR(VLOOKUP(C1404,Customers!$A:$E,3,FALSE),"")</f>
        <v>54</v>
      </c>
      <c r="O1404" s="33" t="str">
        <f>IFERROR(VLOOKUP(E1404,Sales_Reps!$A:$C,3,FALSE),"")</f>
        <v>East</v>
      </c>
      <c r="P1404" s="33">
        <f>IFERROR(VLOOKUP(D1404,Products!$A:$D,4,FALSE),"")</f>
        <v>2611</v>
      </c>
      <c r="Q1404" s="33">
        <f t="shared" si="21"/>
        <v>0.28269230769230769</v>
      </c>
    </row>
    <row r="1405" spans="1:17" x14ac:dyDescent="0.3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  <c r="L1405" t="str">
        <f>IFERROR(VLOOKUP(D1405,Products!$A:$C,3,FALSE),"")</f>
        <v>Sports</v>
      </c>
      <c r="M1405" t="str">
        <f>IFERROR(VLOOKUP(C1405,Customers!$A:$E,5,FALSE),"")</f>
        <v>Retail</v>
      </c>
      <c r="N1405">
        <f>IFERROR(VLOOKUP(C1405,Customers!$A:$E,3,FALSE),"")</f>
        <v>60</v>
      </c>
      <c r="O1405" s="33" t="str">
        <f>IFERROR(VLOOKUP(E1405,Sales_Reps!$A:$C,3,FALSE),"")</f>
        <v>North</v>
      </c>
      <c r="P1405" s="33">
        <f>IFERROR(VLOOKUP(D1405,Products!$A:$D,4,FALSE),"")</f>
        <v>1860</v>
      </c>
      <c r="Q1405" s="33">
        <f t="shared" si="21"/>
        <v>0.50793650793650791</v>
      </c>
    </row>
    <row r="1406" spans="1:17" x14ac:dyDescent="0.3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  <c r="L1406" t="str">
        <f>IFERROR(VLOOKUP(D1406,Products!$A:$C,3,FALSE),"")</f>
        <v>Apparel</v>
      </c>
      <c r="M1406" t="str">
        <f>IFERROR(VLOOKUP(C1406,Customers!$A:$E,5,FALSE),"")</f>
        <v>Retail</v>
      </c>
      <c r="N1406">
        <f>IFERROR(VLOOKUP(C1406,Customers!$A:$E,3,FALSE),"")</f>
        <v>59</v>
      </c>
      <c r="O1406" s="33" t="str">
        <f>IFERROR(VLOOKUP(E1406,Sales_Reps!$A:$C,3,FALSE),"")</f>
        <v>West</v>
      </c>
      <c r="P1406" s="33">
        <f>IFERROR(VLOOKUP(D1406,Products!$A:$D,4,FALSE),"")</f>
        <v>1962</v>
      </c>
      <c r="Q1406" s="33">
        <f t="shared" si="21"/>
        <v>0.2786764705882353</v>
      </c>
    </row>
    <row r="1407" spans="1:17" x14ac:dyDescent="0.3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  <c r="L1407" t="str">
        <f>IFERROR(VLOOKUP(D1407,Products!$A:$C,3,FALSE),"")</f>
        <v>Apparel</v>
      </c>
      <c r="M1407" t="str">
        <f>IFERROR(VLOOKUP(C1407,Customers!$A:$E,5,FALSE),"")</f>
        <v>Retail</v>
      </c>
      <c r="N1407">
        <f>IFERROR(VLOOKUP(C1407,Customers!$A:$E,3,FALSE),"")</f>
        <v>49</v>
      </c>
      <c r="O1407" s="33" t="str">
        <f>IFERROR(VLOOKUP(E1407,Sales_Reps!$A:$C,3,FALSE),"")</f>
        <v>North</v>
      </c>
      <c r="P1407" s="33">
        <f>IFERROR(VLOOKUP(D1407,Products!$A:$D,4,FALSE),"")</f>
        <v>2509</v>
      </c>
      <c r="Q1407" s="33">
        <f t="shared" si="21"/>
        <v>0.3069060773480663</v>
      </c>
    </row>
    <row r="1408" spans="1:17" x14ac:dyDescent="0.3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  <c r="L1408" t="str">
        <f>IFERROR(VLOOKUP(D1408,Products!$A:$C,3,FALSE),"")</f>
        <v>Apparel</v>
      </c>
      <c r="M1408" t="str">
        <f>IFERROR(VLOOKUP(C1408,Customers!$A:$E,5,FALSE),"")</f>
        <v>Retail</v>
      </c>
      <c r="N1408">
        <f>IFERROR(VLOOKUP(C1408,Customers!$A:$E,3,FALSE),"")</f>
        <v>61</v>
      </c>
      <c r="O1408" s="33" t="str">
        <f>IFERROR(VLOOKUP(E1408,Sales_Reps!$A:$C,3,FALSE),"")</f>
        <v>North</v>
      </c>
      <c r="P1408" s="33">
        <f>IFERROR(VLOOKUP(D1408,Products!$A:$D,4,FALSE),"")</f>
        <v>1748</v>
      </c>
      <c r="Q1408" s="33">
        <f t="shared" si="21"/>
        <v>0.49333333333333335</v>
      </c>
    </row>
    <row r="1409" spans="1:17" x14ac:dyDescent="0.3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  <c r="L1409" t="str">
        <f>IFERROR(VLOOKUP(D1409,Products!$A:$C,3,FALSE),"")</f>
        <v>Apparel</v>
      </c>
      <c r="M1409" t="str">
        <f>IFERROR(VLOOKUP(C1409,Customers!$A:$E,5,FALSE),"")</f>
        <v>SMB</v>
      </c>
      <c r="N1409">
        <f>IFERROR(VLOOKUP(C1409,Customers!$A:$E,3,FALSE),"")</f>
        <v>29</v>
      </c>
      <c r="O1409" s="33" t="str">
        <f>IFERROR(VLOOKUP(E1409,Sales_Reps!$A:$C,3,FALSE),"")</f>
        <v>South</v>
      </c>
      <c r="P1409" s="33">
        <f>IFERROR(VLOOKUP(D1409,Products!$A:$D,4,FALSE),"")</f>
        <v>2611</v>
      </c>
      <c r="Q1409" s="33">
        <f t="shared" si="21"/>
        <v>0.28269230769230769</v>
      </c>
    </row>
    <row r="1410" spans="1:17" x14ac:dyDescent="0.3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  <c r="L1410" t="str">
        <f>IFERROR(VLOOKUP(D1410,Products!$A:$C,3,FALSE),"")</f>
        <v>Apparel</v>
      </c>
      <c r="M1410" t="str">
        <f>IFERROR(VLOOKUP(C1410,Customers!$A:$E,5,FALSE),"")</f>
        <v>Retail</v>
      </c>
      <c r="N1410">
        <f>IFERROR(VLOOKUP(C1410,Customers!$A:$E,3,FALSE),"")</f>
        <v>33</v>
      </c>
      <c r="O1410" s="33" t="str">
        <f>IFERROR(VLOOKUP(E1410,Sales_Reps!$A:$C,3,FALSE),"")</f>
        <v>East</v>
      </c>
      <c r="P1410" s="33">
        <f>IFERROR(VLOOKUP(D1410,Products!$A:$D,4,FALSE),"")</f>
        <v>396</v>
      </c>
      <c r="Q1410" s="33">
        <f t="shared" si="21"/>
        <v>0.36129032258064514</v>
      </c>
    </row>
    <row r="1411" spans="1:17" x14ac:dyDescent="0.3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  <c r="L1411" t="str">
        <f>IFERROR(VLOOKUP(D1411,Products!$A:$C,3,FALSE),"")</f>
        <v>Sports</v>
      </c>
      <c r="M1411" t="str">
        <f>IFERROR(VLOOKUP(C1411,Customers!$A:$E,5,FALSE),"")</f>
        <v>Retail</v>
      </c>
      <c r="N1411">
        <f>IFERROR(VLOOKUP(C1411,Customers!$A:$E,3,FALSE),"")</f>
        <v>24</v>
      </c>
      <c r="O1411" s="33" t="str">
        <f>IFERROR(VLOOKUP(E1411,Sales_Reps!$A:$C,3,FALSE),"")</f>
        <v>South</v>
      </c>
      <c r="P1411" s="33">
        <f>IFERROR(VLOOKUP(D1411,Products!$A:$D,4,FALSE),"")</f>
        <v>1860</v>
      </c>
      <c r="Q1411" s="33">
        <f t="shared" ref="Q1411:Q1474" si="22">IFERROR((G1411-P1411)/G1411,"")</f>
        <v>0.50793650793650791</v>
      </c>
    </row>
    <row r="1412" spans="1:17" x14ac:dyDescent="0.3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  <c r="L1412" t="str">
        <f>IFERROR(VLOOKUP(D1412,Products!$A:$C,3,FALSE),"")</f>
        <v>Electronics</v>
      </c>
      <c r="M1412" t="str">
        <f>IFERROR(VLOOKUP(C1412,Customers!$A:$E,5,FALSE),"")</f>
        <v>SMB</v>
      </c>
      <c r="N1412">
        <f>IFERROR(VLOOKUP(C1412,Customers!$A:$E,3,FALSE),"")</f>
        <v>55</v>
      </c>
      <c r="O1412" s="33" t="str">
        <f>IFERROR(VLOOKUP(E1412,Sales_Reps!$A:$C,3,FALSE),"")</f>
        <v>South</v>
      </c>
      <c r="P1412" s="33">
        <f>IFERROR(VLOOKUP(D1412,Products!$A:$D,4,FALSE),"")</f>
        <v>1665</v>
      </c>
      <c r="Q1412" s="33">
        <f t="shared" si="22"/>
        <v>0.53361344537815125</v>
      </c>
    </row>
    <row r="1413" spans="1:17" x14ac:dyDescent="0.3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  <c r="L1413" t="str">
        <f>IFERROR(VLOOKUP(D1413,Products!$A:$C,3,FALSE),"")</f>
        <v>Beauty</v>
      </c>
      <c r="M1413" t="str">
        <f>IFERROR(VLOOKUP(C1413,Customers!$A:$E,5,FALSE),"")</f>
        <v>Retail</v>
      </c>
      <c r="N1413">
        <f>IFERROR(VLOOKUP(C1413,Customers!$A:$E,3,FALSE),"")</f>
        <v>24</v>
      </c>
      <c r="O1413" s="33" t="str">
        <f>IFERROR(VLOOKUP(E1413,Sales_Reps!$A:$C,3,FALSE),"")</f>
        <v>North</v>
      </c>
      <c r="P1413" s="33">
        <f>IFERROR(VLOOKUP(D1413,Products!$A:$D,4,FALSE),"")</f>
        <v>1222</v>
      </c>
      <c r="Q1413" s="33">
        <f t="shared" si="22"/>
        <v>0.2593939393939394</v>
      </c>
    </row>
    <row r="1414" spans="1:17" x14ac:dyDescent="0.3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  <c r="L1414" t="str">
        <f>IFERROR(VLOOKUP(D1414,Products!$A:$C,3,FALSE),"")</f>
        <v>Beauty</v>
      </c>
      <c r="M1414" t="str">
        <f>IFERROR(VLOOKUP(C1414,Customers!$A:$E,5,FALSE),"")</f>
        <v>SMB</v>
      </c>
      <c r="N1414">
        <f>IFERROR(VLOOKUP(C1414,Customers!$A:$E,3,FALSE),"")</f>
        <v>54</v>
      </c>
      <c r="O1414" s="33" t="str">
        <f>IFERROR(VLOOKUP(E1414,Sales_Reps!$A:$C,3,FALSE),"")</f>
        <v>South</v>
      </c>
      <c r="P1414" s="33">
        <f>IFERROR(VLOOKUP(D1414,Products!$A:$D,4,FALSE),"")</f>
        <v>675</v>
      </c>
      <c r="Q1414" s="33">
        <f t="shared" si="22"/>
        <v>0.296875</v>
      </c>
    </row>
    <row r="1415" spans="1:17" x14ac:dyDescent="0.3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  <c r="L1415" t="str">
        <f>IFERROR(VLOOKUP(D1415,Products!$A:$C,3,FALSE),"")</f>
        <v>Electronics</v>
      </c>
      <c r="M1415" t="str">
        <f>IFERROR(VLOOKUP(C1415,Customers!$A:$E,5,FALSE),"")</f>
        <v>Corporate</v>
      </c>
      <c r="N1415">
        <f>IFERROR(VLOOKUP(C1415,Customers!$A:$E,3,FALSE),"")</f>
        <v>62</v>
      </c>
      <c r="O1415" s="33" t="str">
        <f>IFERROR(VLOOKUP(E1415,Sales_Reps!$A:$C,3,FALSE),"")</f>
        <v>North</v>
      </c>
      <c r="P1415" s="33">
        <f>IFERROR(VLOOKUP(D1415,Products!$A:$D,4,FALSE),"")</f>
        <v>128</v>
      </c>
      <c r="Q1415" s="33">
        <f t="shared" si="22"/>
        <v>0.57333333333333336</v>
      </c>
    </row>
    <row r="1416" spans="1:17" x14ac:dyDescent="0.3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  <c r="L1416" t="str">
        <f>IFERROR(VLOOKUP(D1416,Products!$A:$C,3,FALSE),"")</f>
        <v>Grocery</v>
      </c>
      <c r="M1416" t="str">
        <f>IFERROR(VLOOKUP(C1416,Customers!$A:$E,5,FALSE),"")</f>
        <v>Retail</v>
      </c>
      <c r="N1416">
        <f>IFERROR(VLOOKUP(C1416,Customers!$A:$E,3,FALSE),"")</f>
        <v>57</v>
      </c>
      <c r="O1416" s="33" t="str">
        <f>IFERROR(VLOOKUP(E1416,Sales_Reps!$A:$C,3,FALSE),"")</f>
        <v>West</v>
      </c>
      <c r="P1416" s="33">
        <f>IFERROR(VLOOKUP(D1416,Products!$A:$D,4,FALSE),"")</f>
        <v>2911</v>
      </c>
      <c r="Q1416" s="33">
        <f t="shared" si="22"/>
        <v>0.28300492610837441</v>
      </c>
    </row>
    <row r="1417" spans="1:17" x14ac:dyDescent="0.3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  <c r="L1417" t="str">
        <f>IFERROR(VLOOKUP(D1417,Products!$A:$C,3,FALSE),"")</f>
        <v>Electronics</v>
      </c>
      <c r="M1417" t="str">
        <f>IFERROR(VLOOKUP(C1417,Customers!$A:$E,5,FALSE),"")</f>
        <v>Retail</v>
      </c>
      <c r="N1417">
        <f>IFERROR(VLOOKUP(C1417,Customers!$A:$E,3,FALSE),"")</f>
        <v>36</v>
      </c>
      <c r="O1417" s="33" t="str">
        <f>IFERROR(VLOOKUP(E1417,Sales_Reps!$A:$C,3,FALSE),"")</f>
        <v>East</v>
      </c>
      <c r="P1417" s="33">
        <f>IFERROR(VLOOKUP(D1417,Products!$A:$D,4,FALSE),"")</f>
        <v>2405</v>
      </c>
      <c r="Q1417" s="33">
        <f t="shared" si="22"/>
        <v>0.54878048780487809</v>
      </c>
    </row>
    <row r="1418" spans="1:17" x14ac:dyDescent="0.3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  <c r="L1418" t="str">
        <f>IFERROR(VLOOKUP(D1418,Products!$A:$C,3,FALSE),"")</f>
        <v>Home</v>
      </c>
      <c r="M1418" t="str">
        <f>IFERROR(VLOOKUP(C1418,Customers!$A:$E,5,FALSE),"")</f>
        <v>Retail</v>
      </c>
      <c r="N1418">
        <f>IFERROR(VLOOKUP(C1418,Customers!$A:$E,3,FALSE),"")</f>
        <v>44</v>
      </c>
      <c r="O1418" s="33" t="str">
        <f>IFERROR(VLOOKUP(E1418,Sales_Reps!$A:$C,3,FALSE),"")</f>
        <v>East</v>
      </c>
      <c r="P1418" s="33">
        <f>IFERROR(VLOOKUP(D1418,Products!$A:$D,4,FALSE),"")</f>
        <v>2135</v>
      </c>
      <c r="Q1418" s="33">
        <f t="shared" si="22"/>
        <v>0.42761394101876676</v>
      </c>
    </row>
    <row r="1419" spans="1:17" x14ac:dyDescent="0.3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  <c r="L1419" t="str">
        <f>IFERROR(VLOOKUP(D1419,Products!$A:$C,3,FALSE),"")</f>
        <v>Beauty</v>
      </c>
      <c r="M1419" t="str">
        <f>IFERROR(VLOOKUP(C1419,Customers!$A:$E,5,FALSE),"")</f>
        <v>Retail</v>
      </c>
      <c r="N1419">
        <f>IFERROR(VLOOKUP(C1419,Customers!$A:$E,3,FALSE),"")</f>
        <v>60</v>
      </c>
      <c r="O1419" s="33" t="str">
        <f>IFERROR(VLOOKUP(E1419,Sales_Reps!$A:$C,3,FALSE),"")</f>
        <v>West</v>
      </c>
      <c r="P1419" s="33">
        <f>IFERROR(VLOOKUP(D1419,Products!$A:$D,4,FALSE),"")</f>
        <v>2617</v>
      </c>
      <c r="Q1419" s="33">
        <f t="shared" si="22"/>
        <v>0.56957236842105263</v>
      </c>
    </row>
    <row r="1420" spans="1:17" x14ac:dyDescent="0.3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  <c r="L1420" t="str">
        <f>IFERROR(VLOOKUP(D1420,Products!$A:$C,3,FALSE),"")</f>
        <v>Apparel</v>
      </c>
      <c r="M1420" t="str">
        <f>IFERROR(VLOOKUP(C1420,Customers!$A:$E,5,FALSE),"")</f>
        <v>Retail</v>
      </c>
      <c r="N1420">
        <f>IFERROR(VLOOKUP(C1420,Customers!$A:$E,3,FALSE),"")</f>
        <v>33</v>
      </c>
      <c r="O1420" s="33" t="str">
        <f>IFERROR(VLOOKUP(E1420,Sales_Reps!$A:$C,3,FALSE),"")</f>
        <v>West</v>
      </c>
      <c r="P1420" s="33">
        <f>IFERROR(VLOOKUP(D1420,Products!$A:$D,4,FALSE),"")</f>
        <v>1962</v>
      </c>
      <c r="Q1420" s="33">
        <f t="shared" si="22"/>
        <v>0.2786764705882353</v>
      </c>
    </row>
    <row r="1421" spans="1:17" x14ac:dyDescent="0.3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  <c r="L1421" t="str">
        <f>IFERROR(VLOOKUP(D1421,Products!$A:$C,3,FALSE),"")</f>
        <v>Apparel</v>
      </c>
      <c r="M1421" t="str">
        <f>IFERROR(VLOOKUP(C1421,Customers!$A:$E,5,FALSE),"")</f>
        <v>Retail</v>
      </c>
      <c r="N1421">
        <f>IFERROR(VLOOKUP(C1421,Customers!$A:$E,3,FALSE),"")</f>
        <v>61</v>
      </c>
      <c r="O1421" s="33" t="str">
        <f>IFERROR(VLOOKUP(E1421,Sales_Reps!$A:$C,3,FALSE),"")</f>
        <v>East</v>
      </c>
      <c r="P1421" s="33">
        <f>IFERROR(VLOOKUP(D1421,Products!$A:$D,4,FALSE),"")</f>
        <v>1748</v>
      </c>
      <c r="Q1421" s="33">
        <f t="shared" si="22"/>
        <v>0.49333333333333335</v>
      </c>
    </row>
    <row r="1422" spans="1:17" x14ac:dyDescent="0.3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  <c r="L1422" t="str">
        <f>IFERROR(VLOOKUP(D1422,Products!$A:$C,3,FALSE),"")</f>
        <v>Home</v>
      </c>
      <c r="M1422" t="str">
        <f>IFERROR(VLOOKUP(C1422,Customers!$A:$E,5,FALSE),"")</f>
        <v>Retail</v>
      </c>
      <c r="N1422">
        <f>IFERROR(VLOOKUP(C1422,Customers!$A:$E,3,FALSE),"")</f>
        <v>53</v>
      </c>
      <c r="O1422" s="33" t="str">
        <f>IFERROR(VLOOKUP(E1422,Sales_Reps!$A:$C,3,FALSE),"")</f>
        <v>East</v>
      </c>
      <c r="P1422" s="33">
        <f>IFERROR(VLOOKUP(D1422,Products!$A:$D,4,FALSE),"")</f>
        <v>464</v>
      </c>
      <c r="Q1422" s="33">
        <f t="shared" si="22"/>
        <v>0.57431192660550456</v>
      </c>
    </row>
    <row r="1423" spans="1:17" x14ac:dyDescent="0.3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  <c r="L1423" t="str">
        <f>IFERROR(VLOOKUP(D1423,Products!$A:$C,3,FALSE),"")</f>
        <v>Electronics</v>
      </c>
      <c r="M1423" t="str">
        <f>IFERROR(VLOOKUP(C1423,Customers!$A:$E,5,FALSE),"")</f>
        <v>Retail</v>
      </c>
      <c r="N1423">
        <f>IFERROR(VLOOKUP(C1423,Customers!$A:$E,3,FALSE),"")</f>
        <v>38</v>
      </c>
      <c r="O1423" s="33" t="str">
        <f>IFERROR(VLOOKUP(E1423,Sales_Reps!$A:$C,3,FALSE),"")</f>
        <v>East</v>
      </c>
      <c r="P1423" s="33">
        <f>IFERROR(VLOOKUP(D1423,Products!$A:$D,4,FALSE),"")</f>
        <v>1665</v>
      </c>
      <c r="Q1423" s="33">
        <f t="shared" si="22"/>
        <v>0.53361344537815125</v>
      </c>
    </row>
    <row r="1424" spans="1:17" x14ac:dyDescent="0.3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  <c r="L1424" t="str">
        <f>IFERROR(VLOOKUP(D1424,Products!$A:$C,3,FALSE),"")</f>
        <v>Apparel</v>
      </c>
      <c r="M1424" t="str">
        <f>IFERROR(VLOOKUP(C1424,Customers!$A:$E,5,FALSE),"")</f>
        <v>SMB</v>
      </c>
      <c r="N1424">
        <f>IFERROR(VLOOKUP(C1424,Customers!$A:$E,3,FALSE),"")</f>
        <v>55</v>
      </c>
      <c r="O1424" s="33" t="str">
        <f>IFERROR(VLOOKUP(E1424,Sales_Reps!$A:$C,3,FALSE),"")</f>
        <v>South</v>
      </c>
      <c r="P1424" s="33">
        <f>IFERROR(VLOOKUP(D1424,Products!$A:$D,4,FALSE),"")</f>
        <v>1173</v>
      </c>
      <c r="Q1424" s="33">
        <f t="shared" si="22"/>
        <v>0.52701612903225803</v>
      </c>
    </row>
    <row r="1425" spans="1:17" x14ac:dyDescent="0.3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  <c r="L1425" t="str">
        <f>IFERROR(VLOOKUP(D1425,Products!$A:$C,3,FALSE),"")</f>
        <v>Grocery</v>
      </c>
      <c r="M1425" t="str">
        <f>IFERROR(VLOOKUP(C1425,Customers!$A:$E,5,FALSE),"")</f>
        <v>Retail</v>
      </c>
      <c r="N1425">
        <f>IFERROR(VLOOKUP(C1425,Customers!$A:$E,3,FALSE),"")</f>
        <v>25</v>
      </c>
      <c r="O1425" s="33" t="str">
        <f>IFERROR(VLOOKUP(E1425,Sales_Reps!$A:$C,3,FALSE),"")</f>
        <v>East</v>
      </c>
      <c r="P1425" s="33">
        <f>IFERROR(VLOOKUP(D1425,Products!$A:$D,4,FALSE),"")</f>
        <v>2436</v>
      </c>
      <c r="Q1425" s="33">
        <f t="shared" si="22"/>
        <v>0.35555555555555557</v>
      </c>
    </row>
    <row r="1426" spans="1:17" x14ac:dyDescent="0.3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  <c r="L1426" t="str">
        <f>IFERROR(VLOOKUP(D1426,Products!$A:$C,3,FALSE),"")</f>
        <v>Grocery</v>
      </c>
      <c r="M1426" t="str">
        <f>IFERROR(VLOOKUP(C1426,Customers!$A:$E,5,FALSE),"")</f>
        <v>SMB</v>
      </c>
      <c r="N1426">
        <f>IFERROR(VLOOKUP(C1426,Customers!$A:$E,3,FALSE),"")</f>
        <v>28</v>
      </c>
      <c r="O1426" s="33" t="str">
        <f>IFERROR(VLOOKUP(E1426,Sales_Reps!$A:$C,3,FALSE),"")</f>
        <v>South</v>
      </c>
      <c r="P1426" s="33">
        <f>IFERROR(VLOOKUP(D1426,Products!$A:$D,4,FALSE),"")</f>
        <v>2911</v>
      </c>
      <c r="Q1426" s="33">
        <f t="shared" si="22"/>
        <v>0.28300492610837441</v>
      </c>
    </row>
    <row r="1427" spans="1:17" x14ac:dyDescent="0.3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  <c r="L1427" t="str">
        <f>IFERROR(VLOOKUP(D1427,Products!$A:$C,3,FALSE),"")</f>
        <v>Electronics</v>
      </c>
      <c r="M1427" t="str">
        <f>IFERROR(VLOOKUP(C1427,Customers!$A:$E,5,FALSE),"")</f>
        <v>Corporate</v>
      </c>
      <c r="N1427">
        <f>IFERROR(VLOOKUP(C1427,Customers!$A:$E,3,FALSE),"")</f>
        <v>40</v>
      </c>
      <c r="O1427" s="33" t="str">
        <f>IFERROR(VLOOKUP(E1427,Sales_Reps!$A:$C,3,FALSE),"")</f>
        <v>North</v>
      </c>
      <c r="P1427" s="33">
        <f>IFERROR(VLOOKUP(D1427,Products!$A:$D,4,FALSE),"")</f>
        <v>128</v>
      </c>
      <c r="Q1427" s="33">
        <f t="shared" si="22"/>
        <v>0.57333333333333336</v>
      </c>
    </row>
    <row r="1428" spans="1:17" x14ac:dyDescent="0.3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  <c r="L1428" t="str">
        <f>IFERROR(VLOOKUP(D1428,Products!$A:$C,3,FALSE),"")</f>
        <v>Home</v>
      </c>
      <c r="M1428" t="str">
        <f>IFERROR(VLOOKUP(C1428,Customers!$A:$E,5,FALSE),"")</f>
        <v>SMB</v>
      </c>
      <c r="N1428">
        <f>IFERROR(VLOOKUP(C1428,Customers!$A:$E,3,FALSE),"")</f>
        <v>22</v>
      </c>
      <c r="O1428" s="33" t="str">
        <f>IFERROR(VLOOKUP(E1428,Sales_Reps!$A:$C,3,FALSE),"")</f>
        <v>North</v>
      </c>
      <c r="P1428" s="33">
        <f>IFERROR(VLOOKUP(D1428,Products!$A:$D,4,FALSE),"")</f>
        <v>1556</v>
      </c>
      <c r="Q1428" s="33">
        <f t="shared" si="22"/>
        <v>0.52123076923076928</v>
      </c>
    </row>
    <row r="1429" spans="1:17" x14ac:dyDescent="0.3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  <c r="L1429" t="str">
        <f>IFERROR(VLOOKUP(D1429,Products!$A:$C,3,FALSE),"")</f>
        <v>Sports</v>
      </c>
      <c r="M1429" t="str">
        <f>IFERROR(VLOOKUP(C1429,Customers!$A:$E,5,FALSE),"")</f>
        <v>Retail</v>
      </c>
      <c r="N1429">
        <f>IFERROR(VLOOKUP(C1429,Customers!$A:$E,3,FALSE),"")</f>
        <v>36</v>
      </c>
      <c r="O1429" s="33" t="str">
        <f>IFERROR(VLOOKUP(E1429,Sales_Reps!$A:$C,3,FALSE),"")</f>
        <v>South</v>
      </c>
      <c r="P1429" s="33">
        <f>IFERROR(VLOOKUP(D1429,Products!$A:$D,4,FALSE),"")</f>
        <v>2028</v>
      </c>
      <c r="Q1429" s="33">
        <f t="shared" si="22"/>
        <v>0.29090909090909089</v>
      </c>
    </row>
    <row r="1430" spans="1:17" x14ac:dyDescent="0.3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  <c r="L1430" t="str">
        <f>IFERROR(VLOOKUP(D1430,Products!$A:$C,3,FALSE),"")</f>
        <v>Electronics</v>
      </c>
      <c r="M1430" t="str">
        <f>IFERROR(VLOOKUP(C1430,Customers!$A:$E,5,FALSE),"")</f>
        <v>Retail</v>
      </c>
      <c r="N1430">
        <f>IFERROR(VLOOKUP(C1430,Customers!$A:$E,3,FALSE),"")</f>
        <v>24</v>
      </c>
      <c r="O1430" s="33" t="str">
        <f>IFERROR(VLOOKUP(E1430,Sales_Reps!$A:$C,3,FALSE),"")</f>
        <v>East</v>
      </c>
      <c r="P1430" s="33">
        <f>IFERROR(VLOOKUP(D1430,Products!$A:$D,4,FALSE),"")</f>
        <v>517</v>
      </c>
      <c r="Q1430" s="33">
        <f t="shared" si="22"/>
        <v>0.57622950819672136</v>
      </c>
    </row>
    <row r="1431" spans="1:17" x14ac:dyDescent="0.3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  <c r="L1431" t="str">
        <f>IFERROR(VLOOKUP(D1431,Products!$A:$C,3,FALSE),"")</f>
        <v>Grocery</v>
      </c>
      <c r="M1431" t="str">
        <f>IFERROR(VLOOKUP(C1431,Customers!$A:$E,5,FALSE),"")</f>
        <v>Retail</v>
      </c>
      <c r="N1431">
        <f>IFERROR(VLOOKUP(C1431,Customers!$A:$E,3,FALSE),"")</f>
        <v>27</v>
      </c>
      <c r="O1431" s="33" t="str">
        <f>IFERROR(VLOOKUP(E1431,Sales_Reps!$A:$C,3,FALSE),"")</f>
        <v>South</v>
      </c>
      <c r="P1431" s="33">
        <f>IFERROR(VLOOKUP(D1431,Products!$A:$D,4,FALSE),"")</f>
        <v>2436</v>
      </c>
      <c r="Q1431" s="33">
        <f t="shared" si="22"/>
        <v>0.35555555555555557</v>
      </c>
    </row>
    <row r="1432" spans="1:17" x14ac:dyDescent="0.3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  <c r="L1432" t="str">
        <f>IFERROR(VLOOKUP(D1432,Products!$A:$C,3,FALSE),"")</f>
        <v>Home</v>
      </c>
      <c r="M1432" t="str">
        <f>IFERROR(VLOOKUP(C1432,Customers!$A:$E,5,FALSE),"")</f>
        <v>Retail</v>
      </c>
      <c r="N1432">
        <f>IFERROR(VLOOKUP(C1432,Customers!$A:$E,3,FALSE),"")</f>
        <v>47</v>
      </c>
      <c r="O1432" s="33" t="str">
        <f>IFERROR(VLOOKUP(E1432,Sales_Reps!$A:$C,3,FALSE),"")</f>
        <v>East</v>
      </c>
      <c r="P1432" s="33">
        <f>IFERROR(VLOOKUP(D1432,Products!$A:$D,4,FALSE),"")</f>
        <v>2549</v>
      </c>
      <c r="Q1432" s="33">
        <f t="shared" si="22"/>
        <v>0.53570127504553733</v>
      </c>
    </row>
    <row r="1433" spans="1:17" x14ac:dyDescent="0.3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  <c r="L1433" t="str">
        <f>IFERROR(VLOOKUP(D1433,Products!$A:$C,3,FALSE),"")</f>
        <v>Grocery</v>
      </c>
      <c r="M1433" t="str">
        <f>IFERROR(VLOOKUP(C1433,Customers!$A:$E,5,FALSE),"")</f>
        <v>Corporate</v>
      </c>
      <c r="N1433">
        <f>IFERROR(VLOOKUP(C1433,Customers!$A:$E,3,FALSE),"")</f>
        <v>54</v>
      </c>
      <c r="O1433" s="33" t="str">
        <f>IFERROR(VLOOKUP(E1433,Sales_Reps!$A:$C,3,FALSE),"")</f>
        <v>West</v>
      </c>
      <c r="P1433" s="33">
        <f>IFERROR(VLOOKUP(D1433,Products!$A:$D,4,FALSE),"")</f>
        <v>1412</v>
      </c>
      <c r="Q1433" s="33">
        <f t="shared" si="22"/>
        <v>0.37797356828193834</v>
      </c>
    </row>
    <row r="1434" spans="1:17" x14ac:dyDescent="0.3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  <c r="L1434" t="str">
        <f>IFERROR(VLOOKUP(D1434,Products!$A:$C,3,FALSE),"")</f>
        <v>Grocery</v>
      </c>
      <c r="M1434" t="str">
        <f>IFERROR(VLOOKUP(C1434,Customers!$A:$E,5,FALSE),"")</f>
        <v>Corporate</v>
      </c>
      <c r="N1434">
        <f>IFERROR(VLOOKUP(C1434,Customers!$A:$E,3,FALSE),"")</f>
        <v>24</v>
      </c>
      <c r="O1434" s="33" t="str">
        <f>IFERROR(VLOOKUP(E1434,Sales_Reps!$A:$C,3,FALSE),"")</f>
        <v>East</v>
      </c>
      <c r="P1434" s="33">
        <f>IFERROR(VLOOKUP(D1434,Products!$A:$D,4,FALSE),"")</f>
        <v>1010</v>
      </c>
      <c r="Q1434" s="33">
        <f t="shared" si="22"/>
        <v>0.54298642533936647</v>
      </c>
    </row>
    <row r="1435" spans="1:17" x14ac:dyDescent="0.3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  <c r="L1435" t="str">
        <f>IFERROR(VLOOKUP(D1435,Products!$A:$C,3,FALSE),"")</f>
        <v>Home</v>
      </c>
      <c r="M1435" t="str">
        <f>IFERROR(VLOOKUP(C1435,Customers!$A:$E,5,FALSE),"")</f>
        <v/>
      </c>
      <c r="N1435" t="str">
        <f>IFERROR(VLOOKUP(C1435,Customers!$A:$E,3,FALSE),"")</f>
        <v/>
      </c>
      <c r="O1435" s="33" t="str">
        <f>IFERROR(VLOOKUP(E1435,Sales_Reps!$A:$C,3,FALSE),"")</f>
        <v>South</v>
      </c>
      <c r="P1435" s="33">
        <f>IFERROR(VLOOKUP(D1435,Products!$A:$D,4,FALSE),"")</f>
        <v>464</v>
      </c>
      <c r="Q1435" s="33">
        <f t="shared" si="22"/>
        <v>0.57431192660550456</v>
      </c>
    </row>
    <row r="1436" spans="1:17" x14ac:dyDescent="0.3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  <c r="L1436" t="str">
        <f>IFERROR(VLOOKUP(D1436,Products!$A:$C,3,FALSE),"")</f>
        <v>Apparel</v>
      </c>
      <c r="M1436" t="str">
        <f>IFERROR(VLOOKUP(C1436,Customers!$A:$E,5,FALSE),"")</f>
        <v>Corporate</v>
      </c>
      <c r="N1436">
        <f>IFERROR(VLOOKUP(C1436,Customers!$A:$E,3,FALSE),"")</f>
        <v>41</v>
      </c>
      <c r="O1436" s="33" t="str">
        <f>IFERROR(VLOOKUP(E1436,Sales_Reps!$A:$C,3,FALSE),"")</f>
        <v>North</v>
      </c>
      <c r="P1436" s="33">
        <f>IFERROR(VLOOKUP(D1436,Products!$A:$D,4,FALSE),"")</f>
        <v>2629</v>
      </c>
      <c r="Q1436" s="33">
        <f t="shared" si="22"/>
        <v>0.26151685393258428</v>
      </c>
    </row>
    <row r="1437" spans="1:17" x14ac:dyDescent="0.3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  <c r="L1437" t="str">
        <f>IFERROR(VLOOKUP(D1437,Products!$A:$C,3,FALSE),"")</f>
        <v>Sports</v>
      </c>
      <c r="M1437" t="str">
        <f>IFERROR(VLOOKUP(C1437,Customers!$A:$E,5,FALSE),"")</f>
        <v>Retail</v>
      </c>
      <c r="N1437">
        <f>IFERROR(VLOOKUP(C1437,Customers!$A:$E,3,FALSE),"")</f>
        <v>39</v>
      </c>
      <c r="O1437" s="33" t="str">
        <f>IFERROR(VLOOKUP(E1437,Sales_Reps!$A:$C,3,FALSE),"")</f>
        <v>West</v>
      </c>
      <c r="P1437" s="33">
        <f>IFERROR(VLOOKUP(D1437,Products!$A:$D,4,FALSE),"")</f>
        <v>516</v>
      </c>
      <c r="Q1437" s="33">
        <f t="shared" si="22"/>
        <v>0.4891089108910891</v>
      </c>
    </row>
    <row r="1438" spans="1:17" x14ac:dyDescent="0.3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  <c r="L1438" t="str">
        <f>IFERROR(VLOOKUP(D1438,Products!$A:$C,3,FALSE),"")</f>
        <v>Home</v>
      </c>
      <c r="M1438" t="str">
        <f>IFERROR(VLOOKUP(C1438,Customers!$A:$E,5,FALSE),"")</f>
        <v>Corporate</v>
      </c>
      <c r="N1438">
        <f>IFERROR(VLOOKUP(C1438,Customers!$A:$E,3,FALSE),"")</f>
        <v>51</v>
      </c>
      <c r="O1438" s="33" t="str">
        <f>IFERROR(VLOOKUP(E1438,Sales_Reps!$A:$C,3,FALSE),"")</f>
        <v>South</v>
      </c>
      <c r="P1438" s="33">
        <f>IFERROR(VLOOKUP(D1438,Products!$A:$D,4,FALSE),"")</f>
        <v>1143</v>
      </c>
      <c r="Q1438" s="33">
        <f t="shared" si="22"/>
        <v>0.43694581280788175</v>
      </c>
    </row>
    <row r="1439" spans="1:17" x14ac:dyDescent="0.3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  <c r="L1439" t="str">
        <f>IFERROR(VLOOKUP(D1439,Products!$A:$C,3,FALSE),"")</f>
        <v>Electronics</v>
      </c>
      <c r="M1439" t="str">
        <f>IFERROR(VLOOKUP(C1439,Customers!$A:$E,5,FALSE),"")</f>
        <v>Retail</v>
      </c>
      <c r="N1439">
        <f>IFERROR(VLOOKUP(C1439,Customers!$A:$E,3,FALSE),"")</f>
        <v>41</v>
      </c>
      <c r="O1439" s="33" t="str">
        <f>IFERROR(VLOOKUP(E1439,Sales_Reps!$A:$C,3,FALSE),"")</f>
        <v>South</v>
      </c>
      <c r="P1439" s="33">
        <f>IFERROR(VLOOKUP(D1439,Products!$A:$D,4,FALSE),"")</f>
        <v>2405</v>
      </c>
      <c r="Q1439" s="33">
        <f t="shared" si="22"/>
        <v>0.54878048780487809</v>
      </c>
    </row>
    <row r="1440" spans="1:17" x14ac:dyDescent="0.3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  <c r="L1440" t="str">
        <f>IFERROR(VLOOKUP(D1440,Products!$A:$C,3,FALSE),"")</f>
        <v>Electronics</v>
      </c>
      <c r="M1440" t="str">
        <f>IFERROR(VLOOKUP(C1440,Customers!$A:$E,5,FALSE),"")</f>
        <v>Retail</v>
      </c>
      <c r="N1440">
        <f>IFERROR(VLOOKUP(C1440,Customers!$A:$E,3,FALSE),"")</f>
        <v>42</v>
      </c>
      <c r="O1440" s="33" t="str">
        <f>IFERROR(VLOOKUP(E1440,Sales_Reps!$A:$C,3,FALSE),"")</f>
        <v>North</v>
      </c>
      <c r="P1440" s="33">
        <f>IFERROR(VLOOKUP(D1440,Products!$A:$D,4,FALSE),"")</f>
        <v>1149</v>
      </c>
      <c r="Q1440" s="33">
        <f t="shared" si="22"/>
        <v>0.56477272727272732</v>
      </c>
    </row>
    <row r="1441" spans="1:17" x14ac:dyDescent="0.3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  <c r="L1441" t="str">
        <f>IFERROR(VLOOKUP(D1441,Products!$A:$C,3,FALSE),"")</f>
        <v>Electronics</v>
      </c>
      <c r="M1441" t="str">
        <f>IFERROR(VLOOKUP(C1441,Customers!$A:$E,5,FALSE),"")</f>
        <v>SMB</v>
      </c>
      <c r="N1441">
        <f>IFERROR(VLOOKUP(C1441,Customers!$A:$E,3,FALSE),"")</f>
        <v>22</v>
      </c>
      <c r="O1441" s="33" t="str">
        <f>IFERROR(VLOOKUP(E1441,Sales_Reps!$A:$C,3,FALSE),"")</f>
        <v>South</v>
      </c>
      <c r="P1441" s="33">
        <f>IFERROR(VLOOKUP(D1441,Products!$A:$D,4,FALSE),"")</f>
        <v>1259</v>
      </c>
      <c r="Q1441" s="33">
        <f t="shared" si="22"/>
        <v>0.52669172932330832</v>
      </c>
    </row>
    <row r="1442" spans="1:17" x14ac:dyDescent="0.3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  <c r="L1442" t="str">
        <f>IFERROR(VLOOKUP(D1442,Products!$A:$C,3,FALSE),"")</f>
        <v>Home</v>
      </c>
      <c r="M1442" t="str">
        <f>IFERROR(VLOOKUP(C1442,Customers!$A:$E,5,FALSE),"")</f>
        <v>SMB</v>
      </c>
      <c r="N1442">
        <f>IFERROR(VLOOKUP(C1442,Customers!$A:$E,3,FALSE),"")</f>
        <v>53</v>
      </c>
      <c r="O1442" s="33" t="str">
        <f>IFERROR(VLOOKUP(E1442,Sales_Reps!$A:$C,3,FALSE),"")</f>
        <v>East</v>
      </c>
      <c r="P1442" s="33">
        <f>IFERROR(VLOOKUP(D1442,Products!$A:$D,4,FALSE),"")</f>
        <v>1556</v>
      </c>
      <c r="Q1442" s="33">
        <f t="shared" si="22"/>
        <v>0.52123076923076928</v>
      </c>
    </row>
    <row r="1443" spans="1:17" x14ac:dyDescent="0.3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  <c r="L1443" t="str">
        <f>IFERROR(VLOOKUP(D1443,Products!$A:$C,3,FALSE),"")</f>
        <v>Grocery</v>
      </c>
      <c r="M1443" t="str">
        <f>IFERROR(VLOOKUP(C1443,Customers!$A:$E,5,FALSE),"")</f>
        <v>Retail</v>
      </c>
      <c r="N1443">
        <f>IFERROR(VLOOKUP(C1443,Customers!$A:$E,3,FALSE),"")</f>
        <v>25</v>
      </c>
      <c r="O1443" s="33" t="str">
        <f>IFERROR(VLOOKUP(E1443,Sales_Reps!$A:$C,3,FALSE),"")</f>
        <v>North</v>
      </c>
      <c r="P1443" s="33">
        <f>IFERROR(VLOOKUP(D1443,Products!$A:$D,4,FALSE),"")</f>
        <v>1010</v>
      </c>
      <c r="Q1443" s="33">
        <f t="shared" si="22"/>
        <v>0.54298642533936647</v>
      </c>
    </row>
    <row r="1444" spans="1:17" x14ac:dyDescent="0.3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  <c r="L1444" t="str">
        <f>IFERROR(VLOOKUP(D1444,Products!$A:$C,3,FALSE),"")</f>
        <v>Home</v>
      </c>
      <c r="M1444" t="str">
        <f>IFERROR(VLOOKUP(C1444,Customers!$A:$E,5,FALSE),"")</f>
        <v>Retail</v>
      </c>
      <c r="N1444">
        <f>IFERROR(VLOOKUP(C1444,Customers!$A:$E,3,FALSE),"")</f>
        <v>57</v>
      </c>
      <c r="O1444" s="33" t="str">
        <f>IFERROR(VLOOKUP(E1444,Sales_Reps!$A:$C,3,FALSE),"")</f>
        <v>East</v>
      </c>
      <c r="P1444" s="33">
        <f>IFERROR(VLOOKUP(D1444,Products!$A:$D,4,FALSE),"")</f>
        <v>288</v>
      </c>
      <c r="Q1444" s="33">
        <f t="shared" si="22"/>
        <v>0.22162162162162163</v>
      </c>
    </row>
    <row r="1445" spans="1:17" x14ac:dyDescent="0.3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  <c r="L1445" t="str">
        <f>IFERROR(VLOOKUP(D1445,Products!$A:$C,3,FALSE),"")</f>
        <v>Sports</v>
      </c>
      <c r="M1445" t="str">
        <f>IFERROR(VLOOKUP(C1445,Customers!$A:$E,5,FALSE),"")</f>
        <v>Retail</v>
      </c>
      <c r="N1445">
        <f>IFERROR(VLOOKUP(C1445,Customers!$A:$E,3,FALSE),"")</f>
        <v>24</v>
      </c>
      <c r="O1445" s="33" t="str">
        <f>IFERROR(VLOOKUP(E1445,Sales_Reps!$A:$C,3,FALSE),"")</f>
        <v>East</v>
      </c>
      <c r="P1445" s="33">
        <f>IFERROR(VLOOKUP(D1445,Products!$A:$D,4,FALSE),"")</f>
        <v>1860</v>
      </c>
      <c r="Q1445" s="33">
        <f t="shared" si="22"/>
        <v>0.50793650793650791</v>
      </c>
    </row>
    <row r="1446" spans="1:17" x14ac:dyDescent="0.3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  <c r="L1446" t="str">
        <f>IFERROR(VLOOKUP(D1446,Products!$A:$C,3,FALSE),"")</f>
        <v>Sports</v>
      </c>
      <c r="M1446" t="str">
        <f>IFERROR(VLOOKUP(C1446,Customers!$A:$E,5,FALSE),"")</f>
        <v>Retail</v>
      </c>
      <c r="N1446">
        <f>IFERROR(VLOOKUP(C1446,Customers!$A:$E,3,FALSE),"")</f>
        <v>22</v>
      </c>
      <c r="O1446" s="33" t="str">
        <f>IFERROR(VLOOKUP(E1446,Sales_Reps!$A:$C,3,FALSE),"")</f>
        <v>North</v>
      </c>
      <c r="P1446" s="33">
        <f>IFERROR(VLOOKUP(D1446,Products!$A:$D,4,FALSE),"")</f>
        <v>516</v>
      </c>
      <c r="Q1446" s="33">
        <f t="shared" si="22"/>
        <v>0.4891089108910891</v>
      </c>
    </row>
    <row r="1447" spans="1:17" x14ac:dyDescent="0.3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  <c r="L1447" t="str">
        <f>IFERROR(VLOOKUP(D1447,Products!$A:$C,3,FALSE),"")</f>
        <v>Apparel</v>
      </c>
      <c r="M1447" t="str">
        <f>IFERROR(VLOOKUP(C1447,Customers!$A:$E,5,FALSE),"")</f>
        <v>Retail</v>
      </c>
      <c r="N1447">
        <f>IFERROR(VLOOKUP(C1447,Customers!$A:$E,3,FALSE),"")</f>
        <v>61</v>
      </c>
      <c r="O1447" s="33" t="str">
        <f>IFERROR(VLOOKUP(E1447,Sales_Reps!$A:$C,3,FALSE),"")</f>
        <v>South</v>
      </c>
      <c r="P1447" s="33">
        <f>IFERROR(VLOOKUP(D1447,Products!$A:$D,4,FALSE),"")</f>
        <v>391</v>
      </c>
      <c r="Q1447" s="33">
        <f t="shared" si="22"/>
        <v>0.52317073170731709</v>
      </c>
    </row>
    <row r="1448" spans="1:17" x14ac:dyDescent="0.3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  <c r="L1448" t="str">
        <f>IFERROR(VLOOKUP(D1448,Products!$A:$C,3,FALSE),"")</f>
        <v>Grocery</v>
      </c>
      <c r="M1448" t="str">
        <f>IFERROR(VLOOKUP(C1448,Customers!$A:$E,5,FALSE),"")</f>
        <v>SMB</v>
      </c>
      <c r="N1448">
        <f>IFERROR(VLOOKUP(C1448,Customers!$A:$E,3,FALSE),"")</f>
        <v>29</v>
      </c>
      <c r="O1448" s="33" t="str">
        <f>IFERROR(VLOOKUP(E1448,Sales_Reps!$A:$C,3,FALSE),"")</f>
        <v>South</v>
      </c>
      <c r="P1448" s="33">
        <f>IFERROR(VLOOKUP(D1448,Products!$A:$D,4,FALSE),"")</f>
        <v>2214</v>
      </c>
      <c r="Q1448" s="33">
        <f t="shared" si="22"/>
        <v>0.39508196721311473</v>
      </c>
    </row>
    <row r="1449" spans="1:17" x14ac:dyDescent="0.3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  <c r="L1449" t="str">
        <f>IFERROR(VLOOKUP(D1449,Products!$A:$C,3,FALSE),"")</f>
        <v>Grocery</v>
      </c>
      <c r="M1449" t="str">
        <f>IFERROR(VLOOKUP(C1449,Customers!$A:$E,5,FALSE),"")</f>
        <v>Retail</v>
      </c>
      <c r="N1449">
        <f>IFERROR(VLOOKUP(C1449,Customers!$A:$E,3,FALSE),"")</f>
        <v>37</v>
      </c>
      <c r="O1449" s="33" t="str">
        <f>IFERROR(VLOOKUP(E1449,Sales_Reps!$A:$C,3,FALSE),"")</f>
        <v>East</v>
      </c>
      <c r="P1449" s="33">
        <f>IFERROR(VLOOKUP(D1449,Products!$A:$D,4,FALSE),"")</f>
        <v>1412</v>
      </c>
      <c r="Q1449" s="33">
        <f t="shared" si="22"/>
        <v>0.37797356828193834</v>
      </c>
    </row>
    <row r="1450" spans="1:17" x14ac:dyDescent="0.3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  <c r="L1450" t="str">
        <f>IFERROR(VLOOKUP(D1450,Products!$A:$C,3,FALSE),"")</f>
        <v>Beauty</v>
      </c>
      <c r="M1450" t="str">
        <f>IFERROR(VLOOKUP(C1450,Customers!$A:$E,5,FALSE),"")</f>
        <v>Retail</v>
      </c>
      <c r="N1450">
        <f>IFERROR(VLOOKUP(C1450,Customers!$A:$E,3,FALSE),"")</f>
        <v>41</v>
      </c>
      <c r="O1450" s="33" t="str">
        <f>IFERROR(VLOOKUP(E1450,Sales_Reps!$A:$C,3,FALSE),"")</f>
        <v>East</v>
      </c>
      <c r="P1450" s="33">
        <f>IFERROR(VLOOKUP(D1450,Products!$A:$D,4,FALSE),"")</f>
        <v>675</v>
      </c>
      <c r="Q1450" s="33">
        <f t="shared" si="22"/>
        <v>0.296875</v>
      </c>
    </row>
    <row r="1451" spans="1:17" x14ac:dyDescent="0.3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  <c r="L1451" t="str">
        <f>IFERROR(VLOOKUP(D1451,Products!$A:$C,3,FALSE),"")</f>
        <v>Home</v>
      </c>
      <c r="M1451" t="str">
        <f>IFERROR(VLOOKUP(C1451,Customers!$A:$E,5,FALSE),"")</f>
        <v>SMB</v>
      </c>
      <c r="N1451">
        <f>IFERROR(VLOOKUP(C1451,Customers!$A:$E,3,FALSE),"")</f>
        <v>53</v>
      </c>
      <c r="O1451" s="33" t="str">
        <f>IFERROR(VLOOKUP(E1451,Sales_Reps!$A:$C,3,FALSE),"")</f>
        <v>West</v>
      </c>
      <c r="P1451" s="33">
        <f>IFERROR(VLOOKUP(D1451,Products!$A:$D,4,FALSE),"")</f>
        <v>1143</v>
      </c>
      <c r="Q1451" s="33">
        <f t="shared" si="22"/>
        <v>0.43694581280788175</v>
      </c>
    </row>
    <row r="1452" spans="1:17" x14ac:dyDescent="0.3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  <c r="L1452" t="str">
        <f>IFERROR(VLOOKUP(D1452,Products!$A:$C,3,FALSE),"")</f>
        <v>Grocery</v>
      </c>
      <c r="M1452" t="str">
        <f>IFERROR(VLOOKUP(C1452,Customers!$A:$E,5,FALSE),"")</f>
        <v>SMB</v>
      </c>
      <c r="N1452">
        <f>IFERROR(VLOOKUP(C1452,Customers!$A:$E,3,FALSE),"")</f>
        <v>49</v>
      </c>
      <c r="O1452" s="33" t="str">
        <f>IFERROR(VLOOKUP(E1452,Sales_Reps!$A:$C,3,FALSE),"")</f>
        <v>North</v>
      </c>
      <c r="P1452" s="33">
        <f>IFERROR(VLOOKUP(D1452,Products!$A:$D,4,FALSE),"")</f>
        <v>1182</v>
      </c>
      <c r="Q1452" s="33">
        <f t="shared" si="22"/>
        <v>0.50336134453781511</v>
      </c>
    </row>
    <row r="1453" spans="1:17" x14ac:dyDescent="0.3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  <c r="L1453" t="str">
        <f>IFERROR(VLOOKUP(D1453,Products!$A:$C,3,FALSE),"")</f>
        <v>Beauty</v>
      </c>
      <c r="M1453" t="str">
        <f>IFERROR(VLOOKUP(C1453,Customers!$A:$E,5,FALSE),"")</f>
        <v>SMB</v>
      </c>
      <c r="N1453">
        <f>IFERROR(VLOOKUP(C1453,Customers!$A:$E,3,FALSE),"")</f>
        <v>51</v>
      </c>
      <c r="O1453" s="33" t="str">
        <f>IFERROR(VLOOKUP(E1453,Sales_Reps!$A:$C,3,FALSE),"")</f>
        <v>South</v>
      </c>
      <c r="P1453" s="33">
        <f>IFERROR(VLOOKUP(D1453,Products!$A:$D,4,FALSE),"")</f>
        <v>2420</v>
      </c>
      <c r="Q1453" s="33">
        <f t="shared" si="22"/>
        <v>0.29855072463768118</v>
      </c>
    </row>
    <row r="1454" spans="1:17" x14ac:dyDescent="0.3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  <c r="L1454" t="str">
        <f>IFERROR(VLOOKUP(D1454,Products!$A:$C,3,FALSE),"")</f>
        <v>Beauty</v>
      </c>
      <c r="M1454" t="str">
        <f>IFERROR(VLOOKUP(C1454,Customers!$A:$E,5,FALSE),"")</f>
        <v>Retail</v>
      </c>
      <c r="N1454">
        <f>IFERROR(VLOOKUP(C1454,Customers!$A:$E,3,FALSE),"")</f>
        <v>53</v>
      </c>
      <c r="O1454" s="33" t="str">
        <f>IFERROR(VLOOKUP(E1454,Sales_Reps!$A:$C,3,FALSE),"")</f>
        <v>East</v>
      </c>
      <c r="P1454" s="33">
        <f>IFERROR(VLOOKUP(D1454,Products!$A:$D,4,FALSE),"")</f>
        <v>675</v>
      </c>
      <c r="Q1454" s="33">
        <f t="shared" si="22"/>
        <v>0.296875</v>
      </c>
    </row>
    <row r="1455" spans="1:17" x14ac:dyDescent="0.3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  <c r="L1455" t="str">
        <f>IFERROR(VLOOKUP(D1455,Products!$A:$C,3,FALSE),"")</f>
        <v>Apparel</v>
      </c>
      <c r="M1455" t="str">
        <f>IFERROR(VLOOKUP(C1455,Customers!$A:$E,5,FALSE),"")</f>
        <v>Retail</v>
      </c>
      <c r="N1455">
        <f>IFERROR(VLOOKUP(C1455,Customers!$A:$E,3,FALSE),"")</f>
        <v>63</v>
      </c>
      <c r="O1455" s="33" t="str">
        <f>IFERROR(VLOOKUP(E1455,Sales_Reps!$A:$C,3,FALSE),"")</f>
        <v>South</v>
      </c>
      <c r="P1455" s="33">
        <f>IFERROR(VLOOKUP(D1455,Products!$A:$D,4,FALSE),"")</f>
        <v>2629</v>
      </c>
      <c r="Q1455" s="33">
        <f t="shared" si="22"/>
        <v>0.26151685393258428</v>
      </c>
    </row>
    <row r="1456" spans="1:17" x14ac:dyDescent="0.3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  <c r="L1456" t="str">
        <f>IFERROR(VLOOKUP(D1456,Products!$A:$C,3,FALSE),"")</f>
        <v>Apparel</v>
      </c>
      <c r="M1456" t="str">
        <f>IFERROR(VLOOKUP(C1456,Customers!$A:$E,5,FALSE),"")</f>
        <v>Retail</v>
      </c>
      <c r="N1456">
        <f>IFERROR(VLOOKUP(C1456,Customers!$A:$E,3,FALSE),"")</f>
        <v>53</v>
      </c>
      <c r="O1456" s="33" t="str">
        <f>IFERROR(VLOOKUP(E1456,Sales_Reps!$A:$C,3,FALSE),"")</f>
        <v>South</v>
      </c>
      <c r="P1456" s="33">
        <f>IFERROR(VLOOKUP(D1456,Products!$A:$D,4,FALSE),"")</f>
        <v>1962</v>
      </c>
      <c r="Q1456" s="33">
        <f t="shared" si="22"/>
        <v>0.2786764705882353</v>
      </c>
    </row>
    <row r="1457" spans="1:17" x14ac:dyDescent="0.3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  <c r="L1457" t="str">
        <f>IFERROR(VLOOKUP(D1457,Products!$A:$C,3,FALSE),"")</f>
        <v>Electronics</v>
      </c>
      <c r="M1457" t="str">
        <f>IFERROR(VLOOKUP(C1457,Customers!$A:$E,5,FALSE),"")</f>
        <v>SMB</v>
      </c>
      <c r="N1457">
        <f>IFERROR(VLOOKUP(C1457,Customers!$A:$E,3,FALSE),"")</f>
        <v>29</v>
      </c>
      <c r="O1457" s="33" t="str">
        <f>IFERROR(VLOOKUP(E1457,Sales_Reps!$A:$C,3,FALSE),"")</f>
        <v>West</v>
      </c>
      <c r="P1457" s="33">
        <f>IFERROR(VLOOKUP(D1457,Products!$A:$D,4,FALSE),"")</f>
        <v>517</v>
      </c>
      <c r="Q1457" s="33">
        <f t="shared" si="22"/>
        <v>0.57622950819672136</v>
      </c>
    </row>
    <row r="1458" spans="1:17" x14ac:dyDescent="0.3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  <c r="L1458" t="str">
        <f>IFERROR(VLOOKUP(D1458,Products!$A:$C,3,FALSE),"")</f>
        <v>Home</v>
      </c>
      <c r="M1458" t="str">
        <f>IFERROR(VLOOKUP(C1458,Customers!$A:$E,5,FALSE),"")</f>
        <v>Retail</v>
      </c>
      <c r="N1458">
        <f>IFERROR(VLOOKUP(C1458,Customers!$A:$E,3,FALSE),"")</f>
        <v>27</v>
      </c>
      <c r="O1458" s="33" t="str">
        <f>IFERROR(VLOOKUP(E1458,Sales_Reps!$A:$C,3,FALSE),"")</f>
        <v>West</v>
      </c>
      <c r="P1458" s="33">
        <f>IFERROR(VLOOKUP(D1458,Products!$A:$D,4,FALSE),"")</f>
        <v>464</v>
      </c>
      <c r="Q1458" s="33">
        <f t="shared" si="22"/>
        <v>0.57431192660550456</v>
      </c>
    </row>
    <row r="1459" spans="1:17" x14ac:dyDescent="0.3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  <c r="L1459" t="str">
        <f>IFERROR(VLOOKUP(D1459,Products!$A:$C,3,FALSE),"")</f>
        <v>Home</v>
      </c>
      <c r="M1459" t="str">
        <f>IFERROR(VLOOKUP(C1459,Customers!$A:$E,5,FALSE),"")</f>
        <v>SMB</v>
      </c>
      <c r="N1459">
        <f>IFERROR(VLOOKUP(C1459,Customers!$A:$E,3,FALSE),"")</f>
        <v>54</v>
      </c>
      <c r="O1459" s="33" t="str">
        <f>IFERROR(VLOOKUP(E1459,Sales_Reps!$A:$C,3,FALSE),"")</f>
        <v>West</v>
      </c>
      <c r="P1459" s="33">
        <f>IFERROR(VLOOKUP(D1459,Products!$A:$D,4,FALSE),"")</f>
        <v>288</v>
      </c>
      <c r="Q1459" s="33">
        <f t="shared" si="22"/>
        <v>0.22162162162162163</v>
      </c>
    </row>
    <row r="1460" spans="1:17" x14ac:dyDescent="0.3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  <c r="L1460" t="str">
        <f>IFERROR(VLOOKUP(D1460,Products!$A:$C,3,FALSE),"")</f>
        <v>Sports</v>
      </c>
      <c r="M1460" t="str">
        <f>IFERROR(VLOOKUP(C1460,Customers!$A:$E,5,FALSE),"")</f>
        <v>SMB</v>
      </c>
      <c r="N1460">
        <f>IFERROR(VLOOKUP(C1460,Customers!$A:$E,3,FALSE),"")</f>
        <v>43</v>
      </c>
      <c r="O1460" s="33" t="str">
        <f>IFERROR(VLOOKUP(E1460,Sales_Reps!$A:$C,3,FALSE),"")</f>
        <v>North</v>
      </c>
      <c r="P1460" s="33">
        <f>IFERROR(VLOOKUP(D1460,Products!$A:$D,4,FALSE),"")</f>
        <v>2028</v>
      </c>
      <c r="Q1460" s="33">
        <f t="shared" si="22"/>
        <v>0.29090909090909089</v>
      </c>
    </row>
    <row r="1461" spans="1:17" x14ac:dyDescent="0.3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  <c r="L1461" t="str">
        <f>IFERROR(VLOOKUP(D1461,Products!$A:$C,3,FALSE),"")</f>
        <v>Grocery</v>
      </c>
      <c r="M1461" t="str">
        <f>IFERROR(VLOOKUP(C1461,Customers!$A:$E,5,FALSE),"")</f>
        <v>Corporate</v>
      </c>
      <c r="N1461">
        <f>IFERROR(VLOOKUP(C1461,Customers!$A:$E,3,FALSE),"")</f>
        <v>26</v>
      </c>
      <c r="O1461" s="33" t="str">
        <f>IFERROR(VLOOKUP(E1461,Sales_Reps!$A:$C,3,FALSE),"")</f>
        <v>West</v>
      </c>
      <c r="P1461" s="33">
        <f>IFERROR(VLOOKUP(D1461,Products!$A:$D,4,FALSE),"")</f>
        <v>1010</v>
      </c>
      <c r="Q1461" s="33">
        <f t="shared" si="22"/>
        <v>0.54298642533936647</v>
      </c>
    </row>
    <row r="1462" spans="1:17" x14ac:dyDescent="0.3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  <c r="L1462" t="str">
        <f>IFERROR(VLOOKUP(D1462,Products!$A:$C,3,FALSE),"")</f>
        <v>Grocery</v>
      </c>
      <c r="M1462" t="str">
        <f>IFERROR(VLOOKUP(C1462,Customers!$A:$E,5,FALSE),"")</f>
        <v>SMB</v>
      </c>
      <c r="N1462">
        <f>IFERROR(VLOOKUP(C1462,Customers!$A:$E,3,FALSE),"")</f>
        <v>24</v>
      </c>
      <c r="O1462" s="33" t="str">
        <f>IFERROR(VLOOKUP(E1462,Sales_Reps!$A:$C,3,FALSE),"")</f>
        <v>West</v>
      </c>
      <c r="P1462" s="33">
        <f>IFERROR(VLOOKUP(D1462,Products!$A:$D,4,FALSE),"")</f>
        <v>434</v>
      </c>
      <c r="Q1462" s="33">
        <f t="shared" si="22"/>
        <v>0.5525773195876289</v>
      </c>
    </row>
    <row r="1463" spans="1:17" x14ac:dyDescent="0.3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  <c r="L1463" t="str">
        <f>IFERROR(VLOOKUP(D1463,Products!$A:$C,3,FALSE),"")</f>
        <v>Apparel</v>
      </c>
      <c r="M1463" t="str">
        <f>IFERROR(VLOOKUP(C1463,Customers!$A:$E,5,FALSE),"")</f>
        <v>Retail</v>
      </c>
      <c r="N1463">
        <f>IFERROR(VLOOKUP(C1463,Customers!$A:$E,3,FALSE),"")</f>
        <v>27</v>
      </c>
      <c r="O1463" s="33" t="str">
        <f>IFERROR(VLOOKUP(E1463,Sales_Reps!$A:$C,3,FALSE),"")</f>
        <v>East</v>
      </c>
      <c r="P1463" s="33">
        <f>IFERROR(VLOOKUP(D1463,Products!$A:$D,4,FALSE),"")</f>
        <v>2629</v>
      </c>
      <c r="Q1463" s="33">
        <f t="shared" si="22"/>
        <v>0.26151685393258428</v>
      </c>
    </row>
    <row r="1464" spans="1:17" x14ac:dyDescent="0.3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  <c r="L1464" t="str">
        <f>IFERROR(VLOOKUP(D1464,Products!$A:$C,3,FALSE),"")</f>
        <v>Home</v>
      </c>
      <c r="M1464" t="str">
        <f>IFERROR(VLOOKUP(C1464,Customers!$A:$E,5,FALSE),"")</f>
        <v>Corporate</v>
      </c>
      <c r="N1464">
        <f>IFERROR(VLOOKUP(C1464,Customers!$A:$E,3,FALSE),"")</f>
        <v>56</v>
      </c>
      <c r="O1464" s="33" t="str">
        <f>IFERROR(VLOOKUP(E1464,Sales_Reps!$A:$C,3,FALSE),"")</f>
        <v>East</v>
      </c>
      <c r="P1464" s="33">
        <f>IFERROR(VLOOKUP(D1464,Products!$A:$D,4,FALSE),"")</f>
        <v>519</v>
      </c>
      <c r="Q1464" s="33">
        <f t="shared" si="22"/>
        <v>0.51944444444444449</v>
      </c>
    </row>
    <row r="1465" spans="1:17" x14ac:dyDescent="0.3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  <c r="L1465" t="str">
        <f>IFERROR(VLOOKUP(D1465,Products!$A:$C,3,FALSE),"")</f>
        <v>Electronics</v>
      </c>
      <c r="M1465" t="str">
        <f>IFERROR(VLOOKUP(C1465,Customers!$A:$E,5,FALSE),"")</f>
        <v>Retail</v>
      </c>
      <c r="N1465">
        <f>IFERROR(VLOOKUP(C1465,Customers!$A:$E,3,FALSE),"")</f>
        <v>59</v>
      </c>
      <c r="O1465" s="33" t="str">
        <f>IFERROR(VLOOKUP(E1465,Sales_Reps!$A:$C,3,FALSE),"")</f>
        <v>South</v>
      </c>
      <c r="P1465" s="33">
        <f>IFERROR(VLOOKUP(D1465,Products!$A:$D,4,FALSE),"")</f>
        <v>517</v>
      </c>
      <c r="Q1465" s="33">
        <f t="shared" si="22"/>
        <v>0.57622950819672136</v>
      </c>
    </row>
    <row r="1466" spans="1:17" x14ac:dyDescent="0.3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  <c r="L1466" t="str">
        <f>IFERROR(VLOOKUP(D1466,Products!$A:$C,3,FALSE),"")</f>
        <v>Home</v>
      </c>
      <c r="M1466" t="str">
        <f>IFERROR(VLOOKUP(C1466,Customers!$A:$E,5,FALSE),"")</f>
        <v/>
      </c>
      <c r="N1466" t="str">
        <f>IFERROR(VLOOKUP(C1466,Customers!$A:$E,3,FALSE),"")</f>
        <v/>
      </c>
      <c r="O1466" s="33" t="str">
        <f>IFERROR(VLOOKUP(E1466,Sales_Reps!$A:$C,3,FALSE),"")</f>
        <v>South</v>
      </c>
      <c r="P1466" s="33">
        <f>IFERROR(VLOOKUP(D1466,Products!$A:$D,4,FALSE),"")</f>
        <v>2135</v>
      </c>
      <c r="Q1466" s="33">
        <f t="shared" si="22"/>
        <v>0.42761394101876676</v>
      </c>
    </row>
    <row r="1467" spans="1:17" x14ac:dyDescent="0.3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  <c r="L1467" t="str">
        <f>IFERROR(VLOOKUP(D1467,Products!$A:$C,3,FALSE),"")</f>
        <v>Electronics</v>
      </c>
      <c r="M1467" t="str">
        <f>IFERROR(VLOOKUP(C1467,Customers!$A:$E,5,FALSE),"")</f>
        <v>SMB</v>
      </c>
      <c r="N1467">
        <f>IFERROR(VLOOKUP(C1467,Customers!$A:$E,3,FALSE),"")</f>
        <v>52</v>
      </c>
      <c r="O1467" s="33" t="str">
        <f>IFERROR(VLOOKUP(E1467,Sales_Reps!$A:$C,3,FALSE),"")</f>
        <v>North</v>
      </c>
      <c r="P1467" s="33">
        <f>IFERROR(VLOOKUP(D1467,Products!$A:$D,4,FALSE),"")</f>
        <v>861</v>
      </c>
      <c r="Q1467" s="33">
        <f t="shared" si="22"/>
        <v>0.39790209790209791</v>
      </c>
    </row>
    <row r="1468" spans="1:17" x14ac:dyDescent="0.3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  <c r="L1468" t="str">
        <f>IFERROR(VLOOKUP(D1468,Products!$A:$C,3,FALSE),"")</f>
        <v>Beauty</v>
      </c>
      <c r="M1468" t="str">
        <f>IFERROR(VLOOKUP(C1468,Customers!$A:$E,5,FALSE),"")</f>
        <v>Corporate</v>
      </c>
      <c r="N1468">
        <f>IFERROR(VLOOKUP(C1468,Customers!$A:$E,3,FALSE),"")</f>
        <v>56</v>
      </c>
      <c r="O1468" s="33" t="str">
        <f>IFERROR(VLOOKUP(E1468,Sales_Reps!$A:$C,3,FALSE),"")</f>
        <v>East</v>
      </c>
      <c r="P1468" s="33">
        <f>IFERROR(VLOOKUP(D1468,Products!$A:$D,4,FALSE),"")</f>
        <v>2617</v>
      </c>
      <c r="Q1468" s="33">
        <f t="shared" si="22"/>
        <v>0.56957236842105263</v>
      </c>
    </row>
    <row r="1469" spans="1:17" x14ac:dyDescent="0.3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  <c r="L1469" t="str">
        <f>IFERROR(VLOOKUP(D1469,Products!$A:$C,3,FALSE),"")</f>
        <v>Beauty</v>
      </c>
      <c r="M1469" t="str">
        <f>IFERROR(VLOOKUP(C1469,Customers!$A:$E,5,FALSE),"")</f>
        <v>Retail</v>
      </c>
      <c r="N1469">
        <f>IFERROR(VLOOKUP(C1469,Customers!$A:$E,3,FALSE),"")</f>
        <v>26</v>
      </c>
      <c r="O1469" s="33" t="str">
        <f>IFERROR(VLOOKUP(E1469,Sales_Reps!$A:$C,3,FALSE),"")</f>
        <v>South</v>
      </c>
      <c r="P1469" s="33">
        <f>IFERROR(VLOOKUP(D1469,Products!$A:$D,4,FALSE),"")</f>
        <v>2237</v>
      </c>
      <c r="Q1469" s="33">
        <f t="shared" si="22"/>
        <v>0.56137254901960787</v>
      </c>
    </row>
    <row r="1470" spans="1:17" x14ac:dyDescent="0.3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  <c r="L1470" t="str">
        <f>IFERROR(VLOOKUP(D1470,Products!$A:$C,3,FALSE),"")</f>
        <v>Apparel</v>
      </c>
      <c r="M1470" t="str">
        <f>IFERROR(VLOOKUP(C1470,Customers!$A:$E,5,FALSE),"")</f>
        <v>SMB</v>
      </c>
      <c r="N1470">
        <f>IFERROR(VLOOKUP(C1470,Customers!$A:$E,3,FALSE),"")</f>
        <v>43</v>
      </c>
      <c r="O1470" s="33" t="str">
        <f>IFERROR(VLOOKUP(E1470,Sales_Reps!$A:$C,3,FALSE),"")</f>
        <v>South</v>
      </c>
      <c r="P1470" s="33">
        <f>IFERROR(VLOOKUP(D1470,Products!$A:$D,4,FALSE),"")</f>
        <v>1748</v>
      </c>
      <c r="Q1470" s="33">
        <f t="shared" si="22"/>
        <v>0.49333333333333335</v>
      </c>
    </row>
    <row r="1471" spans="1:17" x14ac:dyDescent="0.3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  <c r="L1471" t="str">
        <f>IFERROR(VLOOKUP(D1471,Products!$A:$C,3,FALSE),"")</f>
        <v>Electronics</v>
      </c>
      <c r="M1471" t="str">
        <f>IFERROR(VLOOKUP(C1471,Customers!$A:$E,5,FALSE),"")</f>
        <v>Retail</v>
      </c>
      <c r="N1471">
        <f>IFERROR(VLOOKUP(C1471,Customers!$A:$E,3,FALSE),"")</f>
        <v>44</v>
      </c>
      <c r="O1471" s="33" t="str">
        <f>IFERROR(VLOOKUP(E1471,Sales_Reps!$A:$C,3,FALSE),"")</f>
        <v>North</v>
      </c>
      <c r="P1471" s="33">
        <f>IFERROR(VLOOKUP(D1471,Products!$A:$D,4,FALSE),"")</f>
        <v>1665</v>
      </c>
      <c r="Q1471" s="33">
        <f t="shared" si="22"/>
        <v>0.53361344537815125</v>
      </c>
    </row>
    <row r="1472" spans="1:17" x14ac:dyDescent="0.3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  <c r="L1472" t="str">
        <f>IFERROR(VLOOKUP(D1472,Products!$A:$C,3,FALSE),"")</f>
        <v>Home</v>
      </c>
      <c r="M1472" t="str">
        <f>IFERROR(VLOOKUP(C1472,Customers!$A:$E,5,FALSE),"")</f>
        <v>Retail</v>
      </c>
      <c r="N1472">
        <f>IFERROR(VLOOKUP(C1472,Customers!$A:$E,3,FALSE),"")</f>
        <v>38</v>
      </c>
      <c r="O1472" s="33" t="str">
        <f>IFERROR(VLOOKUP(E1472,Sales_Reps!$A:$C,3,FALSE),"")</f>
        <v>East</v>
      </c>
      <c r="P1472" s="33">
        <f>IFERROR(VLOOKUP(D1472,Products!$A:$D,4,FALSE),"")</f>
        <v>2135</v>
      </c>
      <c r="Q1472" s="33">
        <f t="shared" si="22"/>
        <v>0.42761394101876676</v>
      </c>
    </row>
    <row r="1473" spans="1:17" x14ac:dyDescent="0.3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  <c r="L1473" t="str">
        <f>IFERROR(VLOOKUP(D1473,Products!$A:$C,3,FALSE),"")</f>
        <v>Sports</v>
      </c>
      <c r="M1473" t="str">
        <f>IFERROR(VLOOKUP(C1473,Customers!$A:$E,5,FALSE),"")</f>
        <v>Corporate</v>
      </c>
      <c r="N1473">
        <f>IFERROR(VLOOKUP(C1473,Customers!$A:$E,3,FALSE),"")</f>
        <v>55</v>
      </c>
      <c r="O1473" s="33" t="str">
        <f>IFERROR(VLOOKUP(E1473,Sales_Reps!$A:$C,3,FALSE),"")</f>
        <v>East</v>
      </c>
      <c r="P1473" s="33">
        <f>IFERROR(VLOOKUP(D1473,Products!$A:$D,4,FALSE),"")</f>
        <v>1860</v>
      </c>
      <c r="Q1473" s="33">
        <f t="shared" si="22"/>
        <v>0.50793650793650791</v>
      </c>
    </row>
    <row r="1474" spans="1:17" x14ac:dyDescent="0.3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  <c r="L1474" t="str">
        <f>IFERROR(VLOOKUP(D1474,Products!$A:$C,3,FALSE),"")</f>
        <v>Apparel</v>
      </c>
      <c r="M1474" t="str">
        <f>IFERROR(VLOOKUP(C1474,Customers!$A:$E,5,FALSE),"")</f>
        <v>SMB</v>
      </c>
      <c r="N1474">
        <f>IFERROR(VLOOKUP(C1474,Customers!$A:$E,3,FALSE),"")</f>
        <v>42</v>
      </c>
      <c r="O1474" s="33" t="str">
        <f>IFERROR(VLOOKUP(E1474,Sales_Reps!$A:$C,3,FALSE),"")</f>
        <v>South</v>
      </c>
      <c r="P1474" s="33">
        <f>IFERROR(VLOOKUP(D1474,Products!$A:$D,4,FALSE),"")</f>
        <v>1075</v>
      </c>
      <c r="Q1474" s="33">
        <f t="shared" si="22"/>
        <v>0.57171314741035861</v>
      </c>
    </row>
    <row r="1475" spans="1:17" x14ac:dyDescent="0.3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  <c r="L1475" t="str">
        <f>IFERROR(VLOOKUP(D1475,Products!$A:$C,3,FALSE),"")</f>
        <v>Home</v>
      </c>
      <c r="M1475" t="str">
        <f>IFERROR(VLOOKUP(C1475,Customers!$A:$E,5,FALSE),"")</f>
        <v>Retail</v>
      </c>
      <c r="N1475">
        <f>IFERROR(VLOOKUP(C1475,Customers!$A:$E,3,FALSE),"")</f>
        <v>63</v>
      </c>
      <c r="O1475" s="33" t="str">
        <f>IFERROR(VLOOKUP(E1475,Sales_Reps!$A:$C,3,FALSE),"")</f>
        <v>North</v>
      </c>
      <c r="P1475" s="33">
        <f>IFERROR(VLOOKUP(D1475,Products!$A:$D,4,FALSE),"")</f>
        <v>329</v>
      </c>
      <c r="Q1475" s="33">
        <f t="shared" ref="Q1475:Q1538" si="23">IFERROR((G1475-P1475)/G1475,"")</f>
        <v>0.50151515151515147</v>
      </c>
    </row>
    <row r="1476" spans="1:17" x14ac:dyDescent="0.3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  <c r="L1476" t="str">
        <f>IFERROR(VLOOKUP(D1476,Products!$A:$C,3,FALSE),"")</f>
        <v>Apparel</v>
      </c>
      <c r="M1476" t="str">
        <f>IFERROR(VLOOKUP(C1476,Customers!$A:$E,5,FALSE),"")</f>
        <v>Retail</v>
      </c>
      <c r="N1476">
        <f>IFERROR(VLOOKUP(C1476,Customers!$A:$E,3,FALSE),"")</f>
        <v>33</v>
      </c>
      <c r="O1476" s="33" t="str">
        <f>IFERROR(VLOOKUP(E1476,Sales_Reps!$A:$C,3,FALSE),"")</f>
        <v>West</v>
      </c>
      <c r="P1476" s="33">
        <f>IFERROR(VLOOKUP(D1476,Products!$A:$D,4,FALSE),"")</f>
        <v>2611</v>
      </c>
      <c r="Q1476" s="33">
        <f t="shared" si="23"/>
        <v>0.28269230769230769</v>
      </c>
    </row>
    <row r="1477" spans="1:17" x14ac:dyDescent="0.3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  <c r="L1477" t="str">
        <f>IFERROR(VLOOKUP(D1477,Products!$A:$C,3,FALSE),"")</f>
        <v>Sports</v>
      </c>
      <c r="M1477" t="str">
        <f>IFERROR(VLOOKUP(C1477,Customers!$A:$E,5,FALSE),"")</f>
        <v>Corporate</v>
      </c>
      <c r="N1477">
        <f>IFERROR(VLOOKUP(C1477,Customers!$A:$E,3,FALSE),"")</f>
        <v>52</v>
      </c>
      <c r="O1477" s="33" t="str">
        <f>IFERROR(VLOOKUP(E1477,Sales_Reps!$A:$C,3,FALSE),"")</f>
        <v>East</v>
      </c>
      <c r="P1477" s="33">
        <f>IFERROR(VLOOKUP(D1477,Products!$A:$D,4,FALSE),"")</f>
        <v>2265</v>
      </c>
      <c r="Q1477" s="33">
        <f t="shared" si="23"/>
        <v>0.58133086876155271</v>
      </c>
    </row>
    <row r="1478" spans="1:17" x14ac:dyDescent="0.3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  <c r="L1478" t="str">
        <f>IFERROR(VLOOKUP(D1478,Products!$A:$C,3,FALSE),"")</f>
        <v>Sports</v>
      </c>
      <c r="M1478" t="str">
        <f>IFERROR(VLOOKUP(C1478,Customers!$A:$E,5,FALSE),"")</f>
        <v>Retail</v>
      </c>
      <c r="N1478">
        <f>IFERROR(VLOOKUP(C1478,Customers!$A:$E,3,FALSE),"")</f>
        <v>40</v>
      </c>
      <c r="O1478" s="33" t="str">
        <f>IFERROR(VLOOKUP(E1478,Sales_Reps!$A:$C,3,FALSE),"")</f>
        <v>North</v>
      </c>
      <c r="P1478" s="33">
        <f>IFERROR(VLOOKUP(D1478,Products!$A:$D,4,FALSE),"")</f>
        <v>974</v>
      </c>
      <c r="Q1478" s="33">
        <f t="shared" si="23"/>
        <v>0.59416666666666662</v>
      </c>
    </row>
    <row r="1479" spans="1:17" x14ac:dyDescent="0.3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  <c r="L1479" t="str">
        <f>IFERROR(VLOOKUP(D1479,Products!$A:$C,3,FALSE),"")</f>
        <v>Home</v>
      </c>
      <c r="M1479" t="str">
        <f>IFERROR(VLOOKUP(C1479,Customers!$A:$E,5,FALSE),"")</f>
        <v>Corporate</v>
      </c>
      <c r="N1479">
        <f>IFERROR(VLOOKUP(C1479,Customers!$A:$E,3,FALSE),"")</f>
        <v>35</v>
      </c>
      <c r="O1479" s="33" t="str">
        <f>IFERROR(VLOOKUP(E1479,Sales_Reps!$A:$C,3,FALSE),"")</f>
        <v>West</v>
      </c>
      <c r="P1479" s="33">
        <f>IFERROR(VLOOKUP(D1479,Products!$A:$D,4,FALSE),"")</f>
        <v>2549</v>
      </c>
      <c r="Q1479" s="33">
        <f t="shared" si="23"/>
        <v>0.53570127504553733</v>
      </c>
    </row>
    <row r="1480" spans="1:17" x14ac:dyDescent="0.3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  <c r="L1480" t="str">
        <f>IFERROR(VLOOKUP(D1480,Products!$A:$C,3,FALSE),"")</f>
        <v>Beauty</v>
      </c>
      <c r="M1480" t="str">
        <f>IFERROR(VLOOKUP(C1480,Customers!$A:$E,5,FALSE),"")</f>
        <v>Retail</v>
      </c>
      <c r="N1480">
        <f>IFERROR(VLOOKUP(C1480,Customers!$A:$E,3,FALSE),"")</f>
        <v>42</v>
      </c>
      <c r="O1480" s="33" t="str">
        <f>IFERROR(VLOOKUP(E1480,Sales_Reps!$A:$C,3,FALSE),"")</f>
        <v>South</v>
      </c>
      <c r="P1480" s="33">
        <f>IFERROR(VLOOKUP(D1480,Products!$A:$D,4,FALSE),"")</f>
        <v>647</v>
      </c>
      <c r="Q1480" s="33">
        <f t="shared" si="23"/>
        <v>0.57987012987012987</v>
      </c>
    </row>
    <row r="1481" spans="1:17" x14ac:dyDescent="0.3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  <c r="L1481" t="str">
        <f>IFERROR(VLOOKUP(D1481,Products!$A:$C,3,FALSE),"")</f>
        <v>Electronics</v>
      </c>
      <c r="M1481" t="str">
        <f>IFERROR(VLOOKUP(C1481,Customers!$A:$E,5,FALSE),"")</f>
        <v>Retail</v>
      </c>
      <c r="N1481">
        <f>IFERROR(VLOOKUP(C1481,Customers!$A:$E,3,FALSE),"")</f>
        <v>31</v>
      </c>
      <c r="O1481" s="33" t="str">
        <f>IFERROR(VLOOKUP(E1481,Sales_Reps!$A:$C,3,FALSE),"")</f>
        <v>North</v>
      </c>
      <c r="P1481" s="33">
        <f>IFERROR(VLOOKUP(D1481,Products!$A:$D,4,FALSE),"")</f>
        <v>2405</v>
      </c>
      <c r="Q1481" s="33">
        <f t="shared" si="23"/>
        <v>0.54878048780487809</v>
      </c>
    </row>
    <row r="1482" spans="1:17" x14ac:dyDescent="0.3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  <c r="L1482" t="str">
        <f>IFERROR(VLOOKUP(D1482,Products!$A:$C,3,FALSE),"")</f>
        <v>Sports</v>
      </c>
      <c r="M1482" t="str">
        <f>IFERROR(VLOOKUP(C1482,Customers!$A:$E,5,FALSE),"")</f>
        <v>Corporate</v>
      </c>
      <c r="N1482">
        <f>IFERROR(VLOOKUP(C1482,Customers!$A:$E,3,FALSE),"")</f>
        <v>60</v>
      </c>
      <c r="O1482" s="33" t="str">
        <f>IFERROR(VLOOKUP(E1482,Sales_Reps!$A:$C,3,FALSE),"")</f>
        <v>South</v>
      </c>
      <c r="P1482" s="33">
        <f>IFERROR(VLOOKUP(D1482,Products!$A:$D,4,FALSE),"")</f>
        <v>2028</v>
      </c>
      <c r="Q1482" s="33">
        <f t="shared" si="23"/>
        <v>0.29090909090909089</v>
      </c>
    </row>
    <row r="1483" spans="1:17" x14ac:dyDescent="0.3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  <c r="L1483" t="str">
        <f>IFERROR(VLOOKUP(D1483,Products!$A:$C,3,FALSE),"")</f>
        <v>Beauty</v>
      </c>
      <c r="M1483" t="str">
        <f>IFERROR(VLOOKUP(C1483,Customers!$A:$E,5,FALSE),"")</f>
        <v>Retail</v>
      </c>
      <c r="N1483">
        <f>IFERROR(VLOOKUP(C1483,Customers!$A:$E,3,FALSE),"")</f>
        <v>52</v>
      </c>
      <c r="O1483" s="33" t="str">
        <f>IFERROR(VLOOKUP(E1483,Sales_Reps!$A:$C,3,FALSE),"")</f>
        <v>North</v>
      </c>
      <c r="P1483" s="33">
        <f>IFERROR(VLOOKUP(D1483,Products!$A:$D,4,FALSE),"")</f>
        <v>2768</v>
      </c>
      <c r="Q1483" s="33">
        <f t="shared" si="23"/>
        <v>0.43278688524590164</v>
      </c>
    </row>
    <row r="1484" spans="1:17" x14ac:dyDescent="0.3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  <c r="L1484" t="str">
        <f>IFERROR(VLOOKUP(D1484,Products!$A:$C,3,FALSE),"")</f>
        <v>Apparel</v>
      </c>
      <c r="M1484" t="str">
        <f>IFERROR(VLOOKUP(C1484,Customers!$A:$E,5,FALSE),"")</f>
        <v>SMB</v>
      </c>
      <c r="N1484">
        <f>IFERROR(VLOOKUP(C1484,Customers!$A:$E,3,FALSE),"")</f>
        <v>59</v>
      </c>
      <c r="O1484" s="33" t="str">
        <f>IFERROR(VLOOKUP(E1484,Sales_Reps!$A:$C,3,FALSE),"")</f>
        <v>North</v>
      </c>
      <c r="P1484" s="33">
        <f>IFERROR(VLOOKUP(D1484,Products!$A:$D,4,FALSE),"")</f>
        <v>1075</v>
      </c>
      <c r="Q1484" s="33">
        <f t="shared" si="23"/>
        <v>0.57171314741035861</v>
      </c>
    </row>
    <row r="1485" spans="1:17" x14ac:dyDescent="0.3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  <c r="L1485" t="str">
        <f>IFERROR(VLOOKUP(D1485,Products!$A:$C,3,FALSE),"")</f>
        <v>Electronics</v>
      </c>
      <c r="M1485" t="str">
        <f>IFERROR(VLOOKUP(C1485,Customers!$A:$E,5,FALSE),"")</f>
        <v/>
      </c>
      <c r="N1485" t="str">
        <f>IFERROR(VLOOKUP(C1485,Customers!$A:$E,3,FALSE),"")</f>
        <v/>
      </c>
      <c r="O1485" s="33" t="str">
        <f>IFERROR(VLOOKUP(E1485,Sales_Reps!$A:$C,3,FALSE),"")</f>
        <v>East</v>
      </c>
      <c r="P1485" s="33">
        <f>IFERROR(VLOOKUP(D1485,Products!$A:$D,4,FALSE),"")</f>
        <v>2865</v>
      </c>
      <c r="Q1485" s="33">
        <f t="shared" si="23"/>
        <v>0.27833753148614609</v>
      </c>
    </row>
    <row r="1486" spans="1:17" x14ac:dyDescent="0.3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  <c r="L1486" t="str">
        <f>IFERROR(VLOOKUP(D1486,Products!$A:$C,3,FALSE),"")</f>
        <v>Sports</v>
      </c>
      <c r="M1486" t="str">
        <f>IFERROR(VLOOKUP(C1486,Customers!$A:$E,5,FALSE),"")</f>
        <v>Retail</v>
      </c>
      <c r="N1486">
        <f>IFERROR(VLOOKUP(C1486,Customers!$A:$E,3,FALSE),"")</f>
        <v>44</v>
      </c>
      <c r="O1486" s="33" t="str">
        <f>IFERROR(VLOOKUP(E1486,Sales_Reps!$A:$C,3,FALSE),"")</f>
        <v>West</v>
      </c>
      <c r="P1486" s="33">
        <f>IFERROR(VLOOKUP(D1486,Products!$A:$D,4,FALSE),"")</f>
        <v>302</v>
      </c>
      <c r="Q1486" s="33">
        <f t="shared" si="23"/>
        <v>0.35744680851063831</v>
      </c>
    </row>
    <row r="1487" spans="1:17" x14ac:dyDescent="0.3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  <c r="L1487" t="str">
        <f>IFERROR(VLOOKUP(D1487,Products!$A:$C,3,FALSE),"")</f>
        <v>Electronics</v>
      </c>
      <c r="M1487" t="str">
        <f>IFERROR(VLOOKUP(C1487,Customers!$A:$E,5,FALSE),"")</f>
        <v>Retail</v>
      </c>
      <c r="N1487">
        <f>IFERROR(VLOOKUP(C1487,Customers!$A:$E,3,FALSE),"")</f>
        <v>29</v>
      </c>
      <c r="O1487" s="33" t="str">
        <f>IFERROR(VLOOKUP(E1487,Sales_Reps!$A:$C,3,FALSE),"")</f>
        <v>West</v>
      </c>
      <c r="P1487" s="33">
        <f>IFERROR(VLOOKUP(D1487,Products!$A:$D,4,FALSE),"")</f>
        <v>2405</v>
      </c>
      <c r="Q1487" s="33">
        <f t="shared" si="23"/>
        <v>0.54878048780487809</v>
      </c>
    </row>
    <row r="1488" spans="1:17" x14ac:dyDescent="0.3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  <c r="L1488" t="str">
        <f>IFERROR(VLOOKUP(D1488,Products!$A:$C,3,FALSE),"")</f>
        <v>Home</v>
      </c>
      <c r="M1488" t="str">
        <f>IFERROR(VLOOKUP(C1488,Customers!$A:$E,5,FALSE),"")</f>
        <v>SMB</v>
      </c>
      <c r="N1488">
        <f>IFERROR(VLOOKUP(C1488,Customers!$A:$E,3,FALSE),"")</f>
        <v>46</v>
      </c>
      <c r="O1488" s="33" t="str">
        <f>IFERROR(VLOOKUP(E1488,Sales_Reps!$A:$C,3,FALSE),"")</f>
        <v>South</v>
      </c>
      <c r="P1488" s="33">
        <f>IFERROR(VLOOKUP(D1488,Products!$A:$D,4,FALSE),"")</f>
        <v>464</v>
      </c>
      <c r="Q1488" s="33">
        <f t="shared" si="23"/>
        <v>0.57431192660550456</v>
      </c>
    </row>
    <row r="1489" spans="1:17" x14ac:dyDescent="0.3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  <c r="L1489" t="str">
        <f>IFERROR(VLOOKUP(D1489,Products!$A:$C,3,FALSE),"")</f>
        <v>Sports</v>
      </c>
      <c r="M1489" t="str">
        <f>IFERROR(VLOOKUP(C1489,Customers!$A:$E,5,FALSE),"")</f>
        <v>SMB</v>
      </c>
      <c r="N1489">
        <f>IFERROR(VLOOKUP(C1489,Customers!$A:$E,3,FALSE),"")</f>
        <v>30</v>
      </c>
      <c r="O1489" s="33" t="str">
        <f>IFERROR(VLOOKUP(E1489,Sales_Reps!$A:$C,3,FALSE),"")</f>
        <v>South</v>
      </c>
      <c r="P1489" s="33">
        <f>IFERROR(VLOOKUP(D1489,Products!$A:$D,4,FALSE),"")</f>
        <v>516</v>
      </c>
      <c r="Q1489" s="33">
        <f t="shared" si="23"/>
        <v>0.4891089108910891</v>
      </c>
    </row>
    <row r="1490" spans="1:17" x14ac:dyDescent="0.3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  <c r="L1490" t="str">
        <f>IFERROR(VLOOKUP(D1490,Products!$A:$C,3,FALSE),"")</f>
        <v>Electronics</v>
      </c>
      <c r="M1490" t="str">
        <f>IFERROR(VLOOKUP(C1490,Customers!$A:$E,5,FALSE),"")</f>
        <v>Corporate</v>
      </c>
      <c r="N1490">
        <f>IFERROR(VLOOKUP(C1490,Customers!$A:$E,3,FALSE),"")</f>
        <v>40</v>
      </c>
      <c r="O1490" s="33" t="str">
        <f>IFERROR(VLOOKUP(E1490,Sales_Reps!$A:$C,3,FALSE),"")</f>
        <v>South</v>
      </c>
      <c r="P1490" s="33">
        <f>IFERROR(VLOOKUP(D1490,Products!$A:$D,4,FALSE),"")</f>
        <v>1559</v>
      </c>
      <c r="Q1490" s="33">
        <f t="shared" si="23"/>
        <v>0.59715762273901807</v>
      </c>
    </row>
    <row r="1491" spans="1:17" x14ac:dyDescent="0.3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  <c r="L1491" t="str">
        <f>IFERROR(VLOOKUP(D1491,Products!$A:$C,3,FALSE),"")</f>
        <v>Electronics</v>
      </c>
      <c r="M1491" t="str">
        <f>IFERROR(VLOOKUP(C1491,Customers!$A:$E,5,FALSE),"")</f>
        <v>Retail</v>
      </c>
      <c r="N1491">
        <f>IFERROR(VLOOKUP(C1491,Customers!$A:$E,3,FALSE),"")</f>
        <v>41</v>
      </c>
      <c r="O1491" s="33" t="str">
        <f>IFERROR(VLOOKUP(E1491,Sales_Reps!$A:$C,3,FALSE),"")</f>
        <v>South</v>
      </c>
      <c r="P1491" s="33">
        <f>IFERROR(VLOOKUP(D1491,Products!$A:$D,4,FALSE),"")</f>
        <v>1259</v>
      </c>
      <c r="Q1491" s="33">
        <f t="shared" si="23"/>
        <v>0.52669172932330832</v>
      </c>
    </row>
    <row r="1492" spans="1:17" x14ac:dyDescent="0.3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  <c r="L1492" t="str">
        <f>IFERROR(VLOOKUP(D1492,Products!$A:$C,3,FALSE),"")</f>
        <v>Electronics</v>
      </c>
      <c r="M1492" t="str">
        <f>IFERROR(VLOOKUP(C1492,Customers!$A:$E,5,FALSE),"")</f>
        <v>Corporate</v>
      </c>
      <c r="N1492">
        <f>IFERROR(VLOOKUP(C1492,Customers!$A:$E,3,FALSE),"")</f>
        <v>55</v>
      </c>
      <c r="O1492" s="33" t="str">
        <f>IFERROR(VLOOKUP(E1492,Sales_Reps!$A:$C,3,FALSE),"")</f>
        <v>East</v>
      </c>
      <c r="P1492" s="33">
        <f>IFERROR(VLOOKUP(D1492,Products!$A:$D,4,FALSE),"")</f>
        <v>861</v>
      </c>
      <c r="Q1492" s="33">
        <f t="shared" si="23"/>
        <v>0.39790209790209791</v>
      </c>
    </row>
    <row r="1493" spans="1:17" x14ac:dyDescent="0.3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  <c r="L1493" t="str">
        <f>IFERROR(VLOOKUP(D1493,Products!$A:$C,3,FALSE),"")</f>
        <v>Beauty</v>
      </c>
      <c r="M1493" t="str">
        <f>IFERROR(VLOOKUP(C1493,Customers!$A:$E,5,FALSE),"")</f>
        <v>Corporate</v>
      </c>
      <c r="N1493">
        <f>IFERROR(VLOOKUP(C1493,Customers!$A:$E,3,FALSE),"")</f>
        <v>36</v>
      </c>
      <c r="O1493" s="33" t="str">
        <f>IFERROR(VLOOKUP(E1493,Sales_Reps!$A:$C,3,FALSE),"")</f>
        <v>East</v>
      </c>
      <c r="P1493" s="33">
        <f>IFERROR(VLOOKUP(D1493,Products!$A:$D,4,FALSE),"")</f>
        <v>2768</v>
      </c>
      <c r="Q1493" s="33">
        <f t="shared" si="23"/>
        <v>0.43278688524590164</v>
      </c>
    </row>
    <row r="1494" spans="1:17" x14ac:dyDescent="0.3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  <c r="L1494" t="str">
        <f>IFERROR(VLOOKUP(D1494,Products!$A:$C,3,FALSE),"")</f>
        <v>Sports</v>
      </c>
      <c r="M1494" t="str">
        <f>IFERROR(VLOOKUP(C1494,Customers!$A:$E,5,FALSE),"")</f>
        <v>Retail</v>
      </c>
      <c r="N1494">
        <f>IFERROR(VLOOKUP(C1494,Customers!$A:$E,3,FALSE),"")</f>
        <v>55</v>
      </c>
      <c r="O1494" s="33" t="str">
        <f>IFERROR(VLOOKUP(E1494,Sales_Reps!$A:$C,3,FALSE),"")</f>
        <v>North</v>
      </c>
      <c r="P1494" s="33">
        <f>IFERROR(VLOOKUP(D1494,Products!$A:$D,4,FALSE),"")</f>
        <v>147</v>
      </c>
      <c r="Q1494" s="33">
        <f t="shared" si="23"/>
        <v>0.22631578947368422</v>
      </c>
    </row>
    <row r="1495" spans="1:17" x14ac:dyDescent="0.3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  <c r="L1495" t="str">
        <f>IFERROR(VLOOKUP(D1495,Products!$A:$C,3,FALSE),"")</f>
        <v>Beauty</v>
      </c>
      <c r="M1495" t="str">
        <f>IFERROR(VLOOKUP(C1495,Customers!$A:$E,5,FALSE),"")</f>
        <v>Corporate</v>
      </c>
      <c r="N1495">
        <f>IFERROR(VLOOKUP(C1495,Customers!$A:$E,3,FALSE),"")</f>
        <v>31</v>
      </c>
      <c r="O1495" s="33" t="str">
        <f>IFERROR(VLOOKUP(E1495,Sales_Reps!$A:$C,3,FALSE),"")</f>
        <v>East</v>
      </c>
      <c r="P1495" s="33">
        <f>IFERROR(VLOOKUP(D1495,Products!$A:$D,4,FALSE),"")</f>
        <v>1626</v>
      </c>
      <c r="Q1495" s="33">
        <f t="shared" si="23"/>
        <v>0.46158940397350995</v>
      </c>
    </row>
    <row r="1496" spans="1:17" x14ac:dyDescent="0.3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  <c r="L1496" t="str">
        <f>IFERROR(VLOOKUP(D1496,Products!$A:$C,3,FALSE),"")</f>
        <v>Beauty</v>
      </c>
      <c r="M1496" t="str">
        <f>IFERROR(VLOOKUP(C1496,Customers!$A:$E,5,FALSE),"")</f>
        <v>Corporate</v>
      </c>
      <c r="N1496">
        <f>IFERROR(VLOOKUP(C1496,Customers!$A:$E,3,FALSE),"")</f>
        <v>57</v>
      </c>
      <c r="O1496" s="33" t="str">
        <f>IFERROR(VLOOKUP(E1496,Sales_Reps!$A:$C,3,FALSE),"")</f>
        <v>East</v>
      </c>
      <c r="P1496" s="33">
        <f>IFERROR(VLOOKUP(D1496,Products!$A:$D,4,FALSE),"")</f>
        <v>2768</v>
      </c>
      <c r="Q1496" s="33">
        <f t="shared" si="23"/>
        <v>0.43278688524590164</v>
      </c>
    </row>
    <row r="1497" spans="1:17" x14ac:dyDescent="0.3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  <c r="L1497" t="str">
        <f>IFERROR(VLOOKUP(D1497,Products!$A:$C,3,FALSE),"")</f>
        <v>Sports</v>
      </c>
      <c r="M1497" t="str">
        <f>IFERROR(VLOOKUP(C1497,Customers!$A:$E,5,FALSE),"")</f>
        <v>Corporate</v>
      </c>
      <c r="N1497">
        <f>IFERROR(VLOOKUP(C1497,Customers!$A:$E,3,FALSE),"")</f>
        <v>41</v>
      </c>
      <c r="O1497" s="33" t="str">
        <f>IFERROR(VLOOKUP(E1497,Sales_Reps!$A:$C,3,FALSE),"")</f>
        <v>West</v>
      </c>
      <c r="P1497" s="33">
        <f>IFERROR(VLOOKUP(D1497,Products!$A:$D,4,FALSE),"")</f>
        <v>974</v>
      </c>
      <c r="Q1497" s="33">
        <f t="shared" si="23"/>
        <v>0.59416666666666662</v>
      </c>
    </row>
    <row r="1498" spans="1:17" x14ac:dyDescent="0.3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  <c r="L1498" t="str">
        <f>IFERROR(VLOOKUP(D1498,Products!$A:$C,3,FALSE),"")</f>
        <v>Beauty</v>
      </c>
      <c r="M1498" t="str">
        <f>IFERROR(VLOOKUP(C1498,Customers!$A:$E,5,FALSE),"")</f>
        <v>Retail</v>
      </c>
      <c r="N1498">
        <f>IFERROR(VLOOKUP(C1498,Customers!$A:$E,3,FALSE),"")</f>
        <v>65</v>
      </c>
      <c r="O1498" s="33" t="str">
        <f>IFERROR(VLOOKUP(E1498,Sales_Reps!$A:$C,3,FALSE),"")</f>
        <v>North</v>
      </c>
      <c r="P1498" s="33">
        <f>IFERROR(VLOOKUP(D1498,Products!$A:$D,4,FALSE),"")</f>
        <v>2617</v>
      </c>
      <c r="Q1498" s="33">
        <f t="shared" si="23"/>
        <v>0.56957236842105263</v>
      </c>
    </row>
    <row r="1499" spans="1:17" x14ac:dyDescent="0.3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  <c r="L1499" t="str">
        <f>IFERROR(VLOOKUP(D1499,Products!$A:$C,3,FALSE),"")</f>
        <v>Grocery</v>
      </c>
      <c r="M1499" t="str">
        <f>IFERROR(VLOOKUP(C1499,Customers!$A:$E,5,FALSE),"")</f>
        <v>Retail</v>
      </c>
      <c r="N1499">
        <f>IFERROR(VLOOKUP(C1499,Customers!$A:$E,3,FALSE),"")</f>
        <v>32</v>
      </c>
      <c r="O1499" s="33" t="str">
        <f>IFERROR(VLOOKUP(E1499,Sales_Reps!$A:$C,3,FALSE),"")</f>
        <v>East</v>
      </c>
      <c r="P1499" s="33">
        <f>IFERROR(VLOOKUP(D1499,Products!$A:$D,4,FALSE),"")</f>
        <v>1182</v>
      </c>
      <c r="Q1499" s="33">
        <f t="shared" si="23"/>
        <v>0.50336134453781511</v>
      </c>
    </row>
    <row r="1500" spans="1:17" x14ac:dyDescent="0.3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  <c r="L1500" t="str">
        <f>IFERROR(VLOOKUP(D1500,Products!$A:$C,3,FALSE),"")</f>
        <v>Beauty</v>
      </c>
      <c r="M1500" t="str">
        <f>IFERROR(VLOOKUP(C1500,Customers!$A:$E,5,FALSE),"")</f>
        <v>SMB</v>
      </c>
      <c r="N1500">
        <f>IFERROR(VLOOKUP(C1500,Customers!$A:$E,3,FALSE),"")</f>
        <v>62</v>
      </c>
      <c r="O1500" s="33" t="str">
        <f>IFERROR(VLOOKUP(E1500,Sales_Reps!$A:$C,3,FALSE),"")</f>
        <v>North</v>
      </c>
      <c r="P1500" s="33">
        <f>IFERROR(VLOOKUP(D1500,Products!$A:$D,4,FALSE),"")</f>
        <v>647</v>
      </c>
      <c r="Q1500" s="33">
        <f t="shared" si="23"/>
        <v>0.57987012987012987</v>
      </c>
    </row>
    <row r="1501" spans="1:17" x14ac:dyDescent="0.3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  <c r="L1501" t="str">
        <f>IFERROR(VLOOKUP(D1501,Products!$A:$C,3,FALSE),"")</f>
        <v>Electronics</v>
      </c>
      <c r="M1501" t="str">
        <f>IFERROR(VLOOKUP(C1501,Customers!$A:$E,5,FALSE),"")</f>
        <v>Retail</v>
      </c>
      <c r="N1501">
        <f>IFERROR(VLOOKUP(C1501,Customers!$A:$E,3,FALSE),"")</f>
        <v>49</v>
      </c>
      <c r="O1501" s="33" t="str">
        <f>IFERROR(VLOOKUP(E1501,Sales_Reps!$A:$C,3,FALSE),"")</f>
        <v>West</v>
      </c>
      <c r="P1501" s="33">
        <f>IFERROR(VLOOKUP(D1501,Products!$A:$D,4,FALSE),"")</f>
        <v>1559</v>
      </c>
      <c r="Q1501" s="33">
        <f t="shared" si="23"/>
        <v>0.59715762273901807</v>
      </c>
    </row>
    <row r="1502" spans="1:17" x14ac:dyDescent="0.3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  <c r="L1502" t="str">
        <f>IFERROR(VLOOKUP(D1502,Products!$A:$C,3,FALSE),"")</f>
        <v>Home</v>
      </c>
      <c r="M1502" t="str">
        <f>IFERROR(VLOOKUP(C1502,Customers!$A:$E,5,FALSE),"")</f>
        <v>Corporate</v>
      </c>
      <c r="N1502">
        <f>IFERROR(VLOOKUP(C1502,Customers!$A:$E,3,FALSE),"")</f>
        <v>40</v>
      </c>
      <c r="O1502" s="33" t="str">
        <f>IFERROR(VLOOKUP(E1502,Sales_Reps!$A:$C,3,FALSE),"")</f>
        <v>East</v>
      </c>
      <c r="P1502" s="33">
        <f>IFERROR(VLOOKUP(D1502,Products!$A:$D,4,FALSE),"")</f>
        <v>288</v>
      </c>
      <c r="Q1502" s="33">
        <f t="shared" si="23"/>
        <v>0.22162162162162163</v>
      </c>
    </row>
    <row r="1503" spans="1:17" x14ac:dyDescent="0.3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  <c r="L1503" t="str">
        <f>IFERROR(VLOOKUP(D1503,Products!$A:$C,3,FALSE),"")</f>
        <v>Sports</v>
      </c>
      <c r="M1503" t="str">
        <f>IFERROR(VLOOKUP(C1503,Customers!$A:$E,5,FALSE),"")</f>
        <v>Retail</v>
      </c>
      <c r="N1503">
        <f>IFERROR(VLOOKUP(C1503,Customers!$A:$E,3,FALSE),"")</f>
        <v>42</v>
      </c>
      <c r="O1503" s="33" t="str">
        <f>IFERROR(VLOOKUP(E1503,Sales_Reps!$A:$C,3,FALSE),"")</f>
        <v>West</v>
      </c>
      <c r="P1503" s="33">
        <f>IFERROR(VLOOKUP(D1503,Products!$A:$D,4,FALSE),"")</f>
        <v>147</v>
      </c>
      <c r="Q1503" s="33">
        <f t="shared" si="23"/>
        <v>0.22631578947368422</v>
      </c>
    </row>
    <row r="1504" spans="1:17" x14ac:dyDescent="0.3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  <c r="L1504" t="str">
        <f>IFERROR(VLOOKUP(D1504,Products!$A:$C,3,FALSE),"")</f>
        <v>Electronics</v>
      </c>
      <c r="M1504" t="str">
        <f>IFERROR(VLOOKUP(C1504,Customers!$A:$E,5,FALSE),"")</f>
        <v>Retail</v>
      </c>
      <c r="N1504">
        <f>IFERROR(VLOOKUP(C1504,Customers!$A:$E,3,FALSE),"")</f>
        <v>39</v>
      </c>
      <c r="O1504" s="33" t="str">
        <f>IFERROR(VLOOKUP(E1504,Sales_Reps!$A:$C,3,FALSE),"")</f>
        <v>South</v>
      </c>
      <c r="P1504" s="33">
        <f>IFERROR(VLOOKUP(D1504,Products!$A:$D,4,FALSE),"")</f>
        <v>861</v>
      </c>
      <c r="Q1504" s="33">
        <f t="shared" si="23"/>
        <v>0.39790209790209791</v>
      </c>
    </row>
    <row r="1505" spans="1:17" x14ac:dyDescent="0.3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  <c r="L1505" t="str">
        <f>IFERROR(VLOOKUP(D1505,Products!$A:$C,3,FALSE),"")</f>
        <v>Sports</v>
      </c>
      <c r="M1505" t="str">
        <f>IFERROR(VLOOKUP(C1505,Customers!$A:$E,5,FALSE),"")</f>
        <v>Corporate</v>
      </c>
      <c r="N1505">
        <f>IFERROR(VLOOKUP(C1505,Customers!$A:$E,3,FALSE),"")</f>
        <v>35</v>
      </c>
      <c r="O1505" s="33" t="str">
        <f>IFERROR(VLOOKUP(E1505,Sales_Reps!$A:$C,3,FALSE),"")</f>
        <v>East</v>
      </c>
      <c r="P1505" s="33">
        <f>IFERROR(VLOOKUP(D1505,Products!$A:$D,4,FALSE),"")</f>
        <v>302</v>
      </c>
      <c r="Q1505" s="33">
        <f t="shared" si="23"/>
        <v>0.35744680851063831</v>
      </c>
    </row>
    <row r="1506" spans="1:17" x14ac:dyDescent="0.3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  <c r="L1506" t="str">
        <f>IFERROR(VLOOKUP(D1506,Products!$A:$C,3,FALSE),"")</f>
        <v>Apparel</v>
      </c>
      <c r="M1506" t="str">
        <f>IFERROR(VLOOKUP(C1506,Customers!$A:$E,5,FALSE),"")</f>
        <v>Retail</v>
      </c>
      <c r="N1506">
        <f>IFERROR(VLOOKUP(C1506,Customers!$A:$E,3,FALSE),"")</f>
        <v>49</v>
      </c>
      <c r="O1506" s="33" t="str">
        <f>IFERROR(VLOOKUP(E1506,Sales_Reps!$A:$C,3,FALSE),"")</f>
        <v>North</v>
      </c>
      <c r="P1506" s="33">
        <f>IFERROR(VLOOKUP(D1506,Products!$A:$D,4,FALSE),"")</f>
        <v>2629</v>
      </c>
      <c r="Q1506" s="33">
        <f t="shared" si="23"/>
        <v>0.26151685393258428</v>
      </c>
    </row>
    <row r="1507" spans="1:17" x14ac:dyDescent="0.3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  <c r="L1507" t="str">
        <f>IFERROR(VLOOKUP(D1507,Products!$A:$C,3,FALSE),"")</f>
        <v>Beauty</v>
      </c>
      <c r="M1507" t="str">
        <f>IFERROR(VLOOKUP(C1507,Customers!$A:$E,5,FALSE),"")</f>
        <v>Retail</v>
      </c>
      <c r="N1507">
        <f>IFERROR(VLOOKUP(C1507,Customers!$A:$E,3,FALSE),"")</f>
        <v>49</v>
      </c>
      <c r="O1507" s="33" t="str">
        <f>IFERROR(VLOOKUP(E1507,Sales_Reps!$A:$C,3,FALSE),"")</f>
        <v>South</v>
      </c>
      <c r="P1507" s="33">
        <f>IFERROR(VLOOKUP(D1507,Products!$A:$D,4,FALSE),"")</f>
        <v>2768</v>
      </c>
      <c r="Q1507" s="33">
        <f t="shared" si="23"/>
        <v>0.43278688524590164</v>
      </c>
    </row>
    <row r="1508" spans="1:17" x14ac:dyDescent="0.3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  <c r="L1508" t="str">
        <f>IFERROR(VLOOKUP(D1508,Products!$A:$C,3,FALSE),"")</f>
        <v>Electronics</v>
      </c>
      <c r="M1508" t="str">
        <f>IFERROR(VLOOKUP(C1508,Customers!$A:$E,5,FALSE),"")</f>
        <v>Retail</v>
      </c>
      <c r="N1508">
        <f>IFERROR(VLOOKUP(C1508,Customers!$A:$E,3,FALSE),"")</f>
        <v>26</v>
      </c>
      <c r="O1508" s="33" t="str">
        <f>IFERROR(VLOOKUP(E1508,Sales_Reps!$A:$C,3,FALSE),"")</f>
        <v>South</v>
      </c>
      <c r="P1508" s="33">
        <f>IFERROR(VLOOKUP(D1508,Products!$A:$D,4,FALSE),"")</f>
        <v>1665</v>
      </c>
      <c r="Q1508" s="33">
        <f t="shared" si="23"/>
        <v>0.53361344537815125</v>
      </c>
    </row>
    <row r="1509" spans="1:17" x14ac:dyDescent="0.3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  <c r="L1509" t="str">
        <f>IFERROR(VLOOKUP(D1509,Products!$A:$C,3,FALSE),"")</f>
        <v>Sports</v>
      </c>
      <c r="M1509" t="str">
        <f>IFERROR(VLOOKUP(C1509,Customers!$A:$E,5,FALSE),"")</f>
        <v>Retail</v>
      </c>
      <c r="N1509">
        <f>IFERROR(VLOOKUP(C1509,Customers!$A:$E,3,FALSE),"")</f>
        <v>34</v>
      </c>
      <c r="O1509" s="33" t="str">
        <f>IFERROR(VLOOKUP(E1509,Sales_Reps!$A:$C,3,FALSE),"")</f>
        <v>West</v>
      </c>
      <c r="P1509" s="33">
        <f>IFERROR(VLOOKUP(D1509,Products!$A:$D,4,FALSE),"")</f>
        <v>2467</v>
      </c>
      <c r="Q1509" s="33">
        <f t="shared" si="23"/>
        <v>0.28492753623188405</v>
      </c>
    </row>
    <row r="1510" spans="1:17" x14ac:dyDescent="0.3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  <c r="L1510" t="str">
        <f>IFERROR(VLOOKUP(D1510,Products!$A:$C,3,FALSE),"")</f>
        <v>Home</v>
      </c>
      <c r="M1510" t="str">
        <f>IFERROR(VLOOKUP(C1510,Customers!$A:$E,5,FALSE),"")</f>
        <v>Corporate</v>
      </c>
      <c r="N1510">
        <f>IFERROR(VLOOKUP(C1510,Customers!$A:$E,3,FALSE),"")</f>
        <v>55</v>
      </c>
      <c r="O1510" s="33" t="str">
        <f>IFERROR(VLOOKUP(E1510,Sales_Reps!$A:$C,3,FALSE),"")</f>
        <v>North</v>
      </c>
      <c r="P1510" s="33">
        <f>IFERROR(VLOOKUP(D1510,Products!$A:$D,4,FALSE),"")</f>
        <v>519</v>
      </c>
      <c r="Q1510" s="33">
        <f t="shared" si="23"/>
        <v>0.51944444444444449</v>
      </c>
    </row>
    <row r="1511" spans="1:17" x14ac:dyDescent="0.3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  <c r="L1511" t="str">
        <f>IFERROR(VLOOKUP(D1511,Products!$A:$C,3,FALSE),"")</f>
        <v>Beauty</v>
      </c>
      <c r="M1511" t="str">
        <f>IFERROR(VLOOKUP(C1511,Customers!$A:$E,5,FALSE),"")</f>
        <v>SMB</v>
      </c>
      <c r="N1511">
        <f>IFERROR(VLOOKUP(C1511,Customers!$A:$E,3,FALSE),"")</f>
        <v>59</v>
      </c>
      <c r="O1511" s="33" t="str">
        <f>IFERROR(VLOOKUP(E1511,Sales_Reps!$A:$C,3,FALSE),"")</f>
        <v>West</v>
      </c>
      <c r="P1511" s="33">
        <f>IFERROR(VLOOKUP(D1511,Products!$A:$D,4,FALSE),"")</f>
        <v>647</v>
      </c>
      <c r="Q1511" s="33">
        <f t="shared" si="23"/>
        <v>0.57987012987012987</v>
      </c>
    </row>
    <row r="1512" spans="1:17" x14ac:dyDescent="0.3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  <c r="L1512" t="str">
        <f>IFERROR(VLOOKUP(D1512,Products!$A:$C,3,FALSE),"")</f>
        <v>Apparel</v>
      </c>
      <c r="M1512" t="str">
        <f>IFERROR(VLOOKUP(C1512,Customers!$A:$E,5,FALSE),"")</f>
        <v/>
      </c>
      <c r="N1512" t="str">
        <f>IFERROR(VLOOKUP(C1512,Customers!$A:$E,3,FALSE),"")</f>
        <v/>
      </c>
      <c r="O1512" s="33" t="str">
        <f>IFERROR(VLOOKUP(E1512,Sales_Reps!$A:$C,3,FALSE),"")</f>
        <v>South</v>
      </c>
      <c r="P1512" s="33">
        <f>IFERROR(VLOOKUP(D1512,Products!$A:$D,4,FALSE),"")</f>
        <v>1962</v>
      </c>
      <c r="Q1512" s="33">
        <f t="shared" si="23"/>
        <v>0.2786764705882353</v>
      </c>
    </row>
    <row r="1513" spans="1:17" x14ac:dyDescent="0.3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  <c r="L1513" t="str">
        <f>IFERROR(VLOOKUP(D1513,Products!$A:$C,3,FALSE),"")</f>
        <v>Home</v>
      </c>
      <c r="M1513" t="str">
        <f>IFERROR(VLOOKUP(C1513,Customers!$A:$E,5,FALSE),"")</f>
        <v>Retail</v>
      </c>
      <c r="N1513">
        <f>IFERROR(VLOOKUP(C1513,Customers!$A:$E,3,FALSE),"")</f>
        <v>27</v>
      </c>
      <c r="O1513" s="33" t="str">
        <f>IFERROR(VLOOKUP(E1513,Sales_Reps!$A:$C,3,FALSE),"")</f>
        <v>North</v>
      </c>
      <c r="P1513" s="33">
        <f>IFERROR(VLOOKUP(D1513,Products!$A:$D,4,FALSE),"")</f>
        <v>2459</v>
      </c>
      <c r="Q1513" s="33">
        <f t="shared" si="23"/>
        <v>0.51594488188976373</v>
      </c>
    </row>
    <row r="1514" spans="1:17" x14ac:dyDescent="0.3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  <c r="L1514" t="str">
        <f>IFERROR(VLOOKUP(D1514,Products!$A:$C,3,FALSE),"")</f>
        <v>Apparel</v>
      </c>
      <c r="M1514" t="str">
        <f>IFERROR(VLOOKUP(C1514,Customers!$A:$E,5,FALSE),"")</f>
        <v/>
      </c>
      <c r="N1514" t="str">
        <f>IFERROR(VLOOKUP(C1514,Customers!$A:$E,3,FALSE),"")</f>
        <v/>
      </c>
      <c r="O1514" s="33" t="str">
        <f>IFERROR(VLOOKUP(E1514,Sales_Reps!$A:$C,3,FALSE),"")</f>
        <v>North</v>
      </c>
      <c r="P1514" s="33">
        <f>IFERROR(VLOOKUP(D1514,Products!$A:$D,4,FALSE),"")</f>
        <v>396</v>
      </c>
      <c r="Q1514" s="33">
        <f t="shared" si="23"/>
        <v>0.36129032258064514</v>
      </c>
    </row>
    <row r="1515" spans="1:17" x14ac:dyDescent="0.3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  <c r="L1515" t="str">
        <f>IFERROR(VLOOKUP(D1515,Products!$A:$C,3,FALSE),"")</f>
        <v>Apparel</v>
      </c>
      <c r="M1515" t="str">
        <f>IFERROR(VLOOKUP(C1515,Customers!$A:$E,5,FALSE),"")</f>
        <v>SMB</v>
      </c>
      <c r="N1515">
        <f>IFERROR(VLOOKUP(C1515,Customers!$A:$E,3,FALSE),"")</f>
        <v>54</v>
      </c>
      <c r="O1515" s="33" t="str">
        <f>IFERROR(VLOOKUP(E1515,Sales_Reps!$A:$C,3,FALSE),"")</f>
        <v>North</v>
      </c>
      <c r="P1515" s="33">
        <f>IFERROR(VLOOKUP(D1515,Products!$A:$D,4,FALSE),"")</f>
        <v>1173</v>
      </c>
      <c r="Q1515" s="33">
        <f t="shared" si="23"/>
        <v>0.52701612903225803</v>
      </c>
    </row>
    <row r="1516" spans="1:17" x14ac:dyDescent="0.3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  <c r="L1516" t="str">
        <f>IFERROR(VLOOKUP(D1516,Products!$A:$C,3,FALSE),"")</f>
        <v>Sports</v>
      </c>
      <c r="M1516" t="str">
        <f>IFERROR(VLOOKUP(C1516,Customers!$A:$E,5,FALSE),"")</f>
        <v>Corporate</v>
      </c>
      <c r="N1516">
        <f>IFERROR(VLOOKUP(C1516,Customers!$A:$E,3,FALSE),"")</f>
        <v>55</v>
      </c>
      <c r="O1516" s="33" t="str">
        <f>IFERROR(VLOOKUP(E1516,Sales_Reps!$A:$C,3,FALSE),"")</f>
        <v>North</v>
      </c>
      <c r="P1516" s="33">
        <f>IFERROR(VLOOKUP(D1516,Products!$A:$D,4,FALSE),"")</f>
        <v>516</v>
      </c>
      <c r="Q1516" s="33">
        <f t="shared" si="23"/>
        <v>0.4891089108910891</v>
      </c>
    </row>
    <row r="1517" spans="1:17" x14ac:dyDescent="0.3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  <c r="L1517" t="str">
        <f>IFERROR(VLOOKUP(D1517,Products!$A:$C,3,FALSE),"")</f>
        <v>Home</v>
      </c>
      <c r="M1517" t="str">
        <f>IFERROR(VLOOKUP(C1517,Customers!$A:$E,5,FALSE),"")</f>
        <v>Retail</v>
      </c>
      <c r="N1517">
        <f>IFERROR(VLOOKUP(C1517,Customers!$A:$E,3,FALSE),"")</f>
        <v>22</v>
      </c>
      <c r="O1517" s="33" t="str">
        <f>IFERROR(VLOOKUP(E1517,Sales_Reps!$A:$C,3,FALSE),"")</f>
        <v>North</v>
      </c>
      <c r="P1517" s="33">
        <f>IFERROR(VLOOKUP(D1517,Products!$A:$D,4,FALSE),"")</f>
        <v>519</v>
      </c>
      <c r="Q1517" s="33">
        <f t="shared" si="23"/>
        <v>0.51944444444444449</v>
      </c>
    </row>
    <row r="1518" spans="1:17" x14ac:dyDescent="0.3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  <c r="L1518" t="str">
        <f>IFERROR(VLOOKUP(D1518,Products!$A:$C,3,FALSE),"")</f>
        <v>Sports</v>
      </c>
      <c r="M1518" t="str">
        <f>IFERROR(VLOOKUP(C1518,Customers!$A:$E,5,FALSE),"")</f>
        <v>Retail</v>
      </c>
      <c r="N1518">
        <f>IFERROR(VLOOKUP(C1518,Customers!$A:$E,3,FALSE),"")</f>
        <v>53</v>
      </c>
      <c r="O1518" s="33" t="str">
        <f>IFERROR(VLOOKUP(E1518,Sales_Reps!$A:$C,3,FALSE),"")</f>
        <v>West</v>
      </c>
      <c r="P1518" s="33">
        <f>IFERROR(VLOOKUP(D1518,Products!$A:$D,4,FALSE),"")</f>
        <v>302</v>
      </c>
      <c r="Q1518" s="33">
        <f t="shared" si="23"/>
        <v>0.35744680851063831</v>
      </c>
    </row>
    <row r="1519" spans="1:17" x14ac:dyDescent="0.3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  <c r="L1519" t="str">
        <f>IFERROR(VLOOKUP(D1519,Products!$A:$C,3,FALSE),"")</f>
        <v>Electronics</v>
      </c>
      <c r="M1519" t="str">
        <f>IFERROR(VLOOKUP(C1519,Customers!$A:$E,5,FALSE),"")</f>
        <v>Retail</v>
      </c>
      <c r="N1519">
        <f>IFERROR(VLOOKUP(C1519,Customers!$A:$E,3,FALSE),"")</f>
        <v>25</v>
      </c>
      <c r="O1519" s="33" t="str">
        <f>IFERROR(VLOOKUP(E1519,Sales_Reps!$A:$C,3,FALSE),"")</f>
        <v>East</v>
      </c>
      <c r="P1519" s="33">
        <f>IFERROR(VLOOKUP(D1519,Products!$A:$D,4,FALSE),"")</f>
        <v>2865</v>
      </c>
      <c r="Q1519" s="33">
        <f t="shared" si="23"/>
        <v>0.27833753148614609</v>
      </c>
    </row>
    <row r="1520" spans="1:17" x14ac:dyDescent="0.3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  <c r="L1520" t="str">
        <f>IFERROR(VLOOKUP(D1520,Products!$A:$C,3,FALSE),"")</f>
        <v>Beauty</v>
      </c>
      <c r="M1520" t="str">
        <f>IFERROR(VLOOKUP(C1520,Customers!$A:$E,5,FALSE),"")</f>
        <v>Retail</v>
      </c>
      <c r="N1520">
        <f>IFERROR(VLOOKUP(C1520,Customers!$A:$E,3,FALSE),"")</f>
        <v>29</v>
      </c>
      <c r="O1520" s="33" t="str">
        <f>IFERROR(VLOOKUP(E1520,Sales_Reps!$A:$C,3,FALSE),"")</f>
        <v>South</v>
      </c>
      <c r="P1520" s="33">
        <f>IFERROR(VLOOKUP(D1520,Products!$A:$D,4,FALSE),"")</f>
        <v>1222</v>
      </c>
      <c r="Q1520" s="33">
        <f t="shared" si="23"/>
        <v>0.2593939393939394</v>
      </c>
    </row>
    <row r="1521" spans="1:17" x14ac:dyDescent="0.3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  <c r="L1521" t="str">
        <f>IFERROR(VLOOKUP(D1521,Products!$A:$C,3,FALSE),"")</f>
        <v>Beauty</v>
      </c>
      <c r="M1521" t="str">
        <f>IFERROR(VLOOKUP(C1521,Customers!$A:$E,5,FALSE),"")</f>
        <v>Retail</v>
      </c>
      <c r="N1521">
        <f>IFERROR(VLOOKUP(C1521,Customers!$A:$E,3,FALSE),"")</f>
        <v>31</v>
      </c>
      <c r="O1521" s="33" t="str">
        <f>IFERROR(VLOOKUP(E1521,Sales_Reps!$A:$C,3,FALSE),"")</f>
        <v>North</v>
      </c>
      <c r="P1521" s="33">
        <f>IFERROR(VLOOKUP(D1521,Products!$A:$D,4,FALSE),"")</f>
        <v>1728</v>
      </c>
      <c r="Q1521" s="33">
        <f t="shared" si="23"/>
        <v>0.48417910447761192</v>
      </c>
    </row>
    <row r="1522" spans="1:17" x14ac:dyDescent="0.3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  <c r="L1522" t="str">
        <f>IFERROR(VLOOKUP(D1522,Products!$A:$C,3,FALSE),"")</f>
        <v>Electronics</v>
      </c>
      <c r="M1522" t="str">
        <f>IFERROR(VLOOKUP(C1522,Customers!$A:$E,5,FALSE),"")</f>
        <v>Corporate</v>
      </c>
      <c r="N1522">
        <f>IFERROR(VLOOKUP(C1522,Customers!$A:$E,3,FALSE),"")</f>
        <v>55</v>
      </c>
      <c r="O1522" s="33" t="str">
        <f>IFERROR(VLOOKUP(E1522,Sales_Reps!$A:$C,3,FALSE),"")</f>
        <v>East</v>
      </c>
      <c r="P1522" s="33">
        <f>IFERROR(VLOOKUP(D1522,Products!$A:$D,4,FALSE),"")</f>
        <v>2865</v>
      </c>
      <c r="Q1522" s="33">
        <f t="shared" si="23"/>
        <v>0.27833753148614609</v>
      </c>
    </row>
    <row r="1523" spans="1:17" x14ac:dyDescent="0.3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  <c r="L1523" t="str">
        <f>IFERROR(VLOOKUP(D1523,Products!$A:$C,3,FALSE),"")</f>
        <v>Grocery</v>
      </c>
      <c r="M1523" t="str">
        <f>IFERROR(VLOOKUP(C1523,Customers!$A:$E,5,FALSE),"")</f>
        <v>Retail</v>
      </c>
      <c r="N1523">
        <f>IFERROR(VLOOKUP(C1523,Customers!$A:$E,3,FALSE),"")</f>
        <v>36</v>
      </c>
      <c r="O1523" s="33" t="str">
        <f>IFERROR(VLOOKUP(E1523,Sales_Reps!$A:$C,3,FALSE),"")</f>
        <v>East</v>
      </c>
      <c r="P1523" s="33">
        <f>IFERROR(VLOOKUP(D1523,Products!$A:$D,4,FALSE),"")</f>
        <v>2436</v>
      </c>
      <c r="Q1523" s="33">
        <f t="shared" si="23"/>
        <v>0.35555555555555557</v>
      </c>
    </row>
    <row r="1524" spans="1:17" x14ac:dyDescent="0.3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  <c r="L1524" t="str">
        <f>IFERROR(VLOOKUP(D1524,Products!$A:$C,3,FALSE),"")</f>
        <v>Apparel</v>
      </c>
      <c r="M1524" t="str">
        <f>IFERROR(VLOOKUP(C1524,Customers!$A:$E,5,FALSE),"")</f>
        <v>Retail</v>
      </c>
      <c r="N1524">
        <f>IFERROR(VLOOKUP(C1524,Customers!$A:$E,3,FALSE),"")</f>
        <v>49</v>
      </c>
      <c r="O1524" s="33" t="str">
        <f>IFERROR(VLOOKUP(E1524,Sales_Reps!$A:$C,3,FALSE),"")</f>
        <v>South</v>
      </c>
      <c r="P1524" s="33">
        <f>IFERROR(VLOOKUP(D1524,Products!$A:$D,4,FALSE),"")</f>
        <v>391</v>
      </c>
      <c r="Q1524" s="33">
        <f t="shared" si="23"/>
        <v>0.52317073170731709</v>
      </c>
    </row>
    <row r="1525" spans="1:17" x14ac:dyDescent="0.3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  <c r="L1525" t="str">
        <f>IFERROR(VLOOKUP(D1525,Products!$A:$C,3,FALSE),"")</f>
        <v>Beauty</v>
      </c>
      <c r="M1525" t="str">
        <f>IFERROR(VLOOKUP(C1525,Customers!$A:$E,5,FALSE),"")</f>
        <v>Retail</v>
      </c>
      <c r="N1525">
        <f>IFERROR(VLOOKUP(C1525,Customers!$A:$E,3,FALSE),"")</f>
        <v>56</v>
      </c>
      <c r="O1525" s="33" t="str">
        <f>IFERROR(VLOOKUP(E1525,Sales_Reps!$A:$C,3,FALSE),"")</f>
        <v>East</v>
      </c>
      <c r="P1525" s="33">
        <f>IFERROR(VLOOKUP(D1525,Products!$A:$D,4,FALSE),"")</f>
        <v>1222</v>
      </c>
      <c r="Q1525" s="33">
        <f t="shared" si="23"/>
        <v>0.2593939393939394</v>
      </c>
    </row>
    <row r="1526" spans="1:17" x14ac:dyDescent="0.3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  <c r="L1526" t="str">
        <f>IFERROR(VLOOKUP(D1526,Products!$A:$C,3,FALSE),"")</f>
        <v>Grocery</v>
      </c>
      <c r="M1526" t="str">
        <f>IFERROR(VLOOKUP(C1526,Customers!$A:$E,5,FALSE),"")</f>
        <v>Retail</v>
      </c>
      <c r="N1526">
        <f>IFERROR(VLOOKUP(C1526,Customers!$A:$E,3,FALSE),"")</f>
        <v>25</v>
      </c>
      <c r="O1526" s="33" t="str">
        <f>IFERROR(VLOOKUP(E1526,Sales_Reps!$A:$C,3,FALSE),"")</f>
        <v>East</v>
      </c>
      <c r="P1526" s="33">
        <f>IFERROR(VLOOKUP(D1526,Products!$A:$D,4,FALSE),"")</f>
        <v>2436</v>
      </c>
      <c r="Q1526" s="33">
        <f t="shared" si="23"/>
        <v>0.35555555555555557</v>
      </c>
    </row>
    <row r="1527" spans="1:17" x14ac:dyDescent="0.3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  <c r="L1527" t="str">
        <f>IFERROR(VLOOKUP(D1527,Products!$A:$C,3,FALSE),"")</f>
        <v>Grocery</v>
      </c>
      <c r="M1527" t="str">
        <f>IFERROR(VLOOKUP(C1527,Customers!$A:$E,5,FALSE),"")</f>
        <v>Retail</v>
      </c>
      <c r="N1527">
        <f>IFERROR(VLOOKUP(C1527,Customers!$A:$E,3,FALSE),"")</f>
        <v>41</v>
      </c>
      <c r="O1527" s="33" t="str">
        <f>IFERROR(VLOOKUP(E1527,Sales_Reps!$A:$C,3,FALSE),"")</f>
        <v>West</v>
      </c>
      <c r="P1527" s="33">
        <f>IFERROR(VLOOKUP(D1527,Products!$A:$D,4,FALSE),"")</f>
        <v>1010</v>
      </c>
      <c r="Q1527" s="33">
        <f t="shared" si="23"/>
        <v>0.54298642533936647</v>
      </c>
    </row>
    <row r="1528" spans="1:17" x14ac:dyDescent="0.3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  <c r="L1528" t="str">
        <f>IFERROR(VLOOKUP(D1528,Products!$A:$C,3,FALSE),"")</f>
        <v>Sports</v>
      </c>
      <c r="M1528" t="str">
        <f>IFERROR(VLOOKUP(C1528,Customers!$A:$E,5,FALSE),"")</f>
        <v>Retail</v>
      </c>
      <c r="N1528">
        <f>IFERROR(VLOOKUP(C1528,Customers!$A:$E,3,FALSE),"")</f>
        <v>27</v>
      </c>
      <c r="O1528" s="33" t="str">
        <f>IFERROR(VLOOKUP(E1528,Sales_Reps!$A:$C,3,FALSE),"")</f>
        <v>South</v>
      </c>
      <c r="P1528" s="33">
        <f>IFERROR(VLOOKUP(D1528,Products!$A:$D,4,FALSE),"")</f>
        <v>2827</v>
      </c>
      <c r="Q1528" s="33">
        <f t="shared" si="23"/>
        <v>0.5926512968299712</v>
      </c>
    </row>
    <row r="1529" spans="1:17" x14ac:dyDescent="0.3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  <c r="L1529" t="str">
        <f>IFERROR(VLOOKUP(D1529,Products!$A:$C,3,FALSE),"")</f>
        <v>Beauty</v>
      </c>
      <c r="M1529" t="str">
        <f>IFERROR(VLOOKUP(C1529,Customers!$A:$E,5,FALSE),"")</f>
        <v>SMB</v>
      </c>
      <c r="N1529">
        <f>IFERROR(VLOOKUP(C1529,Customers!$A:$E,3,FALSE),"")</f>
        <v>62</v>
      </c>
      <c r="O1529" s="33" t="str">
        <f>IFERROR(VLOOKUP(E1529,Sales_Reps!$A:$C,3,FALSE),"")</f>
        <v>North</v>
      </c>
      <c r="P1529" s="33">
        <f>IFERROR(VLOOKUP(D1529,Products!$A:$D,4,FALSE),"")</f>
        <v>1219</v>
      </c>
      <c r="Q1529" s="33">
        <f t="shared" si="23"/>
        <v>0.46768558951965067</v>
      </c>
    </row>
    <row r="1530" spans="1:17" x14ac:dyDescent="0.3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  <c r="L1530" t="str">
        <f>IFERROR(VLOOKUP(D1530,Products!$A:$C,3,FALSE),"")</f>
        <v>Home</v>
      </c>
      <c r="M1530" t="str">
        <f>IFERROR(VLOOKUP(C1530,Customers!$A:$E,5,FALSE),"")</f>
        <v>Retail</v>
      </c>
      <c r="N1530">
        <f>IFERROR(VLOOKUP(C1530,Customers!$A:$E,3,FALSE),"")</f>
        <v>26</v>
      </c>
      <c r="O1530" s="33" t="str">
        <f>IFERROR(VLOOKUP(E1530,Sales_Reps!$A:$C,3,FALSE),"")</f>
        <v>West</v>
      </c>
      <c r="P1530" s="33">
        <f>IFERROR(VLOOKUP(D1530,Products!$A:$D,4,FALSE),"")</f>
        <v>1143</v>
      </c>
      <c r="Q1530" s="33">
        <f t="shared" si="23"/>
        <v>0.43694581280788175</v>
      </c>
    </row>
    <row r="1531" spans="1:17" x14ac:dyDescent="0.3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  <c r="L1531" t="str">
        <f>IFERROR(VLOOKUP(D1531,Products!$A:$C,3,FALSE),"")</f>
        <v>Electronics</v>
      </c>
      <c r="M1531" t="str">
        <f>IFERROR(VLOOKUP(C1531,Customers!$A:$E,5,FALSE),"")</f>
        <v>SMB</v>
      </c>
      <c r="N1531">
        <f>IFERROR(VLOOKUP(C1531,Customers!$A:$E,3,FALSE),"")</f>
        <v>30</v>
      </c>
      <c r="O1531" s="33" t="str">
        <f>IFERROR(VLOOKUP(E1531,Sales_Reps!$A:$C,3,FALSE),"")</f>
        <v>West</v>
      </c>
      <c r="P1531" s="33">
        <f>IFERROR(VLOOKUP(D1531,Products!$A:$D,4,FALSE),"")</f>
        <v>2865</v>
      </c>
      <c r="Q1531" s="33">
        <f t="shared" si="23"/>
        <v>0.27833753148614609</v>
      </c>
    </row>
    <row r="1532" spans="1:17" x14ac:dyDescent="0.3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  <c r="L1532" t="str">
        <f>IFERROR(VLOOKUP(D1532,Products!$A:$C,3,FALSE),"")</f>
        <v>Apparel</v>
      </c>
      <c r="M1532" t="str">
        <f>IFERROR(VLOOKUP(C1532,Customers!$A:$E,5,FALSE),"")</f>
        <v>Corporate</v>
      </c>
      <c r="N1532">
        <f>IFERROR(VLOOKUP(C1532,Customers!$A:$E,3,FALSE),"")</f>
        <v>51</v>
      </c>
      <c r="O1532" s="33" t="str">
        <f>IFERROR(VLOOKUP(E1532,Sales_Reps!$A:$C,3,FALSE),"")</f>
        <v>South</v>
      </c>
      <c r="P1532" s="33">
        <f>IFERROR(VLOOKUP(D1532,Products!$A:$D,4,FALSE),"")</f>
        <v>391</v>
      </c>
      <c r="Q1532" s="33">
        <f t="shared" si="23"/>
        <v>0.52317073170731709</v>
      </c>
    </row>
    <row r="1533" spans="1:17" x14ac:dyDescent="0.3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  <c r="L1533" t="str">
        <f>IFERROR(VLOOKUP(D1533,Products!$A:$C,3,FALSE),"")</f>
        <v>Electronics</v>
      </c>
      <c r="M1533" t="str">
        <f>IFERROR(VLOOKUP(C1533,Customers!$A:$E,5,FALSE),"")</f>
        <v>Retail</v>
      </c>
      <c r="N1533">
        <f>IFERROR(VLOOKUP(C1533,Customers!$A:$E,3,FALSE),"")</f>
        <v>31</v>
      </c>
      <c r="O1533" s="33" t="str">
        <f>IFERROR(VLOOKUP(E1533,Sales_Reps!$A:$C,3,FALSE),"")</f>
        <v>West</v>
      </c>
      <c r="P1533" s="33">
        <f>IFERROR(VLOOKUP(D1533,Products!$A:$D,4,FALSE),"")</f>
        <v>1559</v>
      </c>
      <c r="Q1533" s="33">
        <f t="shared" si="23"/>
        <v>0.59715762273901807</v>
      </c>
    </row>
    <row r="1534" spans="1:17" x14ac:dyDescent="0.3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  <c r="L1534" t="str">
        <f>IFERROR(VLOOKUP(D1534,Products!$A:$C,3,FALSE),"")</f>
        <v>Grocery</v>
      </c>
      <c r="M1534" t="str">
        <f>IFERROR(VLOOKUP(C1534,Customers!$A:$E,5,FALSE),"")</f>
        <v>Retail</v>
      </c>
      <c r="N1534">
        <f>IFERROR(VLOOKUP(C1534,Customers!$A:$E,3,FALSE),"")</f>
        <v>44</v>
      </c>
      <c r="O1534" s="33" t="str">
        <f>IFERROR(VLOOKUP(E1534,Sales_Reps!$A:$C,3,FALSE),"")</f>
        <v>East</v>
      </c>
      <c r="P1534" s="33">
        <f>IFERROR(VLOOKUP(D1534,Products!$A:$D,4,FALSE),"")</f>
        <v>434</v>
      </c>
      <c r="Q1534" s="33">
        <f t="shared" si="23"/>
        <v>0.5525773195876289</v>
      </c>
    </row>
    <row r="1535" spans="1:17" x14ac:dyDescent="0.3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  <c r="L1535" t="str">
        <f>IFERROR(VLOOKUP(D1535,Products!$A:$C,3,FALSE),"")</f>
        <v>Beauty</v>
      </c>
      <c r="M1535" t="str">
        <f>IFERROR(VLOOKUP(C1535,Customers!$A:$E,5,FALSE),"")</f>
        <v>SMB</v>
      </c>
      <c r="N1535">
        <f>IFERROR(VLOOKUP(C1535,Customers!$A:$E,3,FALSE),"")</f>
        <v>43</v>
      </c>
      <c r="O1535" s="33" t="str">
        <f>IFERROR(VLOOKUP(E1535,Sales_Reps!$A:$C,3,FALSE),"")</f>
        <v>West</v>
      </c>
      <c r="P1535" s="33">
        <f>IFERROR(VLOOKUP(D1535,Products!$A:$D,4,FALSE),"")</f>
        <v>2768</v>
      </c>
      <c r="Q1535" s="33">
        <f t="shared" si="23"/>
        <v>0.43278688524590164</v>
      </c>
    </row>
    <row r="1536" spans="1:17" x14ac:dyDescent="0.3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  <c r="L1536" t="str">
        <f>IFERROR(VLOOKUP(D1536,Products!$A:$C,3,FALSE),"")</f>
        <v>Grocery</v>
      </c>
      <c r="M1536" t="str">
        <f>IFERROR(VLOOKUP(C1536,Customers!$A:$E,5,FALSE),"")</f>
        <v>Corporate</v>
      </c>
      <c r="N1536">
        <f>IFERROR(VLOOKUP(C1536,Customers!$A:$E,3,FALSE),"")</f>
        <v>41</v>
      </c>
      <c r="O1536" s="33" t="str">
        <f>IFERROR(VLOOKUP(E1536,Sales_Reps!$A:$C,3,FALSE),"")</f>
        <v>East</v>
      </c>
      <c r="P1536" s="33">
        <f>IFERROR(VLOOKUP(D1536,Products!$A:$D,4,FALSE),"")</f>
        <v>1412</v>
      </c>
      <c r="Q1536" s="33">
        <f t="shared" si="23"/>
        <v>0.37797356828193834</v>
      </c>
    </row>
    <row r="1537" spans="1:17" x14ac:dyDescent="0.3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  <c r="L1537" t="str">
        <f>IFERROR(VLOOKUP(D1537,Products!$A:$C,3,FALSE),"")</f>
        <v>Beauty</v>
      </c>
      <c r="M1537" t="str">
        <f>IFERROR(VLOOKUP(C1537,Customers!$A:$E,5,FALSE),"")</f>
        <v>SMB</v>
      </c>
      <c r="N1537">
        <f>IFERROR(VLOOKUP(C1537,Customers!$A:$E,3,FALSE),"")</f>
        <v>46</v>
      </c>
      <c r="O1537" s="33" t="str">
        <f>IFERROR(VLOOKUP(E1537,Sales_Reps!$A:$C,3,FALSE),"")</f>
        <v>West</v>
      </c>
      <c r="P1537" s="33">
        <f>IFERROR(VLOOKUP(D1537,Products!$A:$D,4,FALSE),"")</f>
        <v>2420</v>
      </c>
      <c r="Q1537" s="33">
        <f t="shared" si="23"/>
        <v>0.29855072463768118</v>
      </c>
    </row>
    <row r="1538" spans="1:17" x14ac:dyDescent="0.3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  <c r="L1538" t="str">
        <f>IFERROR(VLOOKUP(D1538,Products!$A:$C,3,FALSE),"")</f>
        <v>Grocery</v>
      </c>
      <c r="M1538" t="str">
        <f>IFERROR(VLOOKUP(C1538,Customers!$A:$E,5,FALSE),"")</f>
        <v>SMB</v>
      </c>
      <c r="N1538">
        <f>IFERROR(VLOOKUP(C1538,Customers!$A:$E,3,FALSE),"")</f>
        <v>43</v>
      </c>
      <c r="O1538" s="33" t="str">
        <f>IFERROR(VLOOKUP(E1538,Sales_Reps!$A:$C,3,FALSE),"")</f>
        <v>South</v>
      </c>
      <c r="P1538" s="33">
        <f>IFERROR(VLOOKUP(D1538,Products!$A:$D,4,FALSE),"")</f>
        <v>1412</v>
      </c>
      <c r="Q1538" s="33">
        <f t="shared" si="23"/>
        <v>0.37797356828193834</v>
      </c>
    </row>
    <row r="1539" spans="1:17" x14ac:dyDescent="0.3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  <c r="L1539" t="str">
        <f>IFERROR(VLOOKUP(D1539,Products!$A:$C,3,FALSE),"")</f>
        <v>Grocery</v>
      </c>
      <c r="M1539" t="str">
        <f>IFERROR(VLOOKUP(C1539,Customers!$A:$E,5,FALSE),"")</f>
        <v>Retail</v>
      </c>
      <c r="N1539">
        <f>IFERROR(VLOOKUP(C1539,Customers!$A:$E,3,FALSE),"")</f>
        <v>28</v>
      </c>
      <c r="O1539" s="33" t="str">
        <f>IFERROR(VLOOKUP(E1539,Sales_Reps!$A:$C,3,FALSE),"")</f>
        <v>West</v>
      </c>
      <c r="P1539" s="33">
        <f>IFERROR(VLOOKUP(D1539,Products!$A:$D,4,FALSE),"")</f>
        <v>1010</v>
      </c>
      <c r="Q1539" s="33">
        <f t="shared" ref="Q1539:Q1602" si="24">IFERROR((G1539-P1539)/G1539,"")</f>
        <v>0.54298642533936647</v>
      </c>
    </row>
    <row r="1540" spans="1:17" x14ac:dyDescent="0.3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  <c r="L1540" t="str">
        <f>IFERROR(VLOOKUP(D1540,Products!$A:$C,3,FALSE),"")</f>
        <v>Home</v>
      </c>
      <c r="M1540" t="str">
        <f>IFERROR(VLOOKUP(C1540,Customers!$A:$E,5,FALSE),"")</f>
        <v>SMB</v>
      </c>
      <c r="N1540">
        <f>IFERROR(VLOOKUP(C1540,Customers!$A:$E,3,FALSE),"")</f>
        <v>59</v>
      </c>
      <c r="O1540" s="33" t="str">
        <f>IFERROR(VLOOKUP(E1540,Sales_Reps!$A:$C,3,FALSE),"")</f>
        <v>South</v>
      </c>
      <c r="P1540" s="33">
        <f>IFERROR(VLOOKUP(D1540,Products!$A:$D,4,FALSE),"")</f>
        <v>1143</v>
      </c>
      <c r="Q1540" s="33">
        <f t="shared" si="24"/>
        <v>0.43694581280788175</v>
      </c>
    </row>
    <row r="1541" spans="1:17" x14ac:dyDescent="0.3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  <c r="L1541" t="str">
        <f>IFERROR(VLOOKUP(D1541,Products!$A:$C,3,FALSE),"")</f>
        <v>Beauty</v>
      </c>
      <c r="M1541" t="str">
        <f>IFERROR(VLOOKUP(C1541,Customers!$A:$E,5,FALSE),"")</f>
        <v>Retail</v>
      </c>
      <c r="N1541">
        <f>IFERROR(VLOOKUP(C1541,Customers!$A:$E,3,FALSE),"")</f>
        <v>44</v>
      </c>
      <c r="O1541" s="33" t="str">
        <f>IFERROR(VLOOKUP(E1541,Sales_Reps!$A:$C,3,FALSE),"")</f>
        <v>East</v>
      </c>
      <c r="P1541" s="33">
        <f>IFERROR(VLOOKUP(D1541,Products!$A:$D,4,FALSE),"")</f>
        <v>1728</v>
      </c>
      <c r="Q1541" s="33">
        <f t="shared" si="24"/>
        <v>0.48417910447761192</v>
      </c>
    </row>
    <row r="1542" spans="1:17" x14ac:dyDescent="0.3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  <c r="L1542" t="str">
        <f>IFERROR(VLOOKUP(D1542,Products!$A:$C,3,FALSE),"")</f>
        <v>Apparel</v>
      </c>
      <c r="M1542" t="str">
        <f>IFERROR(VLOOKUP(C1542,Customers!$A:$E,5,FALSE),"")</f>
        <v>Retail</v>
      </c>
      <c r="N1542">
        <f>IFERROR(VLOOKUP(C1542,Customers!$A:$E,3,FALSE),"")</f>
        <v>35</v>
      </c>
      <c r="O1542" s="33" t="str">
        <f>IFERROR(VLOOKUP(E1542,Sales_Reps!$A:$C,3,FALSE),"")</f>
        <v>North</v>
      </c>
      <c r="P1542" s="33">
        <f>IFERROR(VLOOKUP(D1542,Products!$A:$D,4,FALSE),"")</f>
        <v>2611</v>
      </c>
      <c r="Q1542" s="33">
        <f t="shared" si="24"/>
        <v>0.28269230769230769</v>
      </c>
    </row>
    <row r="1543" spans="1:17" x14ac:dyDescent="0.3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  <c r="L1543" t="str">
        <f>IFERROR(VLOOKUP(D1543,Products!$A:$C,3,FALSE),"")</f>
        <v>Sports</v>
      </c>
      <c r="M1543" t="str">
        <f>IFERROR(VLOOKUP(C1543,Customers!$A:$E,5,FALSE),"")</f>
        <v>Retail</v>
      </c>
      <c r="N1543">
        <f>IFERROR(VLOOKUP(C1543,Customers!$A:$E,3,FALSE),"")</f>
        <v>37</v>
      </c>
      <c r="O1543" s="33" t="str">
        <f>IFERROR(VLOOKUP(E1543,Sales_Reps!$A:$C,3,FALSE),"")</f>
        <v>East</v>
      </c>
      <c r="P1543" s="33">
        <f>IFERROR(VLOOKUP(D1543,Products!$A:$D,4,FALSE),"")</f>
        <v>2467</v>
      </c>
      <c r="Q1543" s="33">
        <f t="shared" si="24"/>
        <v>0.28492753623188405</v>
      </c>
    </row>
    <row r="1544" spans="1:17" x14ac:dyDescent="0.3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  <c r="L1544" t="str">
        <f>IFERROR(VLOOKUP(D1544,Products!$A:$C,3,FALSE),"")</f>
        <v>Beauty</v>
      </c>
      <c r="M1544" t="str">
        <f>IFERROR(VLOOKUP(C1544,Customers!$A:$E,5,FALSE),"")</f>
        <v>SMB</v>
      </c>
      <c r="N1544">
        <f>IFERROR(VLOOKUP(C1544,Customers!$A:$E,3,FALSE),"")</f>
        <v>38</v>
      </c>
      <c r="O1544" s="33" t="str">
        <f>IFERROR(VLOOKUP(E1544,Sales_Reps!$A:$C,3,FALSE),"")</f>
        <v>North</v>
      </c>
      <c r="P1544" s="33">
        <f>IFERROR(VLOOKUP(D1544,Products!$A:$D,4,FALSE),"")</f>
        <v>2420</v>
      </c>
      <c r="Q1544" s="33">
        <f t="shared" si="24"/>
        <v>0.29855072463768118</v>
      </c>
    </row>
    <row r="1545" spans="1:17" x14ac:dyDescent="0.3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  <c r="L1545" t="str">
        <f>IFERROR(VLOOKUP(D1545,Products!$A:$C,3,FALSE),"")</f>
        <v>Beauty</v>
      </c>
      <c r="M1545" t="str">
        <f>IFERROR(VLOOKUP(C1545,Customers!$A:$E,5,FALSE),"")</f>
        <v>Retail</v>
      </c>
      <c r="N1545">
        <f>IFERROR(VLOOKUP(C1545,Customers!$A:$E,3,FALSE),"")</f>
        <v>31</v>
      </c>
      <c r="O1545" s="33" t="str">
        <f>IFERROR(VLOOKUP(E1545,Sales_Reps!$A:$C,3,FALSE),"")</f>
        <v>East</v>
      </c>
      <c r="P1545" s="33">
        <f>IFERROR(VLOOKUP(D1545,Products!$A:$D,4,FALSE),"")</f>
        <v>1219</v>
      </c>
      <c r="Q1545" s="33">
        <f t="shared" si="24"/>
        <v>0.46768558951965067</v>
      </c>
    </row>
    <row r="1546" spans="1:17" x14ac:dyDescent="0.3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  <c r="L1546" t="str">
        <f>IFERROR(VLOOKUP(D1546,Products!$A:$C,3,FALSE),"")</f>
        <v>Sports</v>
      </c>
      <c r="M1546" t="str">
        <f>IFERROR(VLOOKUP(C1546,Customers!$A:$E,5,FALSE),"")</f>
        <v>Retail</v>
      </c>
      <c r="N1546">
        <f>IFERROR(VLOOKUP(C1546,Customers!$A:$E,3,FALSE),"")</f>
        <v>65</v>
      </c>
      <c r="O1546" s="33" t="str">
        <f>IFERROR(VLOOKUP(E1546,Sales_Reps!$A:$C,3,FALSE),"")</f>
        <v>South</v>
      </c>
      <c r="P1546" s="33">
        <f>IFERROR(VLOOKUP(D1546,Products!$A:$D,4,FALSE),"")</f>
        <v>705</v>
      </c>
      <c r="Q1546" s="33">
        <f t="shared" si="24"/>
        <v>0.265625</v>
      </c>
    </row>
    <row r="1547" spans="1:17" x14ac:dyDescent="0.3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  <c r="L1547" t="str">
        <f>IFERROR(VLOOKUP(D1547,Products!$A:$C,3,FALSE),"")</f>
        <v>Home</v>
      </c>
      <c r="M1547" t="str">
        <f>IFERROR(VLOOKUP(C1547,Customers!$A:$E,5,FALSE),"")</f>
        <v>SMB</v>
      </c>
      <c r="N1547">
        <f>IFERROR(VLOOKUP(C1547,Customers!$A:$E,3,FALSE),"")</f>
        <v>26</v>
      </c>
      <c r="O1547" s="33" t="str">
        <f>IFERROR(VLOOKUP(E1547,Sales_Reps!$A:$C,3,FALSE),"")</f>
        <v>West</v>
      </c>
      <c r="P1547" s="33">
        <f>IFERROR(VLOOKUP(D1547,Products!$A:$D,4,FALSE),"")</f>
        <v>1850</v>
      </c>
      <c r="Q1547" s="33">
        <f t="shared" si="24"/>
        <v>0.59869848156182215</v>
      </c>
    </row>
    <row r="1548" spans="1:17" x14ac:dyDescent="0.3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  <c r="L1548" t="str">
        <f>IFERROR(VLOOKUP(D1548,Products!$A:$C,3,FALSE),"")</f>
        <v>Grocery</v>
      </c>
      <c r="M1548" t="str">
        <f>IFERROR(VLOOKUP(C1548,Customers!$A:$E,5,FALSE),"")</f>
        <v>SMB</v>
      </c>
      <c r="N1548">
        <f>IFERROR(VLOOKUP(C1548,Customers!$A:$E,3,FALSE),"")</f>
        <v>53</v>
      </c>
      <c r="O1548" s="33" t="str">
        <f>IFERROR(VLOOKUP(E1548,Sales_Reps!$A:$C,3,FALSE),"")</f>
        <v>North</v>
      </c>
      <c r="P1548" s="33">
        <f>IFERROR(VLOOKUP(D1548,Products!$A:$D,4,FALSE),"")</f>
        <v>2214</v>
      </c>
      <c r="Q1548" s="33">
        <f t="shared" si="24"/>
        <v>0.39508196721311473</v>
      </c>
    </row>
    <row r="1549" spans="1:17" x14ac:dyDescent="0.3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  <c r="L1549" t="str">
        <f>IFERROR(VLOOKUP(D1549,Products!$A:$C,3,FALSE),"")</f>
        <v>Electronics</v>
      </c>
      <c r="M1549" t="str">
        <f>IFERROR(VLOOKUP(C1549,Customers!$A:$E,5,FALSE),"")</f>
        <v>Corporate</v>
      </c>
      <c r="N1549">
        <f>IFERROR(VLOOKUP(C1549,Customers!$A:$E,3,FALSE),"")</f>
        <v>46</v>
      </c>
      <c r="O1549" s="33" t="str">
        <f>IFERROR(VLOOKUP(E1549,Sales_Reps!$A:$C,3,FALSE),"")</f>
        <v>South</v>
      </c>
      <c r="P1549" s="33">
        <f>IFERROR(VLOOKUP(D1549,Products!$A:$D,4,FALSE),"")</f>
        <v>1259</v>
      </c>
      <c r="Q1549" s="33">
        <f t="shared" si="24"/>
        <v>0.52669172932330832</v>
      </c>
    </row>
    <row r="1550" spans="1:17" x14ac:dyDescent="0.3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  <c r="L1550" t="str">
        <f>IFERROR(VLOOKUP(D1550,Products!$A:$C,3,FALSE),"")</f>
        <v>Beauty</v>
      </c>
      <c r="M1550" t="str">
        <f>IFERROR(VLOOKUP(C1550,Customers!$A:$E,5,FALSE),"")</f>
        <v>SMB</v>
      </c>
      <c r="N1550">
        <f>IFERROR(VLOOKUP(C1550,Customers!$A:$E,3,FALSE),"")</f>
        <v>38</v>
      </c>
      <c r="O1550" s="33" t="str">
        <f>IFERROR(VLOOKUP(E1550,Sales_Reps!$A:$C,3,FALSE),"")</f>
        <v>West</v>
      </c>
      <c r="P1550" s="33">
        <f>IFERROR(VLOOKUP(D1550,Products!$A:$D,4,FALSE),"")</f>
        <v>647</v>
      </c>
      <c r="Q1550" s="33">
        <f t="shared" si="24"/>
        <v>0.57987012987012987</v>
      </c>
    </row>
    <row r="1551" spans="1:17" x14ac:dyDescent="0.3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  <c r="L1551" t="str">
        <f>IFERROR(VLOOKUP(D1551,Products!$A:$C,3,FALSE),"")</f>
        <v>Electronics</v>
      </c>
      <c r="M1551" t="str">
        <f>IFERROR(VLOOKUP(C1551,Customers!$A:$E,5,FALSE),"")</f>
        <v>Retail</v>
      </c>
      <c r="N1551">
        <f>IFERROR(VLOOKUP(C1551,Customers!$A:$E,3,FALSE),"")</f>
        <v>59</v>
      </c>
      <c r="O1551" s="33" t="str">
        <f>IFERROR(VLOOKUP(E1551,Sales_Reps!$A:$C,3,FALSE),"")</f>
        <v>North</v>
      </c>
      <c r="P1551" s="33">
        <f>IFERROR(VLOOKUP(D1551,Products!$A:$D,4,FALSE),"")</f>
        <v>2865</v>
      </c>
      <c r="Q1551" s="33">
        <f t="shared" si="24"/>
        <v>0.27833753148614609</v>
      </c>
    </row>
    <row r="1552" spans="1:17" x14ac:dyDescent="0.3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  <c r="L1552" t="str">
        <f>IFERROR(VLOOKUP(D1552,Products!$A:$C,3,FALSE),"")</f>
        <v>Sports</v>
      </c>
      <c r="M1552" t="str">
        <f>IFERROR(VLOOKUP(C1552,Customers!$A:$E,5,FALSE),"")</f>
        <v>SMB</v>
      </c>
      <c r="N1552">
        <f>IFERROR(VLOOKUP(C1552,Customers!$A:$E,3,FALSE),"")</f>
        <v>62</v>
      </c>
      <c r="O1552" s="33" t="str">
        <f>IFERROR(VLOOKUP(E1552,Sales_Reps!$A:$C,3,FALSE),"")</f>
        <v>North</v>
      </c>
      <c r="P1552" s="33">
        <f>IFERROR(VLOOKUP(D1552,Products!$A:$D,4,FALSE),"")</f>
        <v>1860</v>
      </c>
      <c r="Q1552" s="33">
        <f t="shared" si="24"/>
        <v>0.50793650793650791</v>
      </c>
    </row>
    <row r="1553" spans="1:17" x14ac:dyDescent="0.3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  <c r="L1553" t="str">
        <f>IFERROR(VLOOKUP(D1553,Products!$A:$C,3,FALSE),"")</f>
        <v>Grocery</v>
      </c>
      <c r="M1553" t="str">
        <f>IFERROR(VLOOKUP(C1553,Customers!$A:$E,5,FALSE),"")</f>
        <v>SMB</v>
      </c>
      <c r="N1553">
        <f>IFERROR(VLOOKUP(C1553,Customers!$A:$E,3,FALSE),"")</f>
        <v>28</v>
      </c>
      <c r="O1553" s="33" t="str">
        <f>IFERROR(VLOOKUP(E1553,Sales_Reps!$A:$C,3,FALSE),"")</f>
        <v>North</v>
      </c>
      <c r="P1553" s="33">
        <f>IFERROR(VLOOKUP(D1553,Products!$A:$D,4,FALSE),"")</f>
        <v>1412</v>
      </c>
      <c r="Q1553" s="33">
        <f t="shared" si="24"/>
        <v>0.37797356828193834</v>
      </c>
    </row>
    <row r="1554" spans="1:17" x14ac:dyDescent="0.3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  <c r="L1554" t="str">
        <f>IFERROR(VLOOKUP(D1554,Products!$A:$C,3,FALSE),"")</f>
        <v>Electronics</v>
      </c>
      <c r="M1554" t="str">
        <f>IFERROR(VLOOKUP(C1554,Customers!$A:$E,5,FALSE),"")</f>
        <v>SMB</v>
      </c>
      <c r="N1554">
        <f>IFERROR(VLOOKUP(C1554,Customers!$A:$E,3,FALSE),"")</f>
        <v>65</v>
      </c>
      <c r="O1554" s="33" t="str">
        <f>IFERROR(VLOOKUP(E1554,Sales_Reps!$A:$C,3,FALSE),"")</f>
        <v>South</v>
      </c>
      <c r="P1554" s="33">
        <f>IFERROR(VLOOKUP(D1554,Products!$A:$D,4,FALSE),"")</f>
        <v>517</v>
      </c>
      <c r="Q1554" s="33">
        <f t="shared" si="24"/>
        <v>0.57622950819672136</v>
      </c>
    </row>
    <row r="1555" spans="1:17" x14ac:dyDescent="0.3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  <c r="L1555" t="str">
        <f>IFERROR(VLOOKUP(D1555,Products!$A:$C,3,FALSE),"")</f>
        <v>Beauty</v>
      </c>
      <c r="M1555" t="str">
        <f>IFERROR(VLOOKUP(C1555,Customers!$A:$E,5,FALSE),"")</f>
        <v>Retail</v>
      </c>
      <c r="N1555">
        <f>IFERROR(VLOOKUP(C1555,Customers!$A:$E,3,FALSE),"")</f>
        <v>29</v>
      </c>
      <c r="O1555" s="33" t="str">
        <f>IFERROR(VLOOKUP(E1555,Sales_Reps!$A:$C,3,FALSE),"")</f>
        <v>South</v>
      </c>
      <c r="P1555" s="33">
        <f>IFERROR(VLOOKUP(D1555,Products!$A:$D,4,FALSE),"")</f>
        <v>1728</v>
      </c>
      <c r="Q1555" s="33">
        <f t="shared" si="24"/>
        <v>0.48417910447761192</v>
      </c>
    </row>
    <row r="1556" spans="1:17" x14ac:dyDescent="0.3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  <c r="L1556" t="str">
        <f>IFERROR(VLOOKUP(D1556,Products!$A:$C,3,FALSE),"")</f>
        <v>Beauty</v>
      </c>
      <c r="M1556" t="str">
        <f>IFERROR(VLOOKUP(C1556,Customers!$A:$E,5,FALSE),"")</f>
        <v/>
      </c>
      <c r="N1556" t="str">
        <f>IFERROR(VLOOKUP(C1556,Customers!$A:$E,3,FALSE),"")</f>
        <v/>
      </c>
      <c r="O1556" s="33" t="str">
        <f>IFERROR(VLOOKUP(E1556,Sales_Reps!$A:$C,3,FALSE),"")</f>
        <v>West</v>
      </c>
      <c r="P1556" s="33">
        <f>IFERROR(VLOOKUP(D1556,Products!$A:$D,4,FALSE),"")</f>
        <v>1728</v>
      </c>
      <c r="Q1556" s="33">
        <f t="shared" si="24"/>
        <v>0.48417910447761192</v>
      </c>
    </row>
    <row r="1557" spans="1:17" x14ac:dyDescent="0.3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  <c r="L1557" t="str">
        <f>IFERROR(VLOOKUP(D1557,Products!$A:$C,3,FALSE),"")</f>
        <v>Home</v>
      </c>
      <c r="M1557" t="str">
        <f>IFERROR(VLOOKUP(C1557,Customers!$A:$E,5,FALSE),"")</f>
        <v>Retail</v>
      </c>
      <c r="N1557">
        <f>IFERROR(VLOOKUP(C1557,Customers!$A:$E,3,FALSE),"")</f>
        <v>51</v>
      </c>
      <c r="O1557" s="33" t="str">
        <f>IFERROR(VLOOKUP(E1557,Sales_Reps!$A:$C,3,FALSE),"")</f>
        <v>South</v>
      </c>
      <c r="P1557" s="33">
        <f>IFERROR(VLOOKUP(D1557,Products!$A:$D,4,FALSE),"")</f>
        <v>2549</v>
      </c>
      <c r="Q1557" s="33">
        <f t="shared" si="24"/>
        <v>0.53570127504553733</v>
      </c>
    </row>
    <row r="1558" spans="1:17" x14ac:dyDescent="0.3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  <c r="L1558" t="str">
        <f>IFERROR(VLOOKUP(D1558,Products!$A:$C,3,FALSE),"")</f>
        <v>Sports</v>
      </c>
      <c r="M1558" t="str">
        <f>IFERROR(VLOOKUP(C1558,Customers!$A:$E,5,FALSE),"")</f>
        <v>SMB</v>
      </c>
      <c r="N1558">
        <f>IFERROR(VLOOKUP(C1558,Customers!$A:$E,3,FALSE),"")</f>
        <v>39</v>
      </c>
      <c r="O1558" s="33" t="str">
        <f>IFERROR(VLOOKUP(E1558,Sales_Reps!$A:$C,3,FALSE),"")</f>
        <v>East</v>
      </c>
      <c r="P1558" s="33">
        <f>IFERROR(VLOOKUP(D1558,Products!$A:$D,4,FALSE),"")</f>
        <v>2028</v>
      </c>
      <c r="Q1558" s="33">
        <f t="shared" si="24"/>
        <v>0.29090909090909089</v>
      </c>
    </row>
    <row r="1559" spans="1:17" x14ac:dyDescent="0.3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  <c r="L1559" t="str">
        <f>IFERROR(VLOOKUP(D1559,Products!$A:$C,3,FALSE),"")</f>
        <v>Electronics</v>
      </c>
      <c r="M1559" t="str">
        <f>IFERROR(VLOOKUP(C1559,Customers!$A:$E,5,FALSE),"")</f>
        <v>Retail</v>
      </c>
      <c r="N1559">
        <f>IFERROR(VLOOKUP(C1559,Customers!$A:$E,3,FALSE),"")</f>
        <v>24</v>
      </c>
      <c r="O1559" s="33" t="str">
        <f>IFERROR(VLOOKUP(E1559,Sales_Reps!$A:$C,3,FALSE),"")</f>
        <v>West</v>
      </c>
      <c r="P1559" s="33">
        <f>IFERROR(VLOOKUP(D1559,Products!$A:$D,4,FALSE),"")</f>
        <v>1149</v>
      </c>
      <c r="Q1559" s="33">
        <f t="shared" si="24"/>
        <v>0.56477272727272732</v>
      </c>
    </row>
    <row r="1560" spans="1:17" x14ac:dyDescent="0.3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  <c r="L1560" t="str">
        <f>IFERROR(VLOOKUP(D1560,Products!$A:$C,3,FALSE),"")</f>
        <v>Apparel</v>
      </c>
      <c r="M1560" t="str">
        <f>IFERROR(VLOOKUP(C1560,Customers!$A:$E,5,FALSE),"")</f>
        <v>Corporate</v>
      </c>
      <c r="N1560">
        <f>IFERROR(VLOOKUP(C1560,Customers!$A:$E,3,FALSE),"")</f>
        <v>34</v>
      </c>
      <c r="O1560" s="33" t="str">
        <f>IFERROR(VLOOKUP(E1560,Sales_Reps!$A:$C,3,FALSE),"")</f>
        <v>West</v>
      </c>
      <c r="P1560" s="33">
        <f>IFERROR(VLOOKUP(D1560,Products!$A:$D,4,FALSE),"")</f>
        <v>1748</v>
      </c>
      <c r="Q1560" s="33">
        <f t="shared" si="24"/>
        <v>0.49333333333333335</v>
      </c>
    </row>
    <row r="1561" spans="1:17" x14ac:dyDescent="0.3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  <c r="L1561" t="str">
        <f>IFERROR(VLOOKUP(D1561,Products!$A:$C,3,FALSE),"")</f>
        <v>Home</v>
      </c>
      <c r="M1561" t="str">
        <f>IFERROR(VLOOKUP(C1561,Customers!$A:$E,5,FALSE),"")</f>
        <v>SMB</v>
      </c>
      <c r="N1561">
        <f>IFERROR(VLOOKUP(C1561,Customers!$A:$E,3,FALSE),"")</f>
        <v>38</v>
      </c>
      <c r="O1561" s="33" t="str">
        <f>IFERROR(VLOOKUP(E1561,Sales_Reps!$A:$C,3,FALSE),"")</f>
        <v>West</v>
      </c>
      <c r="P1561" s="33">
        <f>IFERROR(VLOOKUP(D1561,Products!$A:$D,4,FALSE),"")</f>
        <v>288</v>
      </c>
      <c r="Q1561" s="33">
        <f t="shared" si="24"/>
        <v>0.22162162162162163</v>
      </c>
    </row>
    <row r="1562" spans="1:17" x14ac:dyDescent="0.3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  <c r="L1562" t="str">
        <f>IFERROR(VLOOKUP(D1562,Products!$A:$C,3,FALSE),"")</f>
        <v>Grocery</v>
      </c>
      <c r="M1562" t="str">
        <f>IFERROR(VLOOKUP(C1562,Customers!$A:$E,5,FALSE),"")</f>
        <v>SMB</v>
      </c>
      <c r="N1562">
        <f>IFERROR(VLOOKUP(C1562,Customers!$A:$E,3,FALSE),"")</f>
        <v>22</v>
      </c>
      <c r="O1562" s="33" t="str">
        <f>IFERROR(VLOOKUP(E1562,Sales_Reps!$A:$C,3,FALSE),"")</f>
        <v>West</v>
      </c>
      <c r="P1562" s="33">
        <f>IFERROR(VLOOKUP(D1562,Products!$A:$D,4,FALSE),"")</f>
        <v>2911</v>
      </c>
      <c r="Q1562" s="33">
        <f t="shared" si="24"/>
        <v>0.28300492610837441</v>
      </c>
    </row>
    <row r="1563" spans="1:17" x14ac:dyDescent="0.3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  <c r="L1563" t="str">
        <f>IFERROR(VLOOKUP(D1563,Products!$A:$C,3,FALSE),"")</f>
        <v>Electronics</v>
      </c>
      <c r="M1563" t="str">
        <f>IFERROR(VLOOKUP(C1563,Customers!$A:$E,5,FALSE),"")</f>
        <v>Corporate</v>
      </c>
      <c r="N1563">
        <f>IFERROR(VLOOKUP(C1563,Customers!$A:$E,3,FALSE),"")</f>
        <v>55</v>
      </c>
      <c r="O1563" s="33" t="str">
        <f>IFERROR(VLOOKUP(E1563,Sales_Reps!$A:$C,3,FALSE),"")</f>
        <v>West</v>
      </c>
      <c r="P1563" s="33">
        <f>IFERROR(VLOOKUP(D1563,Products!$A:$D,4,FALSE),"")</f>
        <v>1559</v>
      </c>
      <c r="Q1563" s="33">
        <f t="shared" si="24"/>
        <v>0.59715762273901807</v>
      </c>
    </row>
    <row r="1564" spans="1:17" x14ac:dyDescent="0.3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  <c r="L1564" t="str">
        <f>IFERROR(VLOOKUP(D1564,Products!$A:$C,3,FALSE),"")</f>
        <v>Electronics</v>
      </c>
      <c r="M1564" t="str">
        <f>IFERROR(VLOOKUP(C1564,Customers!$A:$E,5,FALSE),"")</f>
        <v>Corporate</v>
      </c>
      <c r="N1564">
        <f>IFERROR(VLOOKUP(C1564,Customers!$A:$E,3,FALSE),"")</f>
        <v>42</v>
      </c>
      <c r="O1564" s="33" t="str">
        <f>IFERROR(VLOOKUP(E1564,Sales_Reps!$A:$C,3,FALSE),"")</f>
        <v>North</v>
      </c>
      <c r="P1564" s="33">
        <f>IFERROR(VLOOKUP(D1564,Products!$A:$D,4,FALSE),"")</f>
        <v>2405</v>
      </c>
      <c r="Q1564" s="33">
        <f t="shared" si="24"/>
        <v>0.54878048780487809</v>
      </c>
    </row>
    <row r="1565" spans="1:17" x14ac:dyDescent="0.3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  <c r="L1565" t="str">
        <f>IFERROR(VLOOKUP(D1565,Products!$A:$C,3,FALSE),"")</f>
        <v>Home</v>
      </c>
      <c r="M1565" t="str">
        <f>IFERROR(VLOOKUP(C1565,Customers!$A:$E,5,FALSE),"")</f>
        <v>Retail</v>
      </c>
      <c r="N1565">
        <f>IFERROR(VLOOKUP(C1565,Customers!$A:$E,3,FALSE),"")</f>
        <v>27</v>
      </c>
      <c r="O1565" s="33" t="str">
        <f>IFERROR(VLOOKUP(E1565,Sales_Reps!$A:$C,3,FALSE),"")</f>
        <v>East</v>
      </c>
      <c r="P1565" s="33">
        <f>IFERROR(VLOOKUP(D1565,Products!$A:$D,4,FALSE),"")</f>
        <v>288</v>
      </c>
      <c r="Q1565" s="33">
        <f t="shared" si="24"/>
        <v>0.22162162162162163</v>
      </c>
    </row>
    <row r="1566" spans="1:17" x14ac:dyDescent="0.3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  <c r="L1566" t="str">
        <f>IFERROR(VLOOKUP(D1566,Products!$A:$C,3,FALSE),"")</f>
        <v>Electronics</v>
      </c>
      <c r="M1566" t="str">
        <f>IFERROR(VLOOKUP(C1566,Customers!$A:$E,5,FALSE),"")</f>
        <v>Retail</v>
      </c>
      <c r="N1566">
        <f>IFERROR(VLOOKUP(C1566,Customers!$A:$E,3,FALSE),"")</f>
        <v>61</v>
      </c>
      <c r="O1566" s="33" t="str">
        <f>IFERROR(VLOOKUP(E1566,Sales_Reps!$A:$C,3,FALSE),"")</f>
        <v>East</v>
      </c>
      <c r="P1566" s="33">
        <f>IFERROR(VLOOKUP(D1566,Products!$A:$D,4,FALSE),"")</f>
        <v>128</v>
      </c>
      <c r="Q1566" s="33">
        <f t="shared" si="24"/>
        <v>0.57333333333333336</v>
      </c>
    </row>
    <row r="1567" spans="1:17" x14ac:dyDescent="0.3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  <c r="L1567" t="str">
        <f>IFERROR(VLOOKUP(D1567,Products!$A:$C,3,FALSE),"")</f>
        <v>Beauty</v>
      </c>
      <c r="M1567" t="str">
        <f>IFERROR(VLOOKUP(C1567,Customers!$A:$E,5,FALSE),"")</f>
        <v>Retail</v>
      </c>
      <c r="N1567">
        <f>IFERROR(VLOOKUP(C1567,Customers!$A:$E,3,FALSE),"")</f>
        <v>53</v>
      </c>
      <c r="O1567" s="33" t="str">
        <f>IFERROR(VLOOKUP(E1567,Sales_Reps!$A:$C,3,FALSE),"")</f>
        <v>South</v>
      </c>
      <c r="P1567" s="33">
        <f>IFERROR(VLOOKUP(D1567,Products!$A:$D,4,FALSE),"")</f>
        <v>1728</v>
      </c>
      <c r="Q1567" s="33">
        <f t="shared" si="24"/>
        <v>0.48417910447761192</v>
      </c>
    </row>
    <row r="1568" spans="1:17" x14ac:dyDescent="0.3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  <c r="L1568" t="str">
        <f>IFERROR(VLOOKUP(D1568,Products!$A:$C,3,FALSE),"")</f>
        <v>Sports</v>
      </c>
      <c r="M1568" t="str">
        <f>IFERROR(VLOOKUP(C1568,Customers!$A:$E,5,FALSE),"")</f>
        <v>SMB</v>
      </c>
      <c r="N1568">
        <f>IFERROR(VLOOKUP(C1568,Customers!$A:$E,3,FALSE),"")</f>
        <v>51</v>
      </c>
      <c r="O1568" s="33" t="str">
        <f>IFERROR(VLOOKUP(E1568,Sales_Reps!$A:$C,3,FALSE),"")</f>
        <v>South</v>
      </c>
      <c r="P1568" s="33">
        <f>IFERROR(VLOOKUP(D1568,Products!$A:$D,4,FALSE),"")</f>
        <v>2827</v>
      </c>
      <c r="Q1568" s="33">
        <f t="shared" si="24"/>
        <v>0.5926512968299712</v>
      </c>
    </row>
    <row r="1569" spans="1:17" x14ac:dyDescent="0.3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  <c r="L1569" t="str">
        <f>IFERROR(VLOOKUP(D1569,Products!$A:$C,3,FALSE),"")</f>
        <v>Beauty</v>
      </c>
      <c r="M1569" t="str">
        <f>IFERROR(VLOOKUP(C1569,Customers!$A:$E,5,FALSE),"")</f>
        <v>Retail</v>
      </c>
      <c r="N1569">
        <f>IFERROR(VLOOKUP(C1569,Customers!$A:$E,3,FALSE),"")</f>
        <v>32</v>
      </c>
      <c r="O1569" s="33" t="str">
        <f>IFERROR(VLOOKUP(E1569,Sales_Reps!$A:$C,3,FALSE),"")</f>
        <v>North</v>
      </c>
      <c r="P1569" s="33">
        <f>IFERROR(VLOOKUP(D1569,Products!$A:$D,4,FALSE),"")</f>
        <v>675</v>
      </c>
      <c r="Q1569" s="33">
        <f t="shared" si="24"/>
        <v>0.296875</v>
      </c>
    </row>
    <row r="1570" spans="1:17" x14ac:dyDescent="0.3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  <c r="L1570" t="str">
        <f>IFERROR(VLOOKUP(D1570,Products!$A:$C,3,FALSE),"")</f>
        <v>Grocery</v>
      </c>
      <c r="M1570" t="str">
        <f>IFERROR(VLOOKUP(C1570,Customers!$A:$E,5,FALSE),"")</f>
        <v>Retail</v>
      </c>
      <c r="N1570">
        <f>IFERROR(VLOOKUP(C1570,Customers!$A:$E,3,FALSE),"")</f>
        <v>38</v>
      </c>
      <c r="O1570" s="33" t="str">
        <f>IFERROR(VLOOKUP(E1570,Sales_Reps!$A:$C,3,FALSE),"")</f>
        <v>East</v>
      </c>
      <c r="P1570" s="33">
        <f>IFERROR(VLOOKUP(D1570,Products!$A:$D,4,FALSE),"")</f>
        <v>1435</v>
      </c>
      <c r="Q1570" s="33">
        <f t="shared" si="24"/>
        <v>0.48007246376811596</v>
      </c>
    </row>
    <row r="1571" spans="1:17" x14ac:dyDescent="0.3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  <c r="L1571" t="str">
        <f>IFERROR(VLOOKUP(D1571,Products!$A:$C,3,FALSE),"")</f>
        <v>Grocery</v>
      </c>
      <c r="M1571" t="str">
        <f>IFERROR(VLOOKUP(C1571,Customers!$A:$E,5,FALSE),"")</f>
        <v>SMB</v>
      </c>
      <c r="N1571">
        <f>IFERROR(VLOOKUP(C1571,Customers!$A:$E,3,FALSE),"")</f>
        <v>64</v>
      </c>
      <c r="O1571" s="33" t="str">
        <f>IFERROR(VLOOKUP(E1571,Sales_Reps!$A:$C,3,FALSE),"")</f>
        <v>West</v>
      </c>
      <c r="P1571" s="33">
        <f>IFERROR(VLOOKUP(D1571,Products!$A:$D,4,FALSE),"")</f>
        <v>1203</v>
      </c>
      <c r="Q1571" s="33">
        <f t="shared" si="24"/>
        <v>0.47004405286343615</v>
      </c>
    </row>
    <row r="1572" spans="1:17" x14ac:dyDescent="0.3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  <c r="L1572" t="str">
        <f>IFERROR(VLOOKUP(D1572,Products!$A:$C,3,FALSE),"")</f>
        <v>Electronics</v>
      </c>
      <c r="M1572" t="str">
        <f>IFERROR(VLOOKUP(C1572,Customers!$A:$E,5,FALSE),"")</f>
        <v>Retail</v>
      </c>
      <c r="N1572">
        <f>IFERROR(VLOOKUP(C1572,Customers!$A:$E,3,FALSE),"")</f>
        <v>22</v>
      </c>
      <c r="O1572" s="33" t="str">
        <f>IFERROR(VLOOKUP(E1572,Sales_Reps!$A:$C,3,FALSE),"")</f>
        <v>East</v>
      </c>
      <c r="P1572" s="33">
        <f>IFERROR(VLOOKUP(D1572,Products!$A:$D,4,FALSE),"")</f>
        <v>1052</v>
      </c>
      <c r="Q1572" s="33">
        <f t="shared" si="24"/>
        <v>0.5953846153846154</v>
      </c>
    </row>
    <row r="1573" spans="1:17" x14ac:dyDescent="0.3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  <c r="L1573" t="str">
        <f>IFERROR(VLOOKUP(D1573,Products!$A:$C,3,FALSE),"")</f>
        <v>Electronics</v>
      </c>
      <c r="M1573" t="str">
        <f>IFERROR(VLOOKUP(C1573,Customers!$A:$E,5,FALSE),"")</f>
        <v>SMB</v>
      </c>
      <c r="N1573">
        <f>IFERROR(VLOOKUP(C1573,Customers!$A:$E,3,FALSE),"")</f>
        <v>36</v>
      </c>
      <c r="O1573" s="33" t="str">
        <f>IFERROR(VLOOKUP(E1573,Sales_Reps!$A:$C,3,FALSE),"")</f>
        <v>West</v>
      </c>
      <c r="P1573" s="33">
        <f>IFERROR(VLOOKUP(D1573,Products!$A:$D,4,FALSE),"")</f>
        <v>1665</v>
      </c>
      <c r="Q1573" s="33">
        <f t="shared" si="24"/>
        <v>0.53361344537815125</v>
      </c>
    </row>
    <row r="1574" spans="1:17" x14ac:dyDescent="0.3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  <c r="L1574" t="str">
        <f>IFERROR(VLOOKUP(D1574,Products!$A:$C,3,FALSE),"")</f>
        <v>Home</v>
      </c>
      <c r="M1574" t="str">
        <f>IFERROR(VLOOKUP(C1574,Customers!$A:$E,5,FALSE),"")</f>
        <v>Retail</v>
      </c>
      <c r="N1574">
        <f>IFERROR(VLOOKUP(C1574,Customers!$A:$E,3,FALSE),"")</f>
        <v>65</v>
      </c>
      <c r="O1574" s="33" t="str">
        <f>IFERROR(VLOOKUP(E1574,Sales_Reps!$A:$C,3,FALSE),"")</f>
        <v>South</v>
      </c>
      <c r="P1574" s="33">
        <f>IFERROR(VLOOKUP(D1574,Products!$A:$D,4,FALSE),"")</f>
        <v>2459</v>
      </c>
      <c r="Q1574" s="33">
        <f t="shared" si="24"/>
        <v>0.51594488188976373</v>
      </c>
    </row>
    <row r="1575" spans="1:17" x14ac:dyDescent="0.3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  <c r="L1575" t="str">
        <f>IFERROR(VLOOKUP(D1575,Products!$A:$C,3,FALSE),"")</f>
        <v>Beauty</v>
      </c>
      <c r="M1575" t="str">
        <f>IFERROR(VLOOKUP(C1575,Customers!$A:$E,5,FALSE),"")</f>
        <v>Retail</v>
      </c>
      <c r="N1575">
        <f>IFERROR(VLOOKUP(C1575,Customers!$A:$E,3,FALSE),"")</f>
        <v>40</v>
      </c>
      <c r="O1575" s="33" t="str">
        <f>IFERROR(VLOOKUP(E1575,Sales_Reps!$A:$C,3,FALSE),"")</f>
        <v>South</v>
      </c>
      <c r="P1575" s="33">
        <f>IFERROR(VLOOKUP(D1575,Products!$A:$D,4,FALSE),"")</f>
        <v>675</v>
      </c>
      <c r="Q1575" s="33">
        <f t="shared" si="24"/>
        <v>0.296875</v>
      </c>
    </row>
    <row r="1576" spans="1:17" x14ac:dyDescent="0.3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  <c r="L1576" t="str">
        <f>IFERROR(VLOOKUP(D1576,Products!$A:$C,3,FALSE),"")</f>
        <v>Sports</v>
      </c>
      <c r="M1576" t="str">
        <f>IFERROR(VLOOKUP(C1576,Customers!$A:$E,5,FALSE),"")</f>
        <v>Corporate</v>
      </c>
      <c r="N1576">
        <f>IFERROR(VLOOKUP(C1576,Customers!$A:$E,3,FALSE),"")</f>
        <v>62</v>
      </c>
      <c r="O1576" s="33" t="str">
        <f>IFERROR(VLOOKUP(E1576,Sales_Reps!$A:$C,3,FALSE),"")</f>
        <v>South</v>
      </c>
      <c r="P1576" s="33">
        <f>IFERROR(VLOOKUP(D1576,Products!$A:$D,4,FALSE),"")</f>
        <v>302</v>
      </c>
      <c r="Q1576" s="33">
        <f t="shared" si="24"/>
        <v>0.35744680851063831</v>
      </c>
    </row>
    <row r="1577" spans="1:17" x14ac:dyDescent="0.3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  <c r="L1577" t="str">
        <f>IFERROR(VLOOKUP(D1577,Products!$A:$C,3,FALSE),"")</f>
        <v>Electronics</v>
      </c>
      <c r="M1577" t="str">
        <f>IFERROR(VLOOKUP(C1577,Customers!$A:$E,5,FALSE),"")</f>
        <v>Retail</v>
      </c>
      <c r="N1577">
        <f>IFERROR(VLOOKUP(C1577,Customers!$A:$E,3,FALSE),"")</f>
        <v>53</v>
      </c>
      <c r="O1577" s="33" t="str">
        <f>IFERROR(VLOOKUP(E1577,Sales_Reps!$A:$C,3,FALSE),"")</f>
        <v>West</v>
      </c>
      <c r="P1577" s="33">
        <f>IFERROR(VLOOKUP(D1577,Products!$A:$D,4,FALSE),"")</f>
        <v>517</v>
      </c>
      <c r="Q1577" s="33">
        <f t="shared" si="24"/>
        <v>0.57622950819672136</v>
      </c>
    </row>
    <row r="1578" spans="1:17" x14ac:dyDescent="0.3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  <c r="L1578" t="str">
        <f>IFERROR(VLOOKUP(D1578,Products!$A:$C,3,FALSE),"")</f>
        <v>Sports</v>
      </c>
      <c r="M1578" t="str">
        <f>IFERROR(VLOOKUP(C1578,Customers!$A:$E,5,FALSE),"")</f>
        <v>Retail</v>
      </c>
      <c r="N1578">
        <f>IFERROR(VLOOKUP(C1578,Customers!$A:$E,3,FALSE),"")</f>
        <v>44</v>
      </c>
      <c r="O1578" s="33" t="str">
        <f>IFERROR(VLOOKUP(E1578,Sales_Reps!$A:$C,3,FALSE),"")</f>
        <v>North</v>
      </c>
      <c r="P1578" s="33">
        <f>IFERROR(VLOOKUP(D1578,Products!$A:$D,4,FALSE),"")</f>
        <v>516</v>
      </c>
      <c r="Q1578" s="33">
        <f t="shared" si="24"/>
        <v>0.4891089108910891</v>
      </c>
    </row>
    <row r="1579" spans="1:17" x14ac:dyDescent="0.3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  <c r="L1579" t="str">
        <f>IFERROR(VLOOKUP(D1579,Products!$A:$C,3,FALSE),"")</f>
        <v>Grocery</v>
      </c>
      <c r="M1579" t="str">
        <f>IFERROR(VLOOKUP(C1579,Customers!$A:$E,5,FALSE),"")</f>
        <v>SMB</v>
      </c>
      <c r="N1579">
        <f>IFERROR(VLOOKUP(C1579,Customers!$A:$E,3,FALSE),"")</f>
        <v>65</v>
      </c>
      <c r="O1579" s="33" t="str">
        <f>IFERROR(VLOOKUP(E1579,Sales_Reps!$A:$C,3,FALSE),"")</f>
        <v>North</v>
      </c>
      <c r="P1579" s="33">
        <f>IFERROR(VLOOKUP(D1579,Products!$A:$D,4,FALSE),"")</f>
        <v>2214</v>
      </c>
      <c r="Q1579" s="33">
        <f t="shared" si="24"/>
        <v>0.39508196721311473</v>
      </c>
    </row>
    <row r="1580" spans="1:17" x14ac:dyDescent="0.3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  <c r="L1580" t="str">
        <f>IFERROR(VLOOKUP(D1580,Products!$A:$C,3,FALSE),"")</f>
        <v>Home</v>
      </c>
      <c r="M1580" t="str">
        <f>IFERROR(VLOOKUP(C1580,Customers!$A:$E,5,FALSE),"")</f>
        <v>Retail</v>
      </c>
      <c r="N1580">
        <f>IFERROR(VLOOKUP(C1580,Customers!$A:$E,3,FALSE),"")</f>
        <v>22</v>
      </c>
      <c r="O1580" s="33" t="str">
        <f>IFERROR(VLOOKUP(E1580,Sales_Reps!$A:$C,3,FALSE),"")</f>
        <v>South</v>
      </c>
      <c r="P1580" s="33">
        <f>IFERROR(VLOOKUP(D1580,Products!$A:$D,4,FALSE),"")</f>
        <v>2549</v>
      </c>
      <c r="Q1580" s="33">
        <f t="shared" si="24"/>
        <v>0.53570127504553733</v>
      </c>
    </row>
    <row r="1581" spans="1:17" x14ac:dyDescent="0.3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  <c r="L1581" t="str">
        <f>IFERROR(VLOOKUP(D1581,Products!$A:$C,3,FALSE),"")</f>
        <v>Grocery</v>
      </c>
      <c r="M1581" t="str">
        <f>IFERROR(VLOOKUP(C1581,Customers!$A:$E,5,FALSE),"")</f>
        <v>Corporate</v>
      </c>
      <c r="N1581">
        <f>IFERROR(VLOOKUP(C1581,Customers!$A:$E,3,FALSE),"")</f>
        <v>48</v>
      </c>
      <c r="O1581" s="33" t="str">
        <f>IFERROR(VLOOKUP(E1581,Sales_Reps!$A:$C,3,FALSE),"")</f>
        <v>North</v>
      </c>
      <c r="P1581" s="33">
        <f>IFERROR(VLOOKUP(D1581,Products!$A:$D,4,FALSE),"")</f>
        <v>1412</v>
      </c>
      <c r="Q1581" s="33">
        <f t="shared" si="24"/>
        <v>0.37797356828193834</v>
      </c>
    </row>
    <row r="1582" spans="1:17" x14ac:dyDescent="0.3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  <c r="L1582" t="str">
        <f>IFERROR(VLOOKUP(D1582,Products!$A:$C,3,FALSE),"")</f>
        <v>Grocery</v>
      </c>
      <c r="M1582" t="str">
        <f>IFERROR(VLOOKUP(C1582,Customers!$A:$E,5,FALSE),"")</f>
        <v>Retail</v>
      </c>
      <c r="N1582">
        <f>IFERROR(VLOOKUP(C1582,Customers!$A:$E,3,FALSE),"")</f>
        <v>25</v>
      </c>
      <c r="O1582" s="33" t="str">
        <f>IFERROR(VLOOKUP(E1582,Sales_Reps!$A:$C,3,FALSE),"")</f>
        <v>South</v>
      </c>
      <c r="P1582" s="33">
        <f>IFERROR(VLOOKUP(D1582,Products!$A:$D,4,FALSE),"")</f>
        <v>1412</v>
      </c>
      <c r="Q1582" s="33">
        <f t="shared" si="24"/>
        <v>0.37797356828193834</v>
      </c>
    </row>
    <row r="1583" spans="1:17" x14ac:dyDescent="0.3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  <c r="L1583" t="str">
        <f>IFERROR(VLOOKUP(D1583,Products!$A:$C,3,FALSE),"")</f>
        <v>Electronics</v>
      </c>
      <c r="M1583" t="str">
        <f>IFERROR(VLOOKUP(C1583,Customers!$A:$E,5,FALSE),"")</f>
        <v>SMB</v>
      </c>
      <c r="N1583">
        <f>IFERROR(VLOOKUP(C1583,Customers!$A:$E,3,FALSE),"")</f>
        <v>60</v>
      </c>
      <c r="O1583" s="33" t="str">
        <f>IFERROR(VLOOKUP(E1583,Sales_Reps!$A:$C,3,FALSE),"")</f>
        <v>East</v>
      </c>
      <c r="P1583" s="33">
        <f>IFERROR(VLOOKUP(D1583,Products!$A:$D,4,FALSE),"")</f>
        <v>1052</v>
      </c>
      <c r="Q1583" s="33">
        <f t="shared" si="24"/>
        <v>0.5953846153846154</v>
      </c>
    </row>
    <row r="1584" spans="1:17" x14ac:dyDescent="0.3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  <c r="L1584" t="str">
        <f>IFERROR(VLOOKUP(D1584,Products!$A:$C,3,FALSE),"")</f>
        <v>Electronics</v>
      </c>
      <c r="M1584" t="str">
        <f>IFERROR(VLOOKUP(C1584,Customers!$A:$E,5,FALSE),"")</f>
        <v>Retail</v>
      </c>
      <c r="N1584">
        <f>IFERROR(VLOOKUP(C1584,Customers!$A:$E,3,FALSE),"")</f>
        <v>34</v>
      </c>
      <c r="O1584" s="33" t="str">
        <f>IFERROR(VLOOKUP(E1584,Sales_Reps!$A:$C,3,FALSE),"")</f>
        <v>West</v>
      </c>
      <c r="P1584" s="33">
        <f>IFERROR(VLOOKUP(D1584,Products!$A:$D,4,FALSE),"")</f>
        <v>1559</v>
      </c>
      <c r="Q1584" s="33">
        <f t="shared" si="24"/>
        <v>0.59715762273901807</v>
      </c>
    </row>
    <row r="1585" spans="1:17" x14ac:dyDescent="0.3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  <c r="L1585" t="str">
        <f>IFERROR(VLOOKUP(D1585,Products!$A:$C,3,FALSE),"")</f>
        <v>Electronics</v>
      </c>
      <c r="M1585" t="str">
        <f>IFERROR(VLOOKUP(C1585,Customers!$A:$E,5,FALSE),"")</f>
        <v>SMB</v>
      </c>
      <c r="N1585">
        <f>IFERROR(VLOOKUP(C1585,Customers!$A:$E,3,FALSE),"")</f>
        <v>53</v>
      </c>
      <c r="O1585" s="33" t="str">
        <f>IFERROR(VLOOKUP(E1585,Sales_Reps!$A:$C,3,FALSE),"")</f>
        <v>North</v>
      </c>
      <c r="P1585" s="33">
        <f>IFERROR(VLOOKUP(D1585,Products!$A:$D,4,FALSE),"")</f>
        <v>2865</v>
      </c>
      <c r="Q1585" s="33">
        <f t="shared" si="24"/>
        <v>0.27833753148614609</v>
      </c>
    </row>
    <row r="1586" spans="1:17" x14ac:dyDescent="0.3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  <c r="L1586" t="str">
        <f>IFERROR(VLOOKUP(D1586,Products!$A:$C,3,FALSE),"")</f>
        <v>Beauty</v>
      </c>
      <c r="M1586" t="str">
        <f>IFERROR(VLOOKUP(C1586,Customers!$A:$E,5,FALSE),"")</f>
        <v>Retail</v>
      </c>
      <c r="N1586">
        <f>IFERROR(VLOOKUP(C1586,Customers!$A:$E,3,FALSE),"")</f>
        <v>28</v>
      </c>
      <c r="O1586" s="33" t="str">
        <f>IFERROR(VLOOKUP(E1586,Sales_Reps!$A:$C,3,FALSE),"")</f>
        <v>West</v>
      </c>
      <c r="P1586" s="33">
        <f>IFERROR(VLOOKUP(D1586,Products!$A:$D,4,FALSE),"")</f>
        <v>675</v>
      </c>
      <c r="Q1586" s="33">
        <f t="shared" si="24"/>
        <v>0.296875</v>
      </c>
    </row>
    <row r="1587" spans="1:17" x14ac:dyDescent="0.3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  <c r="L1587" t="str">
        <f>IFERROR(VLOOKUP(D1587,Products!$A:$C,3,FALSE),"")</f>
        <v>Sports</v>
      </c>
      <c r="M1587" t="str">
        <f>IFERROR(VLOOKUP(C1587,Customers!$A:$E,5,FALSE),"")</f>
        <v>Retail</v>
      </c>
      <c r="N1587">
        <f>IFERROR(VLOOKUP(C1587,Customers!$A:$E,3,FALSE),"")</f>
        <v>63</v>
      </c>
      <c r="O1587" s="33" t="str">
        <f>IFERROR(VLOOKUP(E1587,Sales_Reps!$A:$C,3,FALSE),"")</f>
        <v>West</v>
      </c>
      <c r="P1587" s="33">
        <f>IFERROR(VLOOKUP(D1587,Products!$A:$D,4,FALSE),"")</f>
        <v>2265</v>
      </c>
      <c r="Q1587" s="33">
        <f t="shared" si="24"/>
        <v>0.58133086876155271</v>
      </c>
    </row>
    <row r="1588" spans="1:17" x14ac:dyDescent="0.3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  <c r="L1588" t="str">
        <f>IFERROR(VLOOKUP(D1588,Products!$A:$C,3,FALSE),"")</f>
        <v>Apparel</v>
      </c>
      <c r="M1588" t="str">
        <f>IFERROR(VLOOKUP(C1588,Customers!$A:$E,5,FALSE),"")</f>
        <v>Corporate</v>
      </c>
      <c r="N1588">
        <f>IFERROR(VLOOKUP(C1588,Customers!$A:$E,3,FALSE),"")</f>
        <v>44</v>
      </c>
      <c r="O1588" s="33" t="str">
        <f>IFERROR(VLOOKUP(E1588,Sales_Reps!$A:$C,3,FALSE),"")</f>
        <v>North</v>
      </c>
      <c r="P1588" s="33">
        <f>IFERROR(VLOOKUP(D1588,Products!$A:$D,4,FALSE),"")</f>
        <v>1748</v>
      </c>
      <c r="Q1588" s="33">
        <f t="shared" si="24"/>
        <v>0.49333333333333335</v>
      </c>
    </row>
    <row r="1589" spans="1:17" x14ac:dyDescent="0.3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  <c r="L1589" t="str">
        <f>IFERROR(VLOOKUP(D1589,Products!$A:$C,3,FALSE),"")</f>
        <v>Beauty</v>
      </c>
      <c r="M1589" t="str">
        <f>IFERROR(VLOOKUP(C1589,Customers!$A:$E,5,FALSE),"")</f>
        <v>Retail</v>
      </c>
      <c r="N1589">
        <f>IFERROR(VLOOKUP(C1589,Customers!$A:$E,3,FALSE),"")</f>
        <v>53</v>
      </c>
      <c r="O1589" s="33" t="str">
        <f>IFERROR(VLOOKUP(E1589,Sales_Reps!$A:$C,3,FALSE),"")</f>
        <v>North</v>
      </c>
      <c r="P1589" s="33">
        <f>IFERROR(VLOOKUP(D1589,Products!$A:$D,4,FALSE),"")</f>
        <v>1626</v>
      </c>
      <c r="Q1589" s="33">
        <f t="shared" si="24"/>
        <v>0.46158940397350995</v>
      </c>
    </row>
    <row r="1590" spans="1:17" x14ac:dyDescent="0.3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  <c r="L1590" t="str">
        <f>IFERROR(VLOOKUP(D1590,Products!$A:$C,3,FALSE),"")</f>
        <v>Sports</v>
      </c>
      <c r="M1590" t="str">
        <f>IFERROR(VLOOKUP(C1590,Customers!$A:$E,5,FALSE),"")</f>
        <v>SMB</v>
      </c>
      <c r="N1590">
        <f>IFERROR(VLOOKUP(C1590,Customers!$A:$E,3,FALSE),"")</f>
        <v>54</v>
      </c>
      <c r="O1590" s="33" t="str">
        <f>IFERROR(VLOOKUP(E1590,Sales_Reps!$A:$C,3,FALSE),"")</f>
        <v>North</v>
      </c>
      <c r="P1590" s="33">
        <f>IFERROR(VLOOKUP(D1590,Products!$A:$D,4,FALSE),"")</f>
        <v>147</v>
      </c>
      <c r="Q1590" s="33">
        <f t="shared" si="24"/>
        <v>0.22631578947368422</v>
      </c>
    </row>
    <row r="1591" spans="1:17" x14ac:dyDescent="0.3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  <c r="L1591" t="str">
        <f>IFERROR(VLOOKUP(D1591,Products!$A:$C,3,FALSE),"")</f>
        <v>Home</v>
      </c>
      <c r="M1591" t="str">
        <f>IFERROR(VLOOKUP(C1591,Customers!$A:$E,5,FALSE),"")</f>
        <v>SMB</v>
      </c>
      <c r="N1591">
        <f>IFERROR(VLOOKUP(C1591,Customers!$A:$E,3,FALSE),"")</f>
        <v>44</v>
      </c>
      <c r="O1591" s="33" t="str">
        <f>IFERROR(VLOOKUP(E1591,Sales_Reps!$A:$C,3,FALSE),"")</f>
        <v>South</v>
      </c>
      <c r="P1591" s="33">
        <f>IFERROR(VLOOKUP(D1591,Products!$A:$D,4,FALSE),"")</f>
        <v>2135</v>
      </c>
      <c r="Q1591" s="33">
        <f t="shared" si="24"/>
        <v>0.42761394101876676</v>
      </c>
    </row>
    <row r="1592" spans="1:17" x14ac:dyDescent="0.3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  <c r="L1592" t="str">
        <f>IFERROR(VLOOKUP(D1592,Products!$A:$C,3,FALSE),"")</f>
        <v>Sports</v>
      </c>
      <c r="M1592" t="str">
        <f>IFERROR(VLOOKUP(C1592,Customers!$A:$E,5,FALSE),"")</f>
        <v>SMB</v>
      </c>
      <c r="N1592">
        <f>IFERROR(VLOOKUP(C1592,Customers!$A:$E,3,FALSE),"")</f>
        <v>47</v>
      </c>
      <c r="O1592" s="33" t="str">
        <f>IFERROR(VLOOKUP(E1592,Sales_Reps!$A:$C,3,FALSE),"")</f>
        <v>West</v>
      </c>
      <c r="P1592" s="33">
        <f>IFERROR(VLOOKUP(D1592,Products!$A:$D,4,FALSE),"")</f>
        <v>2467</v>
      </c>
      <c r="Q1592" s="33">
        <f t="shared" si="24"/>
        <v>0.28492753623188405</v>
      </c>
    </row>
    <row r="1593" spans="1:17" x14ac:dyDescent="0.3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  <c r="L1593" t="str">
        <f>IFERROR(VLOOKUP(D1593,Products!$A:$C,3,FALSE),"")</f>
        <v>Electronics</v>
      </c>
      <c r="M1593" t="str">
        <f>IFERROR(VLOOKUP(C1593,Customers!$A:$E,5,FALSE),"")</f>
        <v>Corporate</v>
      </c>
      <c r="N1593">
        <f>IFERROR(VLOOKUP(C1593,Customers!$A:$E,3,FALSE),"")</f>
        <v>36</v>
      </c>
      <c r="O1593" s="33" t="str">
        <f>IFERROR(VLOOKUP(E1593,Sales_Reps!$A:$C,3,FALSE),"")</f>
        <v>North</v>
      </c>
      <c r="P1593" s="33">
        <f>IFERROR(VLOOKUP(D1593,Products!$A:$D,4,FALSE),"")</f>
        <v>2865</v>
      </c>
      <c r="Q1593" s="33">
        <f t="shared" si="24"/>
        <v>0.27833753148614609</v>
      </c>
    </row>
    <row r="1594" spans="1:17" x14ac:dyDescent="0.3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  <c r="L1594" t="str">
        <f>IFERROR(VLOOKUP(D1594,Products!$A:$C,3,FALSE),"")</f>
        <v>Home</v>
      </c>
      <c r="M1594" t="str">
        <f>IFERROR(VLOOKUP(C1594,Customers!$A:$E,5,FALSE),"")</f>
        <v>Retail</v>
      </c>
      <c r="N1594">
        <f>IFERROR(VLOOKUP(C1594,Customers!$A:$E,3,FALSE),"")</f>
        <v>52</v>
      </c>
      <c r="O1594" s="33" t="str">
        <f>IFERROR(VLOOKUP(E1594,Sales_Reps!$A:$C,3,FALSE),"")</f>
        <v>East</v>
      </c>
      <c r="P1594" s="33">
        <f>IFERROR(VLOOKUP(D1594,Products!$A:$D,4,FALSE),"")</f>
        <v>464</v>
      </c>
      <c r="Q1594" s="33">
        <f t="shared" si="24"/>
        <v>0.57431192660550456</v>
      </c>
    </row>
    <row r="1595" spans="1:17" x14ac:dyDescent="0.3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  <c r="L1595" t="str">
        <f>IFERROR(VLOOKUP(D1595,Products!$A:$C,3,FALSE),"")</f>
        <v>Home</v>
      </c>
      <c r="M1595" t="str">
        <f>IFERROR(VLOOKUP(C1595,Customers!$A:$E,5,FALSE),"")</f>
        <v>SMB</v>
      </c>
      <c r="N1595">
        <f>IFERROR(VLOOKUP(C1595,Customers!$A:$E,3,FALSE),"")</f>
        <v>49</v>
      </c>
      <c r="O1595" s="33" t="str">
        <f>IFERROR(VLOOKUP(E1595,Sales_Reps!$A:$C,3,FALSE),"")</f>
        <v>East</v>
      </c>
      <c r="P1595" s="33">
        <f>IFERROR(VLOOKUP(D1595,Products!$A:$D,4,FALSE),"")</f>
        <v>1143</v>
      </c>
      <c r="Q1595" s="33">
        <f t="shared" si="24"/>
        <v>0.43694581280788175</v>
      </c>
    </row>
    <row r="1596" spans="1:17" x14ac:dyDescent="0.3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  <c r="L1596" t="str">
        <f>IFERROR(VLOOKUP(D1596,Products!$A:$C,3,FALSE),"")</f>
        <v>Grocery</v>
      </c>
      <c r="M1596" t="str">
        <f>IFERROR(VLOOKUP(C1596,Customers!$A:$E,5,FALSE),"")</f>
        <v>Corporate</v>
      </c>
      <c r="N1596">
        <f>IFERROR(VLOOKUP(C1596,Customers!$A:$E,3,FALSE),"")</f>
        <v>22</v>
      </c>
      <c r="O1596" s="33" t="str">
        <f>IFERROR(VLOOKUP(E1596,Sales_Reps!$A:$C,3,FALSE),"")</f>
        <v>North</v>
      </c>
      <c r="P1596" s="33">
        <f>IFERROR(VLOOKUP(D1596,Products!$A:$D,4,FALSE),"")</f>
        <v>2027</v>
      </c>
      <c r="Q1596" s="33">
        <f t="shared" si="24"/>
        <v>0.50196560196560192</v>
      </c>
    </row>
    <row r="1597" spans="1:17" x14ac:dyDescent="0.3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  <c r="L1597" t="str">
        <f>IFERROR(VLOOKUP(D1597,Products!$A:$C,3,FALSE),"")</f>
        <v>Apparel</v>
      </c>
      <c r="M1597" t="str">
        <f>IFERROR(VLOOKUP(C1597,Customers!$A:$E,5,FALSE),"")</f>
        <v>Corporate</v>
      </c>
      <c r="N1597">
        <f>IFERROR(VLOOKUP(C1597,Customers!$A:$E,3,FALSE),"")</f>
        <v>49</v>
      </c>
      <c r="O1597" s="33" t="str">
        <f>IFERROR(VLOOKUP(E1597,Sales_Reps!$A:$C,3,FALSE),"")</f>
        <v>West</v>
      </c>
      <c r="P1597" s="33">
        <f>IFERROR(VLOOKUP(D1597,Products!$A:$D,4,FALSE),"")</f>
        <v>2509</v>
      </c>
      <c r="Q1597" s="33">
        <f t="shared" si="24"/>
        <v>0.3069060773480663</v>
      </c>
    </row>
    <row r="1598" spans="1:17" x14ac:dyDescent="0.3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  <c r="L1598" t="str">
        <f>IFERROR(VLOOKUP(D1598,Products!$A:$C,3,FALSE),"")</f>
        <v>Sports</v>
      </c>
      <c r="M1598" t="str">
        <f>IFERROR(VLOOKUP(C1598,Customers!$A:$E,5,FALSE),"")</f>
        <v>Retail</v>
      </c>
      <c r="N1598">
        <f>IFERROR(VLOOKUP(C1598,Customers!$A:$E,3,FALSE),"")</f>
        <v>31</v>
      </c>
      <c r="O1598" s="33" t="str">
        <f>IFERROR(VLOOKUP(E1598,Sales_Reps!$A:$C,3,FALSE),"")</f>
        <v>North</v>
      </c>
      <c r="P1598" s="33">
        <f>IFERROR(VLOOKUP(D1598,Products!$A:$D,4,FALSE),"")</f>
        <v>516</v>
      </c>
      <c r="Q1598" s="33">
        <f t="shared" si="24"/>
        <v>0.4891089108910891</v>
      </c>
    </row>
    <row r="1599" spans="1:17" x14ac:dyDescent="0.3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  <c r="L1599" t="str">
        <f>IFERROR(VLOOKUP(D1599,Products!$A:$C,3,FALSE),"")</f>
        <v>Grocery</v>
      </c>
      <c r="M1599" t="str">
        <f>IFERROR(VLOOKUP(C1599,Customers!$A:$E,5,FALSE),"")</f>
        <v>SMB</v>
      </c>
      <c r="N1599">
        <f>IFERROR(VLOOKUP(C1599,Customers!$A:$E,3,FALSE),"")</f>
        <v>38</v>
      </c>
      <c r="O1599" s="33" t="str">
        <f>IFERROR(VLOOKUP(E1599,Sales_Reps!$A:$C,3,FALSE),"")</f>
        <v>North</v>
      </c>
      <c r="P1599" s="33">
        <f>IFERROR(VLOOKUP(D1599,Products!$A:$D,4,FALSE),"")</f>
        <v>434</v>
      </c>
      <c r="Q1599" s="33">
        <f t="shared" si="24"/>
        <v>0.5525773195876289</v>
      </c>
    </row>
    <row r="1600" spans="1:17" x14ac:dyDescent="0.3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  <c r="L1600" t="str">
        <f>IFERROR(VLOOKUP(D1600,Products!$A:$C,3,FALSE),"")</f>
        <v>Sports</v>
      </c>
      <c r="M1600" t="str">
        <f>IFERROR(VLOOKUP(C1600,Customers!$A:$E,5,FALSE),"")</f>
        <v>Retail</v>
      </c>
      <c r="N1600">
        <f>IFERROR(VLOOKUP(C1600,Customers!$A:$E,3,FALSE),"")</f>
        <v>47</v>
      </c>
      <c r="O1600" s="33" t="str">
        <f>IFERROR(VLOOKUP(E1600,Sales_Reps!$A:$C,3,FALSE),"")</f>
        <v>West</v>
      </c>
      <c r="P1600" s="33">
        <f>IFERROR(VLOOKUP(D1600,Products!$A:$D,4,FALSE),"")</f>
        <v>302</v>
      </c>
      <c r="Q1600" s="33">
        <f t="shared" si="24"/>
        <v>0.35744680851063831</v>
      </c>
    </row>
    <row r="1601" spans="1:17" x14ac:dyDescent="0.3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  <c r="L1601" t="str">
        <f>IFERROR(VLOOKUP(D1601,Products!$A:$C,3,FALSE),"")</f>
        <v>Apparel</v>
      </c>
      <c r="M1601" t="str">
        <f>IFERROR(VLOOKUP(C1601,Customers!$A:$E,5,FALSE),"")</f>
        <v>Retail</v>
      </c>
      <c r="N1601">
        <f>IFERROR(VLOOKUP(C1601,Customers!$A:$E,3,FALSE),"")</f>
        <v>37</v>
      </c>
      <c r="O1601" s="33" t="str">
        <f>IFERROR(VLOOKUP(E1601,Sales_Reps!$A:$C,3,FALSE),"")</f>
        <v>South</v>
      </c>
      <c r="P1601" s="33">
        <f>IFERROR(VLOOKUP(D1601,Products!$A:$D,4,FALSE),"")</f>
        <v>1748</v>
      </c>
      <c r="Q1601" s="33">
        <f t="shared" si="24"/>
        <v>0.49333333333333335</v>
      </c>
    </row>
    <row r="1602" spans="1:17" x14ac:dyDescent="0.3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  <c r="L1602" t="str">
        <f>IFERROR(VLOOKUP(D1602,Products!$A:$C,3,FALSE),"")</f>
        <v>Electronics</v>
      </c>
      <c r="M1602" t="str">
        <f>IFERROR(VLOOKUP(C1602,Customers!$A:$E,5,FALSE),"")</f>
        <v>Corporate</v>
      </c>
      <c r="N1602">
        <f>IFERROR(VLOOKUP(C1602,Customers!$A:$E,3,FALSE),"")</f>
        <v>40</v>
      </c>
      <c r="O1602" s="33" t="str">
        <f>IFERROR(VLOOKUP(E1602,Sales_Reps!$A:$C,3,FALSE),"")</f>
        <v>East</v>
      </c>
      <c r="P1602" s="33">
        <f>IFERROR(VLOOKUP(D1602,Products!$A:$D,4,FALSE),"")</f>
        <v>1149</v>
      </c>
      <c r="Q1602" s="33">
        <f t="shared" si="24"/>
        <v>0.56477272727272732</v>
      </c>
    </row>
    <row r="1603" spans="1:17" x14ac:dyDescent="0.3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  <c r="L1603" t="str">
        <f>IFERROR(VLOOKUP(D1603,Products!$A:$C,3,FALSE),"")</f>
        <v>Electronics</v>
      </c>
      <c r="M1603" t="str">
        <f>IFERROR(VLOOKUP(C1603,Customers!$A:$E,5,FALSE),"")</f>
        <v>Retail</v>
      </c>
      <c r="N1603">
        <f>IFERROR(VLOOKUP(C1603,Customers!$A:$E,3,FALSE),"")</f>
        <v>26</v>
      </c>
      <c r="O1603" s="33" t="str">
        <f>IFERROR(VLOOKUP(E1603,Sales_Reps!$A:$C,3,FALSE),"")</f>
        <v>East</v>
      </c>
      <c r="P1603" s="33">
        <f>IFERROR(VLOOKUP(D1603,Products!$A:$D,4,FALSE),"")</f>
        <v>1665</v>
      </c>
      <c r="Q1603" s="33">
        <f t="shared" ref="Q1603:Q1666" si="25">IFERROR((G1603-P1603)/G1603,"")</f>
        <v>0.53361344537815125</v>
      </c>
    </row>
    <row r="1604" spans="1:17" x14ac:dyDescent="0.3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  <c r="L1604" t="str">
        <f>IFERROR(VLOOKUP(D1604,Products!$A:$C,3,FALSE),"")</f>
        <v>Electronics</v>
      </c>
      <c r="M1604" t="str">
        <f>IFERROR(VLOOKUP(C1604,Customers!$A:$E,5,FALSE),"")</f>
        <v>Retail</v>
      </c>
      <c r="N1604">
        <f>IFERROR(VLOOKUP(C1604,Customers!$A:$E,3,FALSE),"")</f>
        <v>22</v>
      </c>
      <c r="O1604" s="33" t="str">
        <f>IFERROR(VLOOKUP(E1604,Sales_Reps!$A:$C,3,FALSE),"")</f>
        <v>South</v>
      </c>
      <c r="P1604" s="33">
        <f>IFERROR(VLOOKUP(D1604,Products!$A:$D,4,FALSE),"")</f>
        <v>861</v>
      </c>
      <c r="Q1604" s="33">
        <f t="shared" si="25"/>
        <v>0.39790209790209791</v>
      </c>
    </row>
    <row r="1605" spans="1:17" x14ac:dyDescent="0.3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  <c r="L1605" t="str">
        <f>IFERROR(VLOOKUP(D1605,Products!$A:$C,3,FALSE),"")</f>
        <v>Sports</v>
      </c>
      <c r="M1605" t="str">
        <f>IFERROR(VLOOKUP(C1605,Customers!$A:$E,5,FALSE),"")</f>
        <v>Retail</v>
      </c>
      <c r="N1605">
        <f>IFERROR(VLOOKUP(C1605,Customers!$A:$E,3,FALSE),"")</f>
        <v>32</v>
      </c>
      <c r="O1605" s="33" t="str">
        <f>IFERROR(VLOOKUP(E1605,Sales_Reps!$A:$C,3,FALSE),"")</f>
        <v>South</v>
      </c>
      <c r="P1605" s="33">
        <f>IFERROR(VLOOKUP(D1605,Products!$A:$D,4,FALSE),"")</f>
        <v>705</v>
      </c>
      <c r="Q1605" s="33">
        <f t="shared" si="25"/>
        <v>0.265625</v>
      </c>
    </row>
    <row r="1606" spans="1:17" x14ac:dyDescent="0.3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  <c r="L1606" t="str">
        <f>IFERROR(VLOOKUP(D1606,Products!$A:$C,3,FALSE),"")</f>
        <v>Home</v>
      </c>
      <c r="M1606" t="str">
        <f>IFERROR(VLOOKUP(C1606,Customers!$A:$E,5,FALSE),"")</f>
        <v>Retail</v>
      </c>
      <c r="N1606">
        <f>IFERROR(VLOOKUP(C1606,Customers!$A:$E,3,FALSE),"")</f>
        <v>27</v>
      </c>
      <c r="O1606" s="33" t="str">
        <f>IFERROR(VLOOKUP(E1606,Sales_Reps!$A:$C,3,FALSE),"")</f>
        <v>South</v>
      </c>
      <c r="P1606" s="33">
        <f>IFERROR(VLOOKUP(D1606,Products!$A:$D,4,FALSE),"")</f>
        <v>1556</v>
      </c>
      <c r="Q1606" s="33">
        <f t="shared" si="25"/>
        <v>0.52123076923076928</v>
      </c>
    </row>
    <row r="1607" spans="1:17" x14ac:dyDescent="0.3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  <c r="L1607" t="str">
        <f>IFERROR(VLOOKUP(D1607,Products!$A:$C,3,FALSE),"")</f>
        <v>Sports</v>
      </c>
      <c r="M1607" t="str">
        <f>IFERROR(VLOOKUP(C1607,Customers!$A:$E,5,FALSE),"")</f>
        <v>Corporate</v>
      </c>
      <c r="N1607">
        <f>IFERROR(VLOOKUP(C1607,Customers!$A:$E,3,FALSE),"")</f>
        <v>22</v>
      </c>
      <c r="O1607" s="33" t="str">
        <f>IFERROR(VLOOKUP(E1607,Sales_Reps!$A:$C,3,FALSE),"")</f>
        <v>East</v>
      </c>
      <c r="P1607" s="33">
        <f>IFERROR(VLOOKUP(D1607,Products!$A:$D,4,FALSE),"")</f>
        <v>2467</v>
      </c>
      <c r="Q1607" s="33">
        <f t="shared" si="25"/>
        <v>0.28492753623188405</v>
      </c>
    </row>
    <row r="1608" spans="1:17" x14ac:dyDescent="0.3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  <c r="L1608" t="str">
        <f>IFERROR(VLOOKUP(D1608,Products!$A:$C,3,FALSE),"")</f>
        <v>Grocery</v>
      </c>
      <c r="M1608" t="str">
        <f>IFERROR(VLOOKUP(C1608,Customers!$A:$E,5,FALSE),"")</f>
        <v>SMB</v>
      </c>
      <c r="N1608">
        <f>IFERROR(VLOOKUP(C1608,Customers!$A:$E,3,FALSE),"")</f>
        <v>40</v>
      </c>
      <c r="O1608" s="33" t="str">
        <f>IFERROR(VLOOKUP(E1608,Sales_Reps!$A:$C,3,FALSE),"")</f>
        <v>South</v>
      </c>
      <c r="P1608" s="33">
        <f>IFERROR(VLOOKUP(D1608,Products!$A:$D,4,FALSE),"")</f>
        <v>1203</v>
      </c>
      <c r="Q1608" s="33">
        <f t="shared" si="25"/>
        <v>0.47004405286343615</v>
      </c>
    </row>
    <row r="1609" spans="1:17" x14ac:dyDescent="0.3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  <c r="L1609" t="str">
        <f>IFERROR(VLOOKUP(D1609,Products!$A:$C,3,FALSE),"")</f>
        <v>Beauty</v>
      </c>
      <c r="M1609" t="str">
        <f>IFERROR(VLOOKUP(C1609,Customers!$A:$E,5,FALSE),"")</f>
        <v>Retail</v>
      </c>
      <c r="N1609">
        <f>IFERROR(VLOOKUP(C1609,Customers!$A:$E,3,FALSE),"")</f>
        <v>46</v>
      </c>
      <c r="O1609" s="33" t="str">
        <f>IFERROR(VLOOKUP(E1609,Sales_Reps!$A:$C,3,FALSE),"")</f>
        <v>East</v>
      </c>
      <c r="P1609" s="33">
        <f>IFERROR(VLOOKUP(D1609,Products!$A:$D,4,FALSE),"")</f>
        <v>1626</v>
      </c>
      <c r="Q1609" s="33">
        <f t="shared" si="25"/>
        <v>0.46158940397350995</v>
      </c>
    </row>
    <row r="1610" spans="1:17" x14ac:dyDescent="0.3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  <c r="L1610" t="str">
        <f>IFERROR(VLOOKUP(D1610,Products!$A:$C,3,FALSE),"")</f>
        <v>Electronics</v>
      </c>
      <c r="M1610" t="str">
        <f>IFERROR(VLOOKUP(C1610,Customers!$A:$E,5,FALSE),"")</f>
        <v>Retail</v>
      </c>
      <c r="N1610">
        <f>IFERROR(VLOOKUP(C1610,Customers!$A:$E,3,FALSE),"")</f>
        <v>55</v>
      </c>
      <c r="O1610" s="33" t="str">
        <f>IFERROR(VLOOKUP(E1610,Sales_Reps!$A:$C,3,FALSE),"")</f>
        <v>North</v>
      </c>
      <c r="P1610" s="33">
        <f>IFERROR(VLOOKUP(D1610,Products!$A:$D,4,FALSE),"")</f>
        <v>1149</v>
      </c>
      <c r="Q1610" s="33">
        <f t="shared" si="25"/>
        <v>0.56477272727272732</v>
      </c>
    </row>
    <row r="1611" spans="1:17" x14ac:dyDescent="0.3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  <c r="L1611" t="str">
        <f>IFERROR(VLOOKUP(D1611,Products!$A:$C,3,FALSE),"")</f>
        <v>Grocery</v>
      </c>
      <c r="M1611" t="str">
        <f>IFERROR(VLOOKUP(C1611,Customers!$A:$E,5,FALSE),"")</f>
        <v>Retail</v>
      </c>
      <c r="N1611">
        <f>IFERROR(VLOOKUP(C1611,Customers!$A:$E,3,FALSE),"")</f>
        <v>42</v>
      </c>
      <c r="O1611" s="33" t="str">
        <f>IFERROR(VLOOKUP(E1611,Sales_Reps!$A:$C,3,FALSE),"")</f>
        <v>West</v>
      </c>
      <c r="P1611" s="33">
        <f>IFERROR(VLOOKUP(D1611,Products!$A:$D,4,FALSE),"")</f>
        <v>1203</v>
      </c>
      <c r="Q1611" s="33">
        <f t="shared" si="25"/>
        <v>0.47004405286343615</v>
      </c>
    </row>
    <row r="1612" spans="1:17" x14ac:dyDescent="0.3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  <c r="L1612" t="str">
        <f>IFERROR(VLOOKUP(D1612,Products!$A:$C,3,FALSE),"")</f>
        <v>Grocery</v>
      </c>
      <c r="M1612" t="str">
        <f>IFERROR(VLOOKUP(C1612,Customers!$A:$E,5,FALSE),"")</f>
        <v>Retail</v>
      </c>
      <c r="N1612">
        <f>IFERROR(VLOOKUP(C1612,Customers!$A:$E,3,FALSE),"")</f>
        <v>36</v>
      </c>
      <c r="O1612" s="33" t="str">
        <f>IFERROR(VLOOKUP(E1612,Sales_Reps!$A:$C,3,FALSE),"")</f>
        <v>West</v>
      </c>
      <c r="P1612" s="33">
        <f>IFERROR(VLOOKUP(D1612,Products!$A:$D,4,FALSE),"")</f>
        <v>1435</v>
      </c>
      <c r="Q1612" s="33">
        <f t="shared" si="25"/>
        <v>0.48007246376811596</v>
      </c>
    </row>
    <row r="1613" spans="1:17" x14ac:dyDescent="0.3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  <c r="L1613" t="str">
        <f>IFERROR(VLOOKUP(D1613,Products!$A:$C,3,FALSE),"")</f>
        <v>Apparel</v>
      </c>
      <c r="M1613" t="str">
        <f>IFERROR(VLOOKUP(C1613,Customers!$A:$E,5,FALSE),"")</f>
        <v>Retail</v>
      </c>
      <c r="N1613">
        <f>IFERROR(VLOOKUP(C1613,Customers!$A:$E,3,FALSE),"")</f>
        <v>31</v>
      </c>
      <c r="O1613" s="33" t="str">
        <f>IFERROR(VLOOKUP(E1613,Sales_Reps!$A:$C,3,FALSE),"")</f>
        <v>East</v>
      </c>
      <c r="P1613" s="33">
        <f>IFERROR(VLOOKUP(D1613,Products!$A:$D,4,FALSE),"")</f>
        <v>2509</v>
      </c>
      <c r="Q1613" s="33">
        <f t="shared" si="25"/>
        <v>0.3069060773480663</v>
      </c>
    </row>
    <row r="1614" spans="1:17" x14ac:dyDescent="0.3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  <c r="L1614" t="str">
        <f>IFERROR(VLOOKUP(D1614,Products!$A:$C,3,FALSE),"")</f>
        <v>Beauty</v>
      </c>
      <c r="M1614" t="str">
        <f>IFERROR(VLOOKUP(C1614,Customers!$A:$E,5,FALSE),"")</f>
        <v>Retail</v>
      </c>
      <c r="N1614">
        <f>IFERROR(VLOOKUP(C1614,Customers!$A:$E,3,FALSE),"")</f>
        <v>54</v>
      </c>
      <c r="O1614" s="33" t="str">
        <f>IFERROR(VLOOKUP(E1614,Sales_Reps!$A:$C,3,FALSE),"")</f>
        <v>East</v>
      </c>
      <c r="P1614" s="33">
        <f>IFERROR(VLOOKUP(D1614,Products!$A:$D,4,FALSE),"")</f>
        <v>1219</v>
      </c>
      <c r="Q1614" s="33">
        <f t="shared" si="25"/>
        <v>0.46768558951965067</v>
      </c>
    </row>
    <row r="1615" spans="1:17" x14ac:dyDescent="0.3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  <c r="L1615" t="str">
        <f>IFERROR(VLOOKUP(D1615,Products!$A:$C,3,FALSE),"")</f>
        <v>Beauty</v>
      </c>
      <c r="M1615" t="str">
        <f>IFERROR(VLOOKUP(C1615,Customers!$A:$E,5,FALSE),"")</f>
        <v>Corporate</v>
      </c>
      <c r="N1615">
        <f>IFERROR(VLOOKUP(C1615,Customers!$A:$E,3,FALSE),"")</f>
        <v>41</v>
      </c>
      <c r="O1615" s="33" t="str">
        <f>IFERROR(VLOOKUP(E1615,Sales_Reps!$A:$C,3,FALSE),"")</f>
        <v>East</v>
      </c>
      <c r="P1615" s="33">
        <f>IFERROR(VLOOKUP(D1615,Products!$A:$D,4,FALSE),"")</f>
        <v>1222</v>
      </c>
      <c r="Q1615" s="33">
        <f t="shared" si="25"/>
        <v>0.2593939393939394</v>
      </c>
    </row>
    <row r="1616" spans="1:17" x14ac:dyDescent="0.3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  <c r="L1616" t="str">
        <f>IFERROR(VLOOKUP(D1616,Products!$A:$C,3,FALSE),"")</f>
        <v>Electronics</v>
      </c>
      <c r="M1616" t="str">
        <f>IFERROR(VLOOKUP(C1616,Customers!$A:$E,5,FALSE),"")</f>
        <v>Corporate</v>
      </c>
      <c r="N1616">
        <f>IFERROR(VLOOKUP(C1616,Customers!$A:$E,3,FALSE),"")</f>
        <v>35</v>
      </c>
      <c r="O1616" s="33" t="str">
        <f>IFERROR(VLOOKUP(E1616,Sales_Reps!$A:$C,3,FALSE),"")</f>
        <v>East</v>
      </c>
      <c r="P1616" s="33">
        <f>IFERROR(VLOOKUP(D1616,Products!$A:$D,4,FALSE),"")</f>
        <v>2405</v>
      </c>
      <c r="Q1616" s="33">
        <f t="shared" si="25"/>
        <v>0.54878048780487809</v>
      </c>
    </row>
    <row r="1617" spans="1:17" x14ac:dyDescent="0.3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  <c r="L1617" t="str">
        <f>IFERROR(VLOOKUP(D1617,Products!$A:$C,3,FALSE),"")</f>
        <v>Home</v>
      </c>
      <c r="M1617" t="str">
        <f>IFERROR(VLOOKUP(C1617,Customers!$A:$E,5,FALSE),"")</f>
        <v>Retail</v>
      </c>
      <c r="N1617">
        <f>IFERROR(VLOOKUP(C1617,Customers!$A:$E,3,FALSE),"")</f>
        <v>35</v>
      </c>
      <c r="O1617" s="33" t="str">
        <f>IFERROR(VLOOKUP(E1617,Sales_Reps!$A:$C,3,FALSE),"")</f>
        <v>East</v>
      </c>
      <c r="P1617" s="33">
        <f>IFERROR(VLOOKUP(D1617,Products!$A:$D,4,FALSE),"")</f>
        <v>519</v>
      </c>
      <c r="Q1617" s="33">
        <f t="shared" si="25"/>
        <v>0.51944444444444449</v>
      </c>
    </row>
    <row r="1618" spans="1:17" x14ac:dyDescent="0.3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  <c r="L1618" t="str">
        <f>IFERROR(VLOOKUP(D1618,Products!$A:$C,3,FALSE),"")</f>
        <v>Electronics</v>
      </c>
      <c r="M1618" t="str">
        <f>IFERROR(VLOOKUP(C1618,Customers!$A:$E,5,FALSE),"")</f>
        <v>Corporate</v>
      </c>
      <c r="N1618">
        <f>IFERROR(VLOOKUP(C1618,Customers!$A:$E,3,FALSE),"")</f>
        <v>46</v>
      </c>
      <c r="O1618" s="33" t="str">
        <f>IFERROR(VLOOKUP(E1618,Sales_Reps!$A:$C,3,FALSE),"")</f>
        <v>East</v>
      </c>
      <c r="P1618" s="33">
        <f>IFERROR(VLOOKUP(D1618,Products!$A:$D,4,FALSE),"")</f>
        <v>517</v>
      </c>
      <c r="Q1618" s="33">
        <f t="shared" si="25"/>
        <v>0.57622950819672136</v>
      </c>
    </row>
    <row r="1619" spans="1:17" x14ac:dyDescent="0.3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  <c r="L1619" t="str">
        <f>IFERROR(VLOOKUP(D1619,Products!$A:$C,3,FALSE),"")</f>
        <v>Home</v>
      </c>
      <c r="M1619" t="str">
        <f>IFERROR(VLOOKUP(C1619,Customers!$A:$E,5,FALSE),"")</f>
        <v>Corporate</v>
      </c>
      <c r="N1619">
        <f>IFERROR(VLOOKUP(C1619,Customers!$A:$E,3,FALSE),"")</f>
        <v>46</v>
      </c>
      <c r="O1619" s="33" t="str">
        <f>IFERROR(VLOOKUP(E1619,Sales_Reps!$A:$C,3,FALSE),"")</f>
        <v>West</v>
      </c>
      <c r="P1619" s="33">
        <f>IFERROR(VLOOKUP(D1619,Products!$A:$D,4,FALSE),"")</f>
        <v>329</v>
      </c>
      <c r="Q1619" s="33">
        <f t="shared" si="25"/>
        <v>0.50151515151515147</v>
      </c>
    </row>
    <row r="1620" spans="1:17" x14ac:dyDescent="0.3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  <c r="L1620" t="str">
        <f>IFERROR(VLOOKUP(D1620,Products!$A:$C,3,FALSE),"")</f>
        <v>Home</v>
      </c>
      <c r="M1620" t="str">
        <f>IFERROR(VLOOKUP(C1620,Customers!$A:$E,5,FALSE),"")</f>
        <v>Retail</v>
      </c>
      <c r="N1620">
        <f>IFERROR(VLOOKUP(C1620,Customers!$A:$E,3,FALSE),"")</f>
        <v>65</v>
      </c>
      <c r="O1620" s="33" t="str">
        <f>IFERROR(VLOOKUP(E1620,Sales_Reps!$A:$C,3,FALSE),"")</f>
        <v>East</v>
      </c>
      <c r="P1620" s="33">
        <f>IFERROR(VLOOKUP(D1620,Products!$A:$D,4,FALSE),"")</f>
        <v>519</v>
      </c>
      <c r="Q1620" s="33">
        <f t="shared" si="25"/>
        <v>0.51944444444444449</v>
      </c>
    </row>
    <row r="1621" spans="1:17" x14ac:dyDescent="0.3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  <c r="L1621" t="str">
        <f>IFERROR(VLOOKUP(D1621,Products!$A:$C,3,FALSE),"")</f>
        <v>Grocery</v>
      </c>
      <c r="M1621" t="str">
        <f>IFERROR(VLOOKUP(C1621,Customers!$A:$E,5,FALSE),"")</f>
        <v>Corporate</v>
      </c>
      <c r="N1621">
        <f>IFERROR(VLOOKUP(C1621,Customers!$A:$E,3,FALSE),"")</f>
        <v>30</v>
      </c>
      <c r="O1621" s="33" t="str">
        <f>IFERROR(VLOOKUP(E1621,Sales_Reps!$A:$C,3,FALSE),"")</f>
        <v>East</v>
      </c>
      <c r="P1621" s="33">
        <f>IFERROR(VLOOKUP(D1621,Products!$A:$D,4,FALSE),"")</f>
        <v>1412</v>
      </c>
      <c r="Q1621" s="33">
        <f t="shared" si="25"/>
        <v>0.37797356828193834</v>
      </c>
    </row>
    <row r="1622" spans="1:17" x14ac:dyDescent="0.3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  <c r="L1622" t="str">
        <f>IFERROR(VLOOKUP(D1622,Products!$A:$C,3,FALSE),"")</f>
        <v>Home</v>
      </c>
      <c r="M1622" t="str">
        <f>IFERROR(VLOOKUP(C1622,Customers!$A:$E,5,FALSE),"")</f>
        <v>SMB</v>
      </c>
      <c r="N1622">
        <f>IFERROR(VLOOKUP(C1622,Customers!$A:$E,3,FALSE),"")</f>
        <v>29</v>
      </c>
      <c r="O1622" s="33" t="str">
        <f>IFERROR(VLOOKUP(E1622,Sales_Reps!$A:$C,3,FALSE),"")</f>
        <v>West</v>
      </c>
      <c r="P1622" s="33">
        <f>IFERROR(VLOOKUP(D1622,Products!$A:$D,4,FALSE),"")</f>
        <v>288</v>
      </c>
      <c r="Q1622" s="33">
        <f t="shared" si="25"/>
        <v>0.22162162162162163</v>
      </c>
    </row>
    <row r="1623" spans="1:17" x14ac:dyDescent="0.3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  <c r="L1623" t="str">
        <f>IFERROR(VLOOKUP(D1623,Products!$A:$C,3,FALSE),"")</f>
        <v>Grocery</v>
      </c>
      <c r="M1623" t="str">
        <f>IFERROR(VLOOKUP(C1623,Customers!$A:$E,5,FALSE),"")</f>
        <v>Retail</v>
      </c>
      <c r="N1623">
        <f>IFERROR(VLOOKUP(C1623,Customers!$A:$E,3,FALSE),"")</f>
        <v>57</v>
      </c>
      <c r="O1623" s="33" t="str">
        <f>IFERROR(VLOOKUP(E1623,Sales_Reps!$A:$C,3,FALSE),"")</f>
        <v>South</v>
      </c>
      <c r="P1623" s="33">
        <f>IFERROR(VLOOKUP(D1623,Products!$A:$D,4,FALSE),"")</f>
        <v>434</v>
      </c>
      <c r="Q1623" s="33">
        <f t="shared" si="25"/>
        <v>0.5525773195876289</v>
      </c>
    </row>
    <row r="1624" spans="1:17" x14ac:dyDescent="0.3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  <c r="L1624" t="str">
        <f>IFERROR(VLOOKUP(D1624,Products!$A:$C,3,FALSE),"")</f>
        <v>Apparel</v>
      </c>
      <c r="M1624" t="str">
        <f>IFERROR(VLOOKUP(C1624,Customers!$A:$E,5,FALSE),"")</f>
        <v>Retail</v>
      </c>
      <c r="N1624">
        <f>IFERROR(VLOOKUP(C1624,Customers!$A:$E,3,FALSE),"")</f>
        <v>54</v>
      </c>
      <c r="O1624" s="33" t="str">
        <f>IFERROR(VLOOKUP(E1624,Sales_Reps!$A:$C,3,FALSE),"")</f>
        <v>North</v>
      </c>
      <c r="P1624" s="33">
        <f>IFERROR(VLOOKUP(D1624,Products!$A:$D,4,FALSE),"")</f>
        <v>396</v>
      </c>
      <c r="Q1624" s="33">
        <f t="shared" si="25"/>
        <v>0.36129032258064514</v>
      </c>
    </row>
    <row r="1625" spans="1:17" x14ac:dyDescent="0.3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  <c r="L1625" t="str">
        <f>IFERROR(VLOOKUP(D1625,Products!$A:$C,3,FALSE),"")</f>
        <v>Grocery</v>
      </c>
      <c r="M1625" t="str">
        <f>IFERROR(VLOOKUP(C1625,Customers!$A:$E,5,FALSE),"")</f>
        <v>Corporate</v>
      </c>
      <c r="N1625">
        <f>IFERROR(VLOOKUP(C1625,Customers!$A:$E,3,FALSE),"")</f>
        <v>62</v>
      </c>
      <c r="O1625" s="33" t="str">
        <f>IFERROR(VLOOKUP(E1625,Sales_Reps!$A:$C,3,FALSE),"")</f>
        <v>West</v>
      </c>
      <c r="P1625" s="33">
        <f>IFERROR(VLOOKUP(D1625,Products!$A:$D,4,FALSE),"")</f>
        <v>2214</v>
      </c>
      <c r="Q1625" s="33">
        <f t="shared" si="25"/>
        <v>0.39508196721311473</v>
      </c>
    </row>
    <row r="1626" spans="1:17" x14ac:dyDescent="0.3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  <c r="L1626" t="str">
        <f>IFERROR(VLOOKUP(D1626,Products!$A:$C,3,FALSE),"")</f>
        <v>Grocery</v>
      </c>
      <c r="M1626" t="str">
        <f>IFERROR(VLOOKUP(C1626,Customers!$A:$E,5,FALSE),"")</f>
        <v>Corporate</v>
      </c>
      <c r="N1626">
        <f>IFERROR(VLOOKUP(C1626,Customers!$A:$E,3,FALSE),"")</f>
        <v>46</v>
      </c>
      <c r="O1626" s="33" t="str">
        <f>IFERROR(VLOOKUP(E1626,Sales_Reps!$A:$C,3,FALSE),"")</f>
        <v>West</v>
      </c>
      <c r="P1626" s="33">
        <f>IFERROR(VLOOKUP(D1626,Products!$A:$D,4,FALSE),"")</f>
        <v>1010</v>
      </c>
      <c r="Q1626" s="33">
        <f t="shared" si="25"/>
        <v>0.54298642533936647</v>
      </c>
    </row>
    <row r="1627" spans="1:17" x14ac:dyDescent="0.3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  <c r="L1627" t="str">
        <f>IFERROR(VLOOKUP(D1627,Products!$A:$C,3,FALSE),"")</f>
        <v>Sports</v>
      </c>
      <c r="M1627" t="str">
        <f>IFERROR(VLOOKUP(C1627,Customers!$A:$E,5,FALSE),"")</f>
        <v>Retail</v>
      </c>
      <c r="N1627">
        <f>IFERROR(VLOOKUP(C1627,Customers!$A:$E,3,FALSE),"")</f>
        <v>53</v>
      </c>
      <c r="O1627" s="33" t="str">
        <f>IFERROR(VLOOKUP(E1627,Sales_Reps!$A:$C,3,FALSE),"")</f>
        <v>West</v>
      </c>
      <c r="P1627" s="33">
        <f>IFERROR(VLOOKUP(D1627,Products!$A:$D,4,FALSE),"")</f>
        <v>1860</v>
      </c>
      <c r="Q1627" s="33">
        <f t="shared" si="25"/>
        <v>0.50793650793650791</v>
      </c>
    </row>
    <row r="1628" spans="1:17" x14ac:dyDescent="0.3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  <c r="L1628" t="str">
        <f>IFERROR(VLOOKUP(D1628,Products!$A:$C,3,FALSE),"")</f>
        <v>Electronics</v>
      </c>
      <c r="M1628" t="str">
        <f>IFERROR(VLOOKUP(C1628,Customers!$A:$E,5,FALSE),"")</f>
        <v>Retail</v>
      </c>
      <c r="N1628">
        <f>IFERROR(VLOOKUP(C1628,Customers!$A:$E,3,FALSE),"")</f>
        <v>35</v>
      </c>
      <c r="O1628" s="33" t="str">
        <f>IFERROR(VLOOKUP(E1628,Sales_Reps!$A:$C,3,FALSE),"")</f>
        <v>North</v>
      </c>
      <c r="P1628" s="33">
        <f>IFERROR(VLOOKUP(D1628,Products!$A:$D,4,FALSE),"")</f>
        <v>1052</v>
      </c>
      <c r="Q1628" s="33">
        <f t="shared" si="25"/>
        <v>0.5953846153846154</v>
      </c>
    </row>
    <row r="1629" spans="1:17" x14ac:dyDescent="0.3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  <c r="L1629" t="str">
        <f>IFERROR(VLOOKUP(D1629,Products!$A:$C,3,FALSE),"")</f>
        <v>Grocery</v>
      </c>
      <c r="M1629" t="str">
        <f>IFERROR(VLOOKUP(C1629,Customers!$A:$E,5,FALSE),"")</f>
        <v>Corporate</v>
      </c>
      <c r="N1629">
        <f>IFERROR(VLOOKUP(C1629,Customers!$A:$E,3,FALSE),"")</f>
        <v>60</v>
      </c>
      <c r="O1629" s="33" t="str">
        <f>IFERROR(VLOOKUP(E1629,Sales_Reps!$A:$C,3,FALSE),"")</f>
        <v>East</v>
      </c>
      <c r="P1629" s="33">
        <f>IFERROR(VLOOKUP(D1629,Products!$A:$D,4,FALSE),"")</f>
        <v>2436</v>
      </c>
      <c r="Q1629" s="33">
        <f t="shared" si="25"/>
        <v>0.35555555555555557</v>
      </c>
    </row>
    <row r="1630" spans="1:17" x14ac:dyDescent="0.3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  <c r="L1630" t="str">
        <f>IFERROR(VLOOKUP(D1630,Products!$A:$C,3,FALSE),"")</f>
        <v>Electronics</v>
      </c>
      <c r="M1630" t="str">
        <f>IFERROR(VLOOKUP(C1630,Customers!$A:$E,5,FALSE),"")</f>
        <v>SMB</v>
      </c>
      <c r="N1630">
        <f>IFERROR(VLOOKUP(C1630,Customers!$A:$E,3,FALSE),"")</f>
        <v>34</v>
      </c>
      <c r="O1630" s="33" t="str">
        <f>IFERROR(VLOOKUP(E1630,Sales_Reps!$A:$C,3,FALSE),"")</f>
        <v>North</v>
      </c>
      <c r="P1630" s="33">
        <f>IFERROR(VLOOKUP(D1630,Products!$A:$D,4,FALSE),"")</f>
        <v>1149</v>
      </c>
      <c r="Q1630" s="33">
        <f t="shared" si="25"/>
        <v>0.56477272727272732</v>
      </c>
    </row>
    <row r="1631" spans="1:17" x14ac:dyDescent="0.3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  <c r="L1631" t="str">
        <f>IFERROR(VLOOKUP(D1631,Products!$A:$C,3,FALSE),"")</f>
        <v>Home</v>
      </c>
      <c r="M1631" t="str">
        <f>IFERROR(VLOOKUP(C1631,Customers!$A:$E,5,FALSE),"")</f>
        <v>Retail</v>
      </c>
      <c r="N1631">
        <f>IFERROR(VLOOKUP(C1631,Customers!$A:$E,3,FALSE),"")</f>
        <v>35</v>
      </c>
      <c r="O1631" s="33" t="str">
        <f>IFERROR(VLOOKUP(E1631,Sales_Reps!$A:$C,3,FALSE),"")</f>
        <v>South</v>
      </c>
      <c r="P1631" s="33">
        <f>IFERROR(VLOOKUP(D1631,Products!$A:$D,4,FALSE),"")</f>
        <v>464</v>
      </c>
      <c r="Q1631" s="33">
        <f t="shared" si="25"/>
        <v>0.57431192660550456</v>
      </c>
    </row>
    <row r="1632" spans="1:17" x14ac:dyDescent="0.3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  <c r="L1632" t="str">
        <f>IFERROR(VLOOKUP(D1632,Products!$A:$C,3,FALSE),"")</f>
        <v>Apparel</v>
      </c>
      <c r="M1632" t="str">
        <f>IFERROR(VLOOKUP(C1632,Customers!$A:$E,5,FALSE),"")</f>
        <v>SMB</v>
      </c>
      <c r="N1632">
        <f>IFERROR(VLOOKUP(C1632,Customers!$A:$E,3,FALSE),"")</f>
        <v>46</v>
      </c>
      <c r="O1632" s="33" t="str">
        <f>IFERROR(VLOOKUP(E1632,Sales_Reps!$A:$C,3,FALSE),"")</f>
        <v>West</v>
      </c>
      <c r="P1632" s="33">
        <f>IFERROR(VLOOKUP(D1632,Products!$A:$D,4,FALSE),"")</f>
        <v>1748</v>
      </c>
      <c r="Q1632" s="33">
        <f t="shared" si="25"/>
        <v>0.49333333333333335</v>
      </c>
    </row>
    <row r="1633" spans="1:17" x14ac:dyDescent="0.3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  <c r="L1633" t="str">
        <f>IFERROR(VLOOKUP(D1633,Products!$A:$C,3,FALSE),"")</f>
        <v>Beauty</v>
      </c>
      <c r="M1633" t="str">
        <f>IFERROR(VLOOKUP(C1633,Customers!$A:$E,5,FALSE),"")</f>
        <v>Retail</v>
      </c>
      <c r="N1633">
        <f>IFERROR(VLOOKUP(C1633,Customers!$A:$E,3,FALSE),"")</f>
        <v>42</v>
      </c>
      <c r="O1633" s="33" t="str">
        <f>IFERROR(VLOOKUP(E1633,Sales_Reps!$A:$C,3,FALSE),"")</f>
        <v>South</v>
      </c>
      <c r="P1633" s="33">
        <f>IFERROR(VLOOKUP(D1633,Products!$A:$D,4,FALSE),"")</f>
        <v>675</v>
      </c>
      <c r="Q1633" s="33">
        <f t="shared" si="25"/>
        <v>0.296875</v>
      </c>
    </row>
    <row r="1634" spans="1:17" x14ac:dyDescent="0.3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  <c r="L1634" t="str">
        <f>IFERROR(VLOOKUP(D1634,Products!$A:$C,3,FALSE),"")</f>
        <v>Grocery</v>
      </c>
      <c r="M1634" t="str">
        <f>IFERROR(VLOOKUP(C1634,Customers!$A:$E,5,FALSE),"")</f>
        <v>SMB</v>
      </c>
      <c r="N1634">
        <f>IFERROR(VLOOKUP(C1634,Customers!$A:$E,3,FALSE),"")</f>
        <v>49</v>
      </c>
      <c r="O1634" s="33" t="str">
        <f>IFERROR(VLOOKUP(E1634,Sales_Reps!$A:$C,3,FALSE),"")</f>
        <v>West</v>
      </c>
      <c r="P1634" s="33">
        <f>IFERROR(VLOOKUP(D1634,Products!$A:$D,4,FALSE),"")</f>
        <v>2214</v>
      </c>
      <c r="Q1634" s="33">
        <f t="shared" si="25"/>
        <v>0.39508196721311473</v>
      </c>
    </row>
    <row r="1635" spans="1:17" x14ac:dyDescent="0.3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  <c r="L1635" t="str">
        <f>IFERROR(VLOOKUP(D1635,Products!$A:$C,3,FALSE),"")</f>
        <v>Home</v>
      </c>
      <c r="M1635" t="str">
        <f>IFERROR(VLOOKUP(C1635,Customers!$A:$E,5,FALSE),"")</f>
        <v>Retail</v>
      </c>
      <c r="N1635">
        <f>IFERROR(VLOOKUP(C1635,Customers!$A:$E,3,FALSE),"")</f>
        <v>43</v>
      </c>
      <c r="O1635" s="33" t="str">
        <f>IFERROR(VLOOKUP(E1635,Sales_Reps!$A:$C,3,FALSE),"")</f>
        <v>North</v>
      </c>
      <c r="P1635" s="33">
        <f>IFERROR(VLOOKUP(D1635,Products!$A:$D,4,FALSE),"")</f>
        <v>2135</v>
      </c>
      <c r="Q1635" s="33">
        <f t="shared" si="25"/>
        <v>0.42761394101876676</v>
      </c>
    </row>
    <row r="1636" spans="1:17" x14ac:dyDescent="0.3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  <c r="L1636" t="str">
        <f>IFERROR(VLOOKUP(D1636,Products!$A:$C,3,FALSE),"")</f>
        <v>Grocery</v>
      </c>
      <c r="M1636" t="str">
        <f>IFERROR(VLOOKUP(C1636,Customers!$A:$E,5,FALSE),"")</f>
        <v>Corporate</v>
      </c>
      <c r="N1636">
        <f>IFERROR(VLOOKUP(C1636,Customers!$A:$E,3,FALSE),"")</f>
        <v>60</v>
      </c>
      <c r="O1636" s="33" t="str">
        <f>IFERROR(VLOOKUP(E1636,Sales_Reps!$A:$C,3,FALSE),"")</f>
        <v>North</v>
      </c>
      <c r="P1636" s="33">
        <f>IFERROR(VLOOKUP(D1636,Products!$A:$D,4,FALSE),"")</f>
        <v>2027</v>
      </c>
      <c r="Q1636" s="33">
        <f t="shared" si="25"/>
        <v>0.50196560196560192</v>
      </c>
    </row>
    <row r="1637" spans="1:17" x14ac:dyDescent="0.3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  <c r="L1637" t="str">
        <f>IFERROR(VLOOKUP(D1637,Products!$A:$C,3,FALSE),"")</f>
        <v>Electronics</v>
      </c>
      <c r="M1637" t="str">
        <f>IFERROR(VLOOKUP(C1637,Customers!$A:$E,5,FALSE),"")</f>
        <v>SMB</v>
      </c>
      <c r="N1637">
        <f>IFERROR(VLOOKUP(C1637,Customers!$A:$E,3,FALSE),"")</f>
        <v>65</v>
      </c>
      <c r="O1637" s="33" t="str">
        <f>IFERROR(VLOOKUP(E1637,Sales_Reps!$A:$C,3,FALSE),"")</f>
        <v>East</v>
      </c>
      <c r="P1637" s="33">
        <f>IFERROR(VLOOKUP(D1637,Products!$A:$D,4,FALSE),"")</f>
        <v>1259</v>
      </c>
      <c r="Q1637" s="33">
        <f t="shared" si="25"/>
        <v>0.52669172932330832</v>
      </c>
    </row>
    <row r="1638" spans="1:17" x14ac:dyDescent="0.3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  <c r="L1638" t="str">
        <f>IFERROR(VLOOKUP(D1638,Products!$A:$C,3,FALSE),"")</f>
        <v>Home</v>
      </c>
      <c r="M1638" t="str">
        <f>IFERROR(VLOOKUP(C1638,Customers!$A:$E,5,FALSE),"")</f>
        <v>Retail</v>
      </c>
      <c r="N1638">
        <f>IFERROR(VLOOKUP(C1638,Customers!$A:$E,3,FALSE),"")</f>
        <v>63</v>
      </c>
      <c r="O1638" s="33" t="str">
        <f>IFERROR(VLOOKUP(E1638,Sales_Reps!$A:$C,3,FALSE),"")</f>
        <v>North</v>
      </c>
      <c r="P1638" s="33">
        <f>IFERROR(VLOOKUP(D1638,Products!$A:$D,4,FALSE),"")</f>
        <v>1143</v>
      </c>
      <c r="Q1638" s="33">
        <f t="shared" si="25"/>
        <v>0.43694581280788175</v>
      </c>
    </row>
    <row r="1639" spans="1:17" x14ac:dyDescent="0.3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  <c r="L1639" t="str">
        <f>IFERROR(VLOOKUP(D1639,Products!$A:$C,3,FALSE),"")</f>
        <v>Grocery</v>
      </c>
      <c r="M1639" t="str">
        <f>IFERROR(VLOOKUP(C1639,Customers!$A:$E,5,FALSE),"")</f>
        <v>Retail</v>
      </c>
      <c r="N1639">
        <f>IFERROR(VLOOKUP(C1639,Customers!$A:$E,3,FALSE),"")</f>
        <v>28</v>
      </c>
      <c r="O1639" s="33" t="str">
        <f>IFERROR(VLOOKUP(E1639,Sales_Reps!$A:$C,3,FALSE),"")</f>
        <v>North</v>
      </c>
      <c r="P1639" s="33">
        <f>IFERROR(VLOOKUP(D1639,Products!$A:$D,4,FALSE),"")</f>
        <v>2214</v>
      </c>
      <c r="Q1639" s="33">
        <f t="shared" si="25"/>
        <v>0.39508196721311473</v>
      </c>
    </row>
    <row r="1640" spans="1:17" x14ac:dyDescent="0.3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  <c r="L1640" t="str">
        <f>IFERROR(VLOOKUP(D1640,Products!$A:$C,3,FALSE),"")</f>
        <v>Electronics</v>
      </c>
      <c r="M1640" t="str">
        <f>IFERROR(VLOOKUP(C1640,Customers!$A:$E,5,FALSE),"")</f>
        <v>Retail</v>
      </c>
      <c r="N1640">
        <f>IFERROR(VLOOKUP(C1640,Customers!$A:$E,3,FALSE),"")</f>
        <v>42</v>
      </c>
      <c r="O1640" s="33" t="str">
        <f>IFERROR(VLOOKUP(E1640,Sales_Reps!$A:$C,3,FALSE),"")</f>
        <v>North</v>
      </c>
      <c r="P1640" s="33">
        <f>IFERROR(VLOOKUP(D1640,Products!$A:$D,4,FALSE),"")</f>
        <v>1259</v>
      </c>
      <c r="Q1640" s="33">
        <f t="shared" si="25"/>
        <v>0.52669172932330832</v>
      </c>
    </row>
    <row r="1641" spans="1:17" x14ac:dyDescent="0.3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  <c r="L1641" t="str">
        <f>IFERROR(VLOOKUP(D1641,Products!$A:$C,3,FALSE),"")</f>
        <v>Beauty</v>
      </c>
      <c r="M1641" t="str">
        <f>IFERROR(VLOOKUP(C1641,Customers!$A:$E,5,FALSE),"")</f>
        <v>SMB</v>
      </c>
      <c r="N1641">
        <f>IFERROR(VLOOKUP(C1641,Customers!$A:$E,3,FALSE),"")</f>
        <v>48</v>
      </c>
      <c r="O1641" s="33" t="str">
        <f>IFERROR(VLOOKUP(E1641,Sales_Reps!$A:$C,3,FALSE),"")</f>
        <v>South</v>
      </c>
      <c r="P1641" s="33">
        <f>IFERROR(VLOOKUP(D1641,Products!$A:$D,4,FALSE),"")</f>
        <v>2768</v>
      </c>
      <c r="Q1641" s="33">
        <f t="shared" si="25"/>
        <v>0.43278688524590164</v>
      </c>
    </row>
    <row r="1642" spans="1:17" x14ac:dyDescent="0.3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  <c r="L1642" t="str">
        <f>IFERROR(VLOOKUP(D1642,Products!$A:$C,3,FALSE),"")</f>
        <v>Apparel</v>
      </c>
      <c r="M1642" t="str">
        <f>IFERROR(VLOOKUP(C1642,Customers!$A:$E,5,FALSE),"")</f>
        <v>Retail</v>
      </c>
      <c r="N1642">
        <f>IFERROR(VLOOKUP(C1642,Customers!$A:$E,3,FALSE),"")</f>
        <v>36</v>
      </c>
      <c r="O1642" s="33" t="str">
        <f>IFERROR(VLOOKUP(E1642,Sales_Reps!$A:$C,3,FALSE),"")</f>
        <v>South</v>
      </c>
      <c r="P1642" s="33">
        <f>IFERROR(VLOOKUP(D1642,Products!$A:$D,4,FALSE),"")</f>
        <v>1748</v>
      </c>
      <c r="Q1642" s="33">
        <f t="shared" si="25"/>
        <v>0.49333333333333335</v>
      </c>
    </row>
    <row r="1643" spans="1:17" x14ac:dyDescent="0.3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  <c r="L1643" t="str">
        <f>IFERROR(VLOOKUP(D1643,Products!$A:$C,3,FALSE),"")</f>
        <v>Beauty</v>
      </c>
      <c r="M1643" t="str">
        <f>IFERROR(VLOOKUP(C1643,Customers!$A:$E,5,FALSE),"")</f>
        <v>SMB</v>
      </c>
      <c r="N1643">
        <f>IFERROR(VLOOKUP(C1643,Customers!$A:$E,3,FALSE),"")</f>
        <v>54</v>
      </c>
      <c r="O1643" s="33" t="str">
        <f>IFERROR(VLOOKUP(E1643,Sales_Reps!$A:$C,3,FALSE),"")</f>
        <v>East</v>
      </c>
      <c r="P1643" s="33">
        <f>IFERROR(VLOOKUP(D1643,Products!$A:$D,4,FALSE),"")</f>
        <v>1626</v>
      </c>
      <c r="Q1643" s="33">
        <f t="shared" si="25"/>
        <v>0.46158940397350995</v>
      </c>
    </row>
    <row r="1644" spans="1:17" x14ac:dyDescent="0.3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  <c r="L1644" t="str">
        <f>IFERROR(VLOOKUP(D1644,Products!$A:$C,3,FALSE),"")</f>
        <v>Sports</v>
      </c>
      <c r="M1644" t="str">
        <f>IFERROR(VLOOKUP(C1644,Customers!$A:$E,5,FALSE),"")</f>
        <v>Retail</v>
      </c>
      <c r="N1644">
        <f>IFERROR(VLOOKUP(C1644,Customers!$A:$E,3,FALSE),"")</f>
        <v>47</v>
      </c>
      <c r="O1644" s="33" t="str">
        <f>IFERROR(VLOOKUP(E1644,Sales_Reps!$A:$C,3,FALSE),"")</f>
        <v>East</v>
      </c>
      <c r="P1644" s="33">
        <f>IFERROR(VLOOKUP(D1644,Products!$A:$D,4,FALSE),"")</f>
        <v>2827</v>
      </c>
      <c r="Q1644" s="33">
        <f t="shared" si="25"/>
        <v>0.5926512968299712</v>
      </c>
    </row>
    <row r="1645" spans="1:17" x14ac:dyDescent="0.3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  <c r="L1645" t="str">
        <f>IFERROR(VLOOKUP(D1645,Products!$A:$C,3,FALSE),"")</f>
        <v>Grocery</v>
      </c>
      <c r="M1645" t="str">
        <f>IFERROR(VLOOKUP(C1645,Customers!$A:$E,5,FALSE),"")</f>
        <v>SMB</v>
      </c>
      <c r="N1645">
        <f>IFERROR(VLOOKUP(C1645,Customers!$A:$E,3,FALSE),"")</f>
        <v>64</v>
      </c>
      <c r="O1645" s="33" t="str">
        <f>IFERROR(VLOOKUP(E1645,Sales_Reps!$A:$C,3,FALSE),"")</f>
        <v>East</v>
      </c>
      <c r="P1645" s="33">
        <f>IFERROR(VLOOKUP(D1645,Products!$A:$D,4,FALSE),"")</f>
        <v>1435</v>
      </c>
      <c r="Q1645" s="33">
        <f t="shared" si="25"/>
        <v>0.48007246376811596</v>
      </c>
    </row>
    <row r="1646" spans="1:17" x14ac:dyDescent="0.3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  <c r="L1646" t="str">
        <f>IFERROR(VLOOKUP(D1646,Products!$A:$C,3,FALSE),"")</f>
        <v>Beauty</v>
      </c>
      <c r="M1646" t="str">
        <f>IFERROR(VLOOKUP(C1646,Customers!$A:$E,5,FALSE),"")</f>
        <v>Corporate</v>
      </c>
      <c r="N1646">
        <f>IFERROR(VLOOKUP(C1646,Customers!$A:$E,3,FALSE),"")</f>
        <v>48</v>
      </c>
      <c r="O1646" s="33" t="str">
        <f>IFERROR(VLOOKUP(E1646,Sales_Reps!$A:$C,3,FALSE),"")</f>
        <v>East</v>
      </c>
      <c r="P1646" s="33">
        <f>IFERROR(VLOOKUP(D1646,Products!$A:$D,4,FALSE),"")</f>
        <v>675</v>
      </c>
      <c r="Q1646" s="33">
        <f t="shared" si="25"/>
        <v>0.296875</v>
      </c>
    </row>
    <row r="1647" spans="1:17" x14ac:dyDescent="0.3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  <c r="L1647" t="str">
        <f>IFERROR(VLOOKUP(D1647,Products!$A:$C,3,FALSE),"")</f>
        <v>Beauty</v>
      </c>
      <c r="M1647" t="str">
        <f>IFERROR(VLOOKUP(C1647,Customers!$A:$E,5,FALSE),"")</f>
        <v>Retail</v>
      </c>
      <c r="N1647">
        <f>IFERROR(VLOOKUP(C1647,Customers!$A:$E,3,FALSE),"")</f>
        <v>52</v>
      </c>
      <c r="O1647" s="33" t="str">
        <f>IFERROR(VLOOKUP(E1647,Sales_Reps!$A:$C,3,FALSE),"")</f>
        <v>South</v>
      </c>
      <c r="P1647" s="33">
        <f>IFERROR(VLOOKUP(D1647,Products!$A:$D,4,FALSE),"")</f>
        <v>675</v>
      </c>
      <c r="Q1647" s="33">
        <f t="shared" si="25"/>
        <v>0.296875</v>
      </c>
    </row>
    <row r="1648" spans="1:17" x14ac:dyDescent="0.3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  <c r="L1648" t="str">
        <f>IFERROR(VLOOKUP(D1648,Products!$A:$C,3,FALSE),"")</f>
        <v>Grocery</v>
      </c>
      <c r="M1648" t="str">
        <f>IFERROR(VLOOKUP(C1648,Customers!$A:$E,5,FALSE),"")</f>
        <v>Retail</v>
      </c>
      <c r="N1648">
        <f>IFERROR(VLOOKUP(C1648,Customers!$A:$E,3,FALSE),"")</f>
        <v>55</v>
      </c>
      <c r="O1648" s="33" t="str">
        <f>IFERROR(VLOOKUP(E1648,Sales_Reps!$A:$C,3,FALSE),"")</f>
        <v>East</v>
      </c>
      <c r="P1648" s="33">
        <f>IFERROR(VLOOKUP(D1648,Products!$A:$D,4,FALSE),"")</f>
        <v>434</v>
      </c>
      <c r="Q1648" s="33">
        <f t="shared" si="25"/>
        <v>0.5525773195876289</v>
      </c>
    </row>
    <row r="1649" spans="1:17" x14ac:dyDescent="0.3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  <c r="L1649" t="str">
        <f>IFERROR(VLOOKUP(D1649,Products!$A:$C,3,FALSE),"")</f>
        <v>Beauty</v>
      </c>
      <c r="M1649" t="str">
        <f>IFERROR(VLOOKUP(C1649,Customers!$A:$E,5,FALSE),"")</f>
        <v>Retail</v>
      </c>
      <c r="N1649">
        <f>IFERROR(VLOOKUP(C1649,Customers!$A:$E,3,FALSE),"")</f>
        <v>57</v>
      </c>
      <c r="O1649" s="33" t="str">
        <f>IFERROR(VLOOKUP(E1649,Sales_Reps!$A:$C,3,FALSE),"")</f>
        <v>East</v>
      </c>
      <c r="P1649" s="33">
        <f>IFERROR(VLOOKUP(D1649,Products!$A:$D,4,FALSE),"")</f>
        <v>2617</v>
      </c>
      <c r="Q1649" s="33">
        <f t="shared" si="25"/>
        <v>0.56957236842105263</v>
      </c>
    </row>
    <row r="1650" spans="1:17" x14ac:dyDescent="0.3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  <c r="L1650" t="str">
        <f>IFERROR(VLOOKUP(D1650,Products!$A:$C,3,FALSE),"")</f>
        <v>Grocery</v>
      </c>
      <c r="M1650" t="str">
        <f>IFERROR(VLOOKUP(C1650,Customers!$A:$E,5,FALSE),"")</f>
        <v>Retail</v>
      </c>
      <c r="N1650">
        <f>IFERROR(VLOOKUP(C1650,Customers!$A:$E,3,FALSE),"")</f>
        <v>47</v>
      </c>
      <c r="O1650" s="33" t="str">
        <f>IFERROR(VLOOKUP(E1650,Sales_Reps!$A:$C,3,FALSE),"")</f>
        <v>South</v>
      </c>
      <c r="P1650" s="33">
        <f>IFERROR(VLOOKUP(D1650,Products!$A:$D,4,FALSE),"")</f>
        <v>2214</v>
      </c>
      <c r="Q1650" s="33">
        <f t="shared" si="25"/>
        <v>0.39508196721311473</v>
      </c>
    </row>
    <row r="1651" spans="1:17" x14ac:dyDescent="0.3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  <c r="L1651" t="str">
        <f>IFERROR(VLOOKUP(D1651,Products!$A:$C,3,FALSE),"")</f>
        <v>Home</v>
      </c>
      <c r="M1651" t="str">
        <f>IFERROR(VLOOKUP(C1651,Customers!$A:$E,5,FALSE),"")</f>
        <v>SMB</v>
      </c>
      <c r="N1651">
        <f>IFERROR(VLOOKUP(C1651,Customers!$A:$E,3,FALSE),"")</f>
        <v>57</v>
      </c>
      <c r="O1651" s="33" t="str">
        <f>IFERROR(VLOOKUP(E1651,Sales_Reps!$A:$C,3,FALSE),"")</f>
        <v>North</v>
      </c>
      <c r="P1651" s="33">
        <f>IFERROR(VLOOKUP(D1651,Products!$A:$D,4,FALSE),"")</f>
        <v>2135</v>
      </c>
      <c r="Q1651" s="33">
        <f t="shared" si="25"/>
        <v>0.42761394101876676</v>
      </c>
    </row>
    <row r="1652" spans="1:17" x14ac:dyDescent="0.3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  <c r="L1652" t="str">
        <f>IFERROR(VLOOKUP(D1652,Products!$A:$C,3,FALSE),"")</f>
        <v>Electronics</v>
      </c>
      <c r="M1652" t="str">
        <f>IFERROR(VLOOKUP(C1652,Customers!$A:$E,5,FALSE),"")</f>
        <v>SMB</v>
      </c>
      <c r="N1652">
        <f>IFERROR(VLOOKUP(C1652,Customers!$A:$E,3,FALSE),"")</f>
        <v>55</v>
      </c>
      <c r="O1652" s="33" t="str">
        <f>IFERROR(VLOOKUP(E1652,Sales_Reps!$A:$C,3,FALSE),"")</f>
        <v>West</v>
      </c>
      <c r="P1652" s="33">
        <f>IFERROR(VLOOKUP(D1652,Products!$A:$D,4,FALSE),"")</f>
        <v>1559</v>
      </c>
      <c r="Q1652" s="33">
        <f t="shared" si="25"/>
        <v>0.59715762273901807</v>
      </c>
    </row>
    <row r="1653" spans="1:17" x14ac:dyDescent="0.3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  <c r="L1653" t="str">
        <f>IFERROR(VLOOKUP(D1653,Products!$A:$C,3,FALSE),"")</f>
        <v>Grocery</v>
      </c>
      <c r="M1653" t="str">
        <f>IFERROR(VLOOKUP(C1653,Customers!$A:$E,5,FALSE),"")</f>
        <v>Corporate</v>
      </c>
      <c r="N1653">
        <f>IFERROR(VLOOKUP(C1653,Customers!$A:$E,3,FALSE),"")</f>
        <v>42</v>
      </c>
      <c r="O1653" s="33" t="str">
        <f>IFERROR(VLOOKUP(E1653,Sales_Reps!$A:$C,3,FALSE),"")</f>
        <v>South</v>
      </c>
      <c r="P1653" s="33">
        <f>IFERROR(VLOOKUP(D1653,Products!$A:$D,4,FALSE),"")</f>
        <v>1435</v>
      </c>
      <c r="Q1653" s="33">
        <f t="shared" si="25"/>
        <v>0.48007246376811596</v>
      </c>
    </row>
    <row r="1654" spans="1:17" x14ac:dyDescent="0.3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  <c r="L1654" t="str">
        <f>IFERROR(VLOOKUP(D1654,Products!$A:$C,3,FALSE),"")</f>
        <v>Grocery</v>
      </c>
      <c r="M1654" t="str">
        <f>IFERROR(VLOOKUP(C1654,Customers!$A:$E,5,FALSE),"")</f>
        <v>Retail</v>
      </c>
      <c r="N1654">
        <f>IFERROR(VLOOKUP(C1654,Customers!$A:$E,3,FALSE),"")</f>
        <v>26</v>
      </c>
      <c r="O1654" s="33" t="str">
        <f>IFERROR(VLOOKUP(E1654,Sales_Reps!$A:$C,3,FALSE),"")</f>
        <v>East</v>
      </c>
      <c r="P1654" s="33">
        <f>IFERROR(VLOOKUP(D1654,Products!$A:$D,4,FALSE),"")</f>
        <v>1182</v>
      </c>
      <c r="Q1654" s="33">
        <f t="shared" si="25"/>
        <v>0.50336134453781511</v>
      </c>
    </row>
    <row r="1655" spans="1:17" x14ac:dyDescent="0.3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  <c r="L1655" t="str">
        <f>IFERROR(VLOOKUP(D1655,Products!$A:$C,3,FALSE),"")</f>
        <v>Beauty</v>
      </c>
      <c r="M1655" t="str">
        <f>IFERROR(VLOOKUP(C1655,Customers!$A:$E,5,FALSE),"")</f>
        <v/>
      </c>
      <c r="N1655" t="str">
        <f>IFERROR(VLOOKUP(C1655,Customers!$A:$E,3,FALSE),"")</f>
        <v/>
      </c>
      <c r="O1655" s="33" t="str">
        <f>IFERROR(VLOOKUP(E1655,Sales_Reps!$A:$C,3,FALSE),"")</f>
        <v>South</v>
      </c>
      <c r="P1655" s="33">
        <f>IFERROR(VLOOKUP(D1655,Products!$A:$D,4,FALSE),"")</f>
        <v>2617</v>
      </c>
      <c r="Q1655" s="33">
        <f t="shared" si="25"/>
        <v>0.56957236842105263</v>
      </c>
    </row>
    <row r="1656" spans="1:17" x14ac:dyDescent="0.3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  <c r="L1656" t="str">
        <f>IFERROR(VLOOKUP(D1656,Products!$A:$C,3,FALSE),"")</f>
        <v>Apparel</v>
      </c>
      <c r="M1656" t="str">
        <f>IFERROR(VLOOKUP(C1656,Customers!$A:$E,5,FALSE),"")</f>
        <v>Retail</v>
      </c>
      <c r="N1656">
        <f>IFERROR(VLOOKUP(C1656,Customers!$A:$E,3,FALSE),"")</f>
        <v>38</v>
      </c>
      <c r="O1656" s="33" t="str">
        <f>IFERROR(VLOOKUP(E1656,Sales_Reps!$A:$C,3,FALSE),"")</f>
        <v>South</v>
      </c>
      <c r="P1656" s="33">
        <f>IFERROR(VLOOKUP(D1656,Products!$A:$D,4,FALSE),"")</f>
        <v>396</v>
      </c>
      <c r="Q1656" s="33">
        <f t="shared" si="25"/>
        <v>0.36129032258064514</v>
      </c>
    </row>
    <row r="1657" spans="1:17" x14ac:dyDescent="0.3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  <c r="L1657" t="str">
        <f>IFERROR(VLOOKUP(D1657,Products!$A:$C,3,FALSE),"")</f>
        <v>Electronics</v>
      </c>
      <c r="M1657" t="str">
        <f>IFERROR(VLOOKUP(C1657,Customers!$A:$E,5,FALSE),"")</f>
        <v>Corporate</v>
      </c>
      <c r="N1657">
        <f>IFERROR(VLOOKUP(C1657,Customers!$A:$E,3,FALSE),"")</f>
        <v>35</v>
      </c>
      <c r="O1657" s="33" t="str">
        <f>IFERROR(VLOOKUP(E1657,Sales_Reps!$A:$C,3,FALSE),"")</f>
        <v>South</v>
      </c>
      <c r="P1657" s="33">
        <f>IFERROR(VLOOKUP(D1657,Products!$A:$D,4,FALSE),"")</f>
        <v>1559</v>
      </c>
      <c r="Q1657" s="33">
        <f t="shared" si="25"/>
        <v>0.59715762273901807</v>
      </c>
    </row>
    <row r="1658" spans="1:17" x14ac:dyDescent="0.3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  <c r="L1658" t="str">
        <f>IFERROR(VLOOKUP(D1658,Products!$A:$C,3,FALSE),"")</f>
        <v>Electronics</v>
      </c>
      <c r="M1658" t="str">
        <f>IFERROR(VLOOKUP(C1658,Customers!$A:$E,5,FALSE),"")</f>
        <v>SMB</v>
      </c>
      <c r="N1658">
        <f>IFERROR(VLOOKUP(C1658,Customers!$A:$E,3,FALSE),"")</f>
        <v>44</v>
      </c>
      <c r="O1658" s="33" t="str">
        <f>IFERROR(VLOOKUP(E1658,Sales_Reps!$A:$C,3,FALSE),"")</f>
        <v>East</v>
      </c>
      <c r="P1658" s="33">
        <f>IFERROR(VLOOKUP(D1658,Products!$A:$D,4,FALSE),"")</f>
        <v>1665</v>
      </c>
      <c r="Q1658" s="33">
        <f t="shared" si="25"/>
        <v>0.53361344537815125</v>
      </c>
    </row>
    <row r="1659" spans="1:17" x14ac:dyDescent="0.3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  <c r="L1659" t="str">
        <f>IFERROR(VLOOKUP(D1659,Products!$A:$C,3,FALSE),"")</f>
        <v>Grocery</v>
      </c>
      <c r="M1659" t="str">
        <f>IFERROR(VLOOKUP(C1659,Customers!$A:$E,5,FALSE),"")</f>
        <v>Retail</v>
      </c>
      <c r="N1659">
        <f>IFERROR(VLOOKUP(C1659,Customers!$A:$E,3,FALSE),"")</f>
        <v>34</v>
      </c>
      <c r="O1659" s="33" t="str">
        <f>IFERROR(VLOOKUP(E1659,Sales_Reps!$A:$C,3,FALSE),"")</f>
        <v>South</v>
      </c>
      <c r="P1659" s="33">
        <f>IFERROR(VLOOKUP(D1659,Products!$A:$D,4,FALSE),"")</f>
        <v>2027</v>
      </c>
      <c r="Q1659" s="33">
        <f t="shared" si="25"/>
        <v>0.50196560196560192</v>
      </c>
    </row>
    <row r="1660" spans="1:17" x14ac:dyDescent="0.3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  <c r="L1660" t="str">
        <f>IFERROR(VLOOKUP(D1660,Products!$A:$C,3,FALSE),"")</f>
        <v>Apparel</v>
      </c>
      <c r="M1660" t="str">
        <f>IFERROR(VLOOKUP(C1660,Customers!$A:$E,5,FALSE),"")</f>
        <v>SMB</v>
      </c>
      <c r="N1660">
        <f>IFERROR(VLOOKUP(C1660,Customers!$A:$E,3,FALSE),"")</f>
        <v>26</v>
      </c>
      <c r="O1660" s="33" t="str">
        <f>IFERROR(VLOOKUP(E1660,Sales_Reps!$A:$C,3,FALSE),"")</f>
        <v>East</v>
      </c>
      <c r="P1660" s="33">
        <f>IFERROR(VLOOKUP(D1660,Products!$A:$D,4,FALSE),"")</f>
        <v>391</v>
      </c>
      <c r="Q1660" s="33">
        <f t="shared" si="25"/>
        <v>0.52317073170731709</v>
      </c>
    </row>
    <row r="1661" spans="1:17" x14ac:dyDescent="0.3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  <c r="L1661" t="str">
        <f>IFERROR(VLOOKUP(D1661,Products!$A:$C,3,FALSE),"")</f>
        <v>Beauty</v>
      </c>
      <c r="M1661" t="str">
        <f>IFERROR(VLOOKUP(C1661,Customers!$A:$E,5,FALSE),"")</f>
        <v>Retail</v>
      </c>
      <c r="N1661">
        <f>IFERROR(VLOOKUP(C1661,Customers!$A:$E,3,FALSE),"")</f>
        <v>29</v>
      </c>
      <c r="O1661" s="33" t="str">
        <f>IFERROR(VLOOKUP(E1661,Sales_Reps!$A:$C,3,FALSE),"")</f>
        <v>West</v>
      </c>
      <c r="P1661" s="33">
        <f>IFERROR(VLOOKUP(D1661,Products!$A:$D,4,FALSE),"")</f>
        <v>1626</v>
      </c>
      <c r="Q1661" s="33">
        <f t="shared" si="25"/>
        <v>0.46158940397350995</v>
      </c>
    </row>
    <row r="1662" spans="1:17" x14ac:dyDescent="0.3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  <c r="L1662" t="str">
        <f>IFERROR(VLOOKUP(D1662,Products!$A:$C,3,FALSE),"")</f>
        <v>Apparel</v>
      </c>
      <c r="M1662" t="str">
        <f>IFERROR(VLOOKUP(C1662,Customers!$A:$E,5,FALSE),"")</f>
        <v>Corporate</v>
      </c>
      <c r="N1662">
        <f>IFERROR(VLOOKUP(C1662,Customers!$A:$E,3,FALSE),"")</f>
        <v>22</v>
      </c>
      <c r="O1662" s="33" t="str">
        <f>IFERROR(VLOOKUP(E1662,Sales_Reps!$A:$C,3,FALSE),"")</f>
        <v>East</v>
      </c>
      <c r="P1662" s="33">
        <f>IFERROR(VLOOKUP(D1662,Products!$A:$D,4,FALSE),"")</f>
        <v>2629</v>
      </c>
      <c r="Q1662" s="33">
        <f t="shared" si="25"/>
        <v>0.26151685393258428</v>
      </c>
    </row>
    <row r="1663" spans="1:17" x14ac:dyDescent="0.3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  <c r="L1663" t="str">
        <f>IFERROR(VLOOKUP(D1663,Products!$A:$C,3,FALSE),"")</f>
        <v>Beauty</v>
      </c>
      <c r="M1663" t="str">
        <f>IFERROR(VLOOKUP(C1663,Customers!$A:$E,5,FALSE),"")</f>
        <v>Corporate</v>
      </c>
      <c r="N1663">
        <f>IFERROR(VLOOKUP(C1663,Customers!$A:$E,3,FALSE),"")</f>
        <v>29</v>
      </c>
      <c r="O1663" s="33" t="str">
        <f>IFERROR(VLOOKUP(E1663,Sales_Reps!$A:$C,3,FALSE),"")</f>
        <v>North</v>
      </c>
      <c r="P1663" s="33">
        <f>IFERROR(VLOOKUP(D1663,Products!$A:$D,4,FALSE),"")</f>
        <v>1728</v>
      </c>
      <c r="Q1663" s="33">
        <f t="shared" si="25"/>
        <v>0.48417910447761192</v>
      </c>
    </row>
    <row r="1664" spans="1:17" x14ac:dyDescent="0.3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  <c r="L1664" t="str">
        <f>IFERROR(VLOOKUP(D1664,Products!$A:$C,3,FALSE),"")</f>
        <v>Beauty</v>
      </c>
      <c r="M1664" t="str">
        <f>IFERROR(VLOOKUP(C1664,Customers!$A:$E,5,FALSE),"")</f>
        <v>Retail</v>
      </c>
      <c r="N1664">
        <f>IFERROR(VLOOKUP(C1664,Customers!$A:$E,3,FALSE),"")</f>
        <v>48</v>
      </c>
      <c r="O1664" s="33" t="str">
        <f>IFERROR(VLOOKUP(E1664,Sales_Reps!$A:$C,3,FALSE),"")</f>
        <v>West</v>
      </c>
      <c r="P1664" s="33">
        <f>IFERROR(VLOOKUP(D1664,Products!$A:$D,4,FALSE),"")</f>
        <v>1219</v>
      </c>
      <c r="Q1664" s="33">
        <f t="shared" si="25"/>
        <v>0.46768558951965067</v>
      </c>
    </row>
    <row r="1665" spans="1:17" x14ac:dyDescent="0.3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  <c r="L1665" t="str">
        <f>IFERROR(VLOOKUP(D1665,Products!$A:$C,3,FALSE),"")</f>
        <v>Grocery</v>
      </c>
      <c r="M1665" t="str">
        <f>IFERROR(VLOOKUP(C1665,Customers!$A:$E,5,FALSE),"")</f>
        <v>Retail</v>
      </c>
      <c r="N1665">
        <f>IFERROR(VLOOKUP(C1665,Customers!$A:$E,3,FALSE),"")</f>
        <v>61</v>
      </c>
      <c r="O1665" s="33" t="str">
        <f>IFERROR(VLOOKUP(E1665,Sales_Reps!$A:$C,3,FALSE),"")</f>
        <v>North</v>
      </c>
      <c r="P1665" s="33">
        <f>IFERROR(VLOOKUP(D1665,Products!$A:$D,4,FALSE),"")</f>
        <v>2214</v>
      </c>
      <c r="Q1665" s="33">
        <f t="shared" si="25"/>
        <v>0.39508196721311473</v>
      </c>
    </row>
    <row r="1666" spans="1:17" x14ac:dyDescent="0.3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  <c r="L1666" t="str">
        <f>IFERROR(VLOOKUP(D1666,Products!$A:$C,3,FALSE),"")</f>
        <v>Electronics</v>
      </c>
      <c r="M1666" t="str">
        <f>IFERROR(VLOOKUP(C1666,Customers!$A:$E,5,FALSE),"")</f>
        <v>Corporate</v>
      </c>
      <c r="N1666">
        <f>IFERROR(VLOOKUP(C1666,Customers!$A:$E,3,FALSE),"")</f>
        <v>55</v>
      </c>
      <c r="O1666" s="33" t="str">
        <f>IFERROR(VLOOKUP(E1666,Sales_Reps!$A:$C,3,FALSE),"")</f>
        <v>South</v>
      </c>
      <c r="P1666" s="33">
        <f>IFERROR(VLOOKUP(D1666,Products!$A:$D,4,FALSE),"")</f>
        <v>1149</v>
      </c>
      <c r="Q1666" s="33">
        <f t="shared" si="25"/>
        <v>0.56477272727272732</v>
      </c>
    </row>
    <row r="1667" spans="1:17" x14ac:dyDescent="0.3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  <c r="L1667" t="str">
        <f>IFERROR(VLOOKUP(D1667,Products!$A:$C,3,FALSE),"")</f>
        <v>Home</v>
      </c>
      <c r="M1667" t="str">
        <f>IFERROR(VLOOKUP(C1667,Customers!$A:$E,5,FALSE),"")</f>
        <v>Retail</v>
      </c>
      <c r="N1667">
        <f>IFERROR(VLOOKUP(C1667,Customers!$A:$E,3,FALSE),"")</f>
        <v>63</v>
      </c>
      <c r="O1667" s="33" t="str">
        <f>IFERROR(VLOOKUP(E1667,Sales_Reps!$A:$C,3,FALSE),"")</f>
        <v>North</v>
      </c>
      <c r="P1667" s="33">
        <f>IFERROR(VLOOKUP(D1667,Products!$A:$D,4,FALSE),"")</f>
        <v>288</v>
      </c>
      <c r="Q1667" s="33">
        <f t="shared" ref="Q1667:Q1730" si="26">IFERROR((G1667-P1667)/G1667,"")</f>
        <v>0.22162162162162163</v>
      </c>
    </row>
    <row r="1668" spans="1:17" x14ac:dyDescent="0.3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  <c r="L1668" t="str">
        <f>IFERROR(VLOOKUP(D1668,Products!$A:$C,3,FALSE),"")</f>
        <v>Grocery</v>
      </c>
      <c r="M1668" t="str">
        <f>IFERROR(VLOOKUP(C1668,Customers!$A:$E,5,FALSE),"")</f>
        <v>Retail</v>
      </c>
      <c r="N1668">
        <f>IFERROR(VLOOKUP(C1668,Customers!$A:$E,3,FALSE),"")</f>
        <v>49</v>
      </c>
      <c r="O1668" s="33" t="str">
        <f>IFERROR(VLOOKUP(E1668,Sales_Reps!$A:$C,3,FALSE),"")</f>
        <v>North</v>
      </c>
      <c r="P1668" s="33">
        <f>IFERROR(VLOOKUP(D1668,Products!$A:$D,4,FALSE),"")</f>
        <v>1203</v>
      </c>
      <c r="Q1668" s="33">
        <f t="shared" si="26"/>
        <v>0.47004405286343615</v>
      </c>
    </row>
    <row r="1669" spans="1:17" x14ac:dyDescent="0.3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  <c r="L1669" t="str">
        <f>IFERROR(VLOOKUP(D1669,Products!$A:$C,3,FALSE),"")</f>
        <v>Home</v>
      </c>
      <c r="M1669" t="str">
        <f>IFERROR(VLOOKUP(C1669,Customers!$A:$E,5,FALSE),"")</f>
        <v>Retail</v>
      </c>
      <c r="N1669">
        <f>IFERROR(VLOOKUP(C1669,Customers!$A:$E,3,FALSE),"")</f>
        <v>37</v>
      </c>
      <c r="O1669" s="33" t="str">
        <f>IFERROR(VLOOKUP(E1669,Sales_Reps!$A:$C,3,FALSE),"")</f>
        <v>South</v>
      </c>
      <c r="P1669" s="33">
        <f>IFERROR(VLOOKUP(D1669,Products!$A:$D,4,FALSE),"")</f>
        <v>329</v>
      </c>
      <c r="Q1669" s="33">
        <f t="shared" si="26"/>
        <v>0.50151515151515147</v>
      </c>
    </row>
    <row r="1670" spans="1:17" x14ac:dyDescent="0.3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  <c r="L1670" t="str">
        <f>IFERROR(VLOOKUP(D1670,Products!$A:$C,3,FALSE),"")</f>
        <v>Sports</v>
      </c>
      <c r="M1670" t="str">
        <f>IFERROR(VLOOKUP(C1670,Customers!$A:$E,5,FALSE),"")</f>
        <v/>
      </c>
      <c r="N1670" t="str">
        <f>IFERROR(VLOOKUP(C1670,Customers!$A:$E,3,FALSE),"")</f>
        <v/>
      </c>
      <c r="O1670" s="33" t="str">
        <f>IFERROR(VLOOKUP(E1670,Sales_Reps!$A:$C,3,FALSE),"")</f>
        <v>North</v>
      </c>
      <c r="P1670" s="33">
        <f>IFERROR(VLOOKUP(D1670,Products!$A:$D,4,FALSE),"")</f>
        <v>705</v>
      </c>
      <c r="Q1670" s="33">
        <f t="shared" si="26"/>
        <v>0.265625</v>
      </c>
    </row>
    <row r="1671" spans="1:17" x14ac:dyDescent="0.3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  <c r="L1671" t="str">
        <f>IFERROR(VLOOKUP(D1671,Products!$A:$C,3,FALSE),"")</f>
        <v>Beauty</v>
      </c>
      <c r="M1671" t="str">
        <f>IFERROR(VLOOKUP(C1671,Customers!$A:$E,5,FALSE),"")</f>
        <v>Retail</v>
      </c>
      <c r="N1671">
        <f>IFERROR(VLOOKUP(C1671,Customers!$A:$E,3,FALSE),"")</f>
        <v>32</v>
      </c>
      <c r="O1671" s="33" t="str">
        <f>IFERROR(VLOOKUP(E1671,Sales_Reps!$A:$C,3,FALSE),"")</f>
        <v>South</v>
      </c>
      <c r="P1671" s="33">
        <f>IFERROR(VLOOKUP(D1671,Products!$A:$D,4,FALSE),"")</f>
        <v>2237</v>
      </c>
      <c r="Q1671" s="33">
        <f t="shared" si="26"/>
        <v>0.56137254901960787</v>
      </c>
    </row>
    <row r="1672" spans="1:17" x14ac:dyDescent="0.3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  <c r="L1672" t="str">
        <f>IFERROR(VLOOKUP(D1672,Products!$A:$C,3,FALSE),"")</f>
        <v>Apparel</v>
      </c>
      <c r="M1672" t="str">
        <f>IFERROR(VLOOKUP(C1672,Customers!$A:$E,5,FALSE),"")</f>
        <v>Retail</v>
      </c>
      <c r="N1672">
        <f>IFERROR(VLOOKUP(C1672,Customers!$A:$E,3,FALSE),"")</f>
        <v>25</v>
      </c>
      <c r="O1672" s="33" t="str">
        <f>IFERROR(VLOOKUP(E1672,Sales_Reps!$A:$C,3,FALSE),"")</f>
        <v>North</v>
      </c>
      <c r="P1672" s="33">
        <f>IFERROR(VLOOKUP(D1672,Products!$A:$D,4,FALSE),"")</f>
        <v>1886</v>
      </c>
      <c r="Q1672" s="33">
        <f t="shared" si="26"/>
        <v>0.4031645569620253</v>
      </c>
    </row>
    <row r="1673" spans="1:17" x14ac:dyDescent="0.3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  <c r="L1673" t="str">
        <f>IFERROR(VLOOKUP(D1673,Products!$A:$C,3,FALSE),"")</f>
        <v>Beauty</v>
      </c>
      <c r="M1673" t="str">
        <f>IFERROR(VLOOKUP(C1673,Customers!$A:$E,5,FALSE),"")</f>
        <v/>
      </c>
      <c r="N1673" t="str">
        <f>IFERROR(VLOOKUP(C1673,Customers!$A:$E,3,FALSE),"")</f>
        <v/>
      </c>
      <c r="O1673" s="33" t="str">
        <f>IFERROR(VLOOKUP(E1673,Sales_Reps!$A:$C,3,FALSE),"")</f>
        <v>North</v>
      </c>
      <c r="P1673" s="33">
        <f>IFERROR(VLOOKUP(D1673,Products!$A:$D,4,FALSE),"")</f>
        <v>647</v>
      </c>
      <c r="Q1673" s="33">
        <f t="shared" si="26"/>
        <v>0.57987012987012987</v>
      </c>
    </row>
    <row r="1674" spans="1:17" x14ac:dyDescent="0.3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  <c r="L1674" t="str">
        <f>IFERROR(VLOOKUP(D1674,Products!$A:$C,3,FALSE),"")</f>
        <v>Beauty</v>
      </c>
      <c r="M1674" t="str">
        <f>IFERROR(VLOOKUP(C1674,Customers!$A:$E,5,FALSE),"")</f>
        <v>SMB</v>
      </c>
      <c r="N1674">
        <f>IFERROR(VLOOKUP(C1674,Customers!$A:$E,3,FALSE),"")</f>
        <v>46</v>
      </c>
      <c r="O1674" s="33" t="str">
        <f>IFERROR(VLOOKUP(E1674,Sales_Reps!$A:$C,3,FALSE),"")</f>
        <v>West</v>
      </c>
      <c r="P1674" s="33">
        <f>IFERROR(VLOOKUP(D1674,Products!$A:$D,4,FALSE),"")</f>
        <v>2420</v>
      </c>
      <c r="Q1674" s="33">
        <f t="shared" si="26"/>
        <v>0.29855072463768118</v>
      </c>
    </row>
    <row r="1675" spans="1:17" x14ac:dyDescent="0.3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  <c r="L1675" t="str">
        <f>IFERROR(VLOOKUP(D1675,Products!$A:$C,3,FALSE),"")</f>
        <v>Grocery</v>
      </c>
      <c r="M1675" t="str">
        <f>IFERROR(VLOOKUP(C1675,Customers!$A:$E,5,FALSE),"")</f>
        <v>Retail</v>
      </c>
      <c r="N1675">
        <f>IFERROR(VLOOKUP(C1675,Customers!$A:$E,3,FALSE),"")</f>
        <v>61</v>
      </c>
      <c r="O1675" s="33" t="str">
        <f>IFERROR(VLOOKUP(E1675,Sales_Reps!$A:$C,3,FALSE),"")</f>
        <v>West</v>
      </c>
      <c r="P1675" s="33">
        <f>IFERROR(VLOOKUP(D1675,Products!$A:$D,4,FALSE),"")</f>
        <v>1182</v>
      </c>
      <c r="Q1675" s="33">
        <f t="shared" si="26"/>
        <v>0.50336134453781511</v>
      </c>
    </row>
    <row r="1676" spans="1:17" x14ac:dyDescent="0.3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  <c r="L1676" t="str">
        <f>IFERROR(VLOOKUP(D1676,Products!$A:$C,3,FALSE),"")</f>
        <v>Home</v>
      </c>
      <c r="M1676" t="str">
        <f>IFERROR(VLOOKUP(C1676,Customers!$A:$E,5,FALSE),"")</f>
        <v>Retail</v>
      </c>
      <c r="N1676">
        <f>IFERROR(VLOOKUP(C1676,Customers!$A:$E,3,FALSE),"")</f>
        <v>25</v>
      </c>
      <c r="O1676" s="33" t="str">
        <f>IFERROR(VLOOKUP(E1676,Sales_Reps!$A:$C,3,FALSE),"")</f>
        <v>North</v>
      </c>
      <c r="P1676" s="33">
        <f>IFERROR(VLOOKUP(D1676,Products!$A:$D,4,FALSE),"")</f>
        <v>2135</v>
      </c>
      <c r="Q1676" s="33">
        <f t="shared" si="26"/>
        <v>0.42761394101876676</v>
      </c>
    </row>
    <row r="1677" spans="1:17" x14ac:dyDescent="0.3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  <c r="L1677" t="str">
        <f>IFERROR(VLOOKUP(D1677,Products!$A:$C,3,FALSE),"")</f>
        <v>Home</v>
      </c>
      <c r="M1677" t="str">
        <f>IFERROR(VLOOKUP(C1677,Customers!$A:$E,5,FALSE),"")</f>
        <v>Retail</v>
      </c>
      <c r="N1677">
        <f>IFERROR(VLOOKUP(C1677,Customers!$A:$E,3,FALSE),"")</f>
        <v>43</v>
      </c>
      <c r="O1677" s="33" t="str">
        <f>IFERROR(VLOOKUP(E1677,Sales_Reps!$A:$C,3,FALSE),"")</f>
        <v>North</v>
      </c>
      <c r="P1677" s="33">
        <f>IFERROR(VLOOKUP(D1677,Products!$A:$D,4,FALSE),"")</f>
        <v>1556</v>
      </c>
      <c r="Q1677" s="33">
        <f t="shared" si="26"/>
        <v>0.52123076923076928</v>
      </c>
    </row>
    <row r="1678" spans="1:17" x14ac:dyDescent="0.3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  <c r="L1678" t="str">
        <f>IFERROR(VLOOKUP(D1678,Products!$A:$C,3,FALSE),"")</f>
        <v>Sports</v>
      </c>
      <c r="M1678" t="str">
        <f>IFERROR(VLOOKUP(C1678,Customers!$A:$E,5,FALSE),"")</f>
        <v>Retail</v>
      </c>
      <c r="N1678">
        <f>IFERROR(VLOOKUP(C1678,Customers!$A:$E,3,FALSE),"")</f>
        <v>35</v>
      </c>
      <c r="O1678" s="33" t="str">
        <f>IFERROR(VLOOKUP(E1678,Sales_Reps!$A:$C,3,FALSE),"")</f>
        <v>East</v>
      </c>
      <c r="P1678" s="33">
        <f>IFERROR(VLOOKUP(D1678,Products!$A:$D,4,FALSE),"")</f>
        <v>302</v>
      </c>
      <c r="Q1678" s="33">
        <f t="shared" si="26"/>
        <v>0.35744680851063831</v>
      </c>
    </row>
    <row r="1679" spans="1:17" x14ac:dyDescent="0.3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  <c r="L1679" t="str">
        <f>IFERROR(VLOOKUP(D1679,Products!$A:$C,3,FALSE),"")</f>
        <v>Beauty</v>
      </c>
      <c r="M1679" t="str">
        <f>IFERROR(VLOOKUP(C1679,Customers!$A:$E,5,FALSE),"")</f>
        <v>Corporate</v>
      </c>
      <c r="N1679">
        <f>IFERROR(VLOOKUP(C1679,Customers!$A:$E,3,FALSE),"")</f>
        <v>43</v>
      </c>
      <c r="O1679" s="33" t="str">
        <f>IFERROR(VLOOKUP(E1679,Sales_Reps!$A:$C,3,FALSE),"")</f>
        <v>West</v>
      </c>
      <c r="P1679" s="33">
        <f>IFERROR(VLOOKUP(D1679,Products!$A:$D,4,FALSE),"")</f>
        <v>1219</v>
      </c>
      <c r="Q1679" s="33">
        <f t="shared" si="26"/>
        <v>0.46768558951965067</v>
      </c>
    </row>
    <row r="1680" spans="1:17" x14ac:dyDescent="0.3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  <c r="L1680" t="str">
        <f>IFERROR(VLOOKUP(D1680,Products!$A:$C,3,FALSE),"")</f>
        <v>Electronics</v>
      </c>
      <c r="M1680" t="str">
        <f>IFERROR(VLOOKUP(C1680,Customers!$A:$E,5,FALSE),"")</f>
        <v>Retail</v>
      </c>
      <c r="N1680">
        <f>IFERROR(VLOOKUP(C1680,Customers!$A:$E,3,FALSE),"")</f>
        <v>31</v>
      </c>
      <c r="O1680" s="33" t="str">
        <f>IFERROR(VLOOKUP(E1680,Sales_Reps!$A:$C,3,FALSE),"")</f>
        <v>West</v>
      </c>
      <c r="P1680" s="33">
        <f>IFERROR(VLOOKUP(D1680,Products!$A:$D,4,FALSE),"")</f>
        <v>861</v>
      </c>
      <c r="Q1680" s="33">
        <f t="shared" si="26"/>
        <v>0.39790209790209791</v>
      </c>
    </row>
    <row r="1681" spans="1:17" x14ac:dyDescent="0.3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  <c r="L1681" t="str">
        <f>IFERROR(VLOOKUP(D1681,Products!$A:$C,3,FALSE),"")</f>
        <v>Sports</v>
      </c>
      <c r="M1681" t="str">
        <f>IFERROR(VLOOKUP(C1681,Customers!$A:$E,5,FALSE),"")</f>
        <v>Retail</v>
      </c>
      <c r="N1681">
        <f>IFERROR(VLOOKUP(C1681,Customers!$A:$E,3,FALSE),"")</f>
        <v>54</v>
      </c>
      <c r="O1681" s="33" t="str">
        <f>IFERROR(VLOOKUP(E1681,Sales_Reps!$A:$C,3,FALSE),"")</f>
        <v>North</v>
      </c>
      <c r="P1681" s="33">
        <f>IFERROR(VLOOKUP(D1681,Products!$A:$D,4,FALSE),"")</f>
        <v>2028</v>
      </c>
      <c r="Q1681" s="33">
        <f t="shared" si="26"/>
        <v>0.29090909090909089</v>
      </c>
    </row>
    <row r="1682" spans="1:17" x14ac:dyDescent="0.3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  <c r="L1682" t="str">
        <f>IFERROR(VLOOKUP(D1682,Products!$A:$C,3,FALSE),"")</f>
        <v>Beauty</v>
      </c>
      <c r="M1682" t="str">
        <f>IFERROR(VLOOKUP(C1682,Customers!$A:$E,5,FALSE),"")</f>
        <v>Retail</v>
      </c>
      <c r="N1682">
        <f>IFERROR(VLOOKUP(C1682,Customers!$A:$E,3,FALSE),"")</f>
        <v>65</v>
      </c>
      <c r="O1682" s="33" t="str">
        <f>IFERROR(VLOOKUP(E1682,Sales_Reps!$A:$C,3,FALSE),"")</f>
        <v>East</v>
      </c>
      <c r="P1682" s="33">
        <f>IFERROR(VLOOKUP(D1682,Products!$A:$D,4,FALSE),"")</f>
        <v>2420</v>
      </c>
      <c r="Q1682" s="33">
        <f t="shared" si="26"/>
        <v>0.29855072463768118</v>
      </c>
    </row>
    <row r="1683" spans="1:17" x14ac:dyDescent="0.3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  <c r="L1683" t="str">
        <f>IFERROR(VLOOKUP(D1683,Products!$A:$C,3,FALSE),"")</f>
        <v>Sports</v>
      </c>
      <c r="M1683" t="str">
        <f>IFERROR(VLOOKUP(C1683,Customers!$A:$E,5,FALSE),"")</f>
        <v>Retail</v>
      </c>
      <c r="N1683">
        <f>IFERROR(VLOOKUP(C1683,Customers!$A:$E,3,FALSE),"")</f>
        <v>62</v>
      </c>
      <c r="O1683" s="33" t="str">
        <f>IFERROR(VLOOKUP(E1683,Sales_Reps!$A:$C,3,FALSE),"")</f>
        <v>East</v>
      </c>
      <c r="P1683" s="33">
        <f>IFERROR(VLOOKUP(D1683,Products!$A:$D,4,FALSE),"")</f>
        <v>2265</v>
      </c>
      <c r="Q1683" s="33">
        <f t="shared" si="26"/>
        <v>0.58133086876155271</v>
      </c>
    </row>
    <row r="1684" spans="1:17" x14ac:dyDescent="0.3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  <c r="L1684" t="str">
        <f>IFERROR(VLOOKUP(D1684,Products!$A:$C,3,FALSE),"")</f>
        <v>Home</v>
      </c>
      <c r="M1684" t="str">
        <f>IFERROR(VLOOKUP(C1684,Customers!$A:$E,5,FALSE),"")</f>
        <v>Retail</v>
      </c>
      <c r="N1684">
        <f>IFERROR(VLOOKUP(C1684,Customers!$A:$E,3,FALSE),"")</f>
        <v>62</v>
      </c>
      <c r="O1684" s="33" t="str">
        <f>IFERROR(VLOOKUP(E1684,Sales_Reps!$A:$C,3,FALSE),"")</f>
        <v>West</v>
      </c>
      <c r="P1684" s="33">
        <f>IFERROR(VLOOKUP(D1684,Products!$A:$D,4,FALSE),"")</f>
        <v>519</v>
      </c>
      <c r="Q1684" s="33">
        <f t="shared" si="26"/>
        <v>0.51944444444444449</v>
      </c>
    </row>
    <row r="1685" spans="1:17" x14ac:dyDescent="0.3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  <c r="L1685" t="str">
        <f>IFERROR(VLOOKUP(D1685,Products!$A:$C,3,FALSE),"")</f>
        <v>Sports</v>
      </c>
      <c r="M1685" t="str">
        <f>IFERROR(VLOOKUP(C1685,Customers!$A:$E,5,FALSE),"")</f>
        <v>Retail</v>
      </c>
      <c r="N1685">
        <f>IFERROR(VLOOKUP(C1685,Customers!$A:$E,3,FALSE),"")</f>
        <v>46</v>
      </c>
      <c r="O1685" s="33" t="str">
        <f>IFERROR(VLOOKUP(E1685,Sales_Reps!$A:$C,3,FALSE),"")</f>
        <v>East</v>
      </c>
      <c r="P1685" s="33">
        <f>IFERROR(VLOOKUP(D1685,Products!$A:$D,4,FALSE),"")</f>
        <v>2028</v>
      </c>
      <c r="Q1685" s="33">
        <f t="shared" si="26"/>
        <v>0.29090909090909089</v>
      </c>
    </row>
    <row r="1686" spans="1:17" x14ac:dyDescent="0.3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  <c r="L1686" t="str">
        <f>IFERROR(VLOOKUP(D1686,Products!$A:$C,3,FALSE),"")</f>
        <v>Beauty</v>
      </c>
      <c r="M1686" t="str">
        <f>IFERROR(VLOOKUP(C1686,Customers!$A:$E,5,FALSE),"")</f>
        <v/>
      </c>
      <c r="N1686" t="str">
        <f>IFERROR(VLOOKUP(C1686,Customers!$A:$E,3,FALSE),"")</f>
        <v/>
      </c>
      <c r="O1686" s="33" t="str">
        <f>IFERROR(VLOOKUP(E1686,Sales_Reps!$A:$C,3,FALSE),"")</f>
        <v>South</v>
      </c>
      <c r="P1686" s="33">
        <f>IFERROR(VLOOKUP(D1686,Products!$A:$D,4,FALSE),"")</f>
        <v>1626</v>
      </c>
      <c r="Q1686" s="33">
        <f t="shared" si="26"/>
        <v>0.46158940397350995</v>
      </c>
    </row>
    <row r="1687" spans="1:17" x14ac:dyDescent="0.3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  <c r="L1687" t="str">
        <f>IFERROR(VLOOKUP(D1687,Products!$A:$C,3,FALSE),"")</f>
        <v>Sports</v>
      </c>
      <c r="M1687" t="str">
        <f>IFERROR(VLOOKUP(C1687,Customers!$A:$E,5,FALSE),"")</f>
        <v>SMB</v>
      </c>
      <c r="N1687">
        <f>IFERROR(VLOOKUP(C1687,Customers!$A:$E,3,FALSE),"")</f>
        <v>54</v>
      </c>
      <c r="O1687" s="33" t="str">
        <f>IFERROR(VLOOKUP(E1687,Sales_Reps!$A:$C,3,FALSE),"")</f>
        <v>West</v>
      </c>
      <c r="P1687" s="33">
        <f>IFERROR(VLOOKUP(D1687,Products!$A:$D,4,FALSE),"")</f>
        <v>705</v>
      </c>
      <c r="Q1687" s="33">
        <f t="shared" si="26"/>
        <v>0.265625</v>
      </c>
    </row>
    <row r="1688" spans="1:17" x14ac:dyDescent="0.3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  <c r="L1688" t="str">
        <f>IFERROR(VLOOKUP(D1688,Products!$A:$C,3,FALSE),"")</f>
        <v>Electronics</v>
      </c>
      <c r="M1688" t="str">
        <f>IFERROR(VLOOKUP(C1688,Customers!$A:$E,5,FALSE),"")</f>
        <v>Corporate</v>
      </c>
      <c r="N1688">
        <f>IFERROR(VLOOKUP(C1688,Customers!$A:$E,3,FALSE),"")</f>
        <v>60</v>
      </c>
      <c r="O1688" s="33" t="str">
        <f>IFERROR(VLOOKUP(E1688,Sales_Reps!$A:$C,3,FALSE),"")</f>
        <v>West</v>
      </c>
      <c r="P1688" s="33">
        <f>IFERROR(VLOOKUP(D1688,Products!$A:$D,4,FALSE),"")</f>
        <v>1559</v>
      </c>
      <c r="Q1688" s="33">
        <f t="shared" si="26"/>
        <v>0.59715762273901807</v>
      </c>
    </row>
    <row r="1689" spans="1:17" x14ac:dyDescent="0.3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  <c r="L1689" t="str">
        <f>IFERROR(VLOOKUP(D1689,Products!$A:$C,3,FALSE),"")</f>
        <v>Apparel</v>
      </c>
      <c r="M1689" t="str">
        <f>IFERROR(VLOOKUP(C1689,Customers!$A:$E,5,FALSE),"")</f>
        <v>Retail</v>
      </c>
      <c r="N1689">
        <f>IFERROR(VLOOKUP(C1689,Customers!$A:$E,3,FALSE),"")</f>
        <v>39</v>
      </c>
      <c r="O1689" s="33" t="str">
        <f>IFERROR(VLOOKUP(E1689,Sales_Reps!$A:$C,3,FALSE),"")</f>
        <v>East</v>
      </c>
      <c r="P1689" s="33">
        <f>IFERROR(VLOOKUP(D1689,Products!$A:$D,4,FALSE),"")</f>
        <v>1886</v>
      </c>
      <c r="Q1689" s="33">
        <f t="shared" si="26"/>
        <v>0.4031645569620253</v>
      </c>
    </row>
    <row r="1690" spans="1:17" x14ac:dyDescent="0.3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  <c r="L1690" t="str">
        <f>IFERROR(VLOOKUP(D1690,Products!$A:$C,3,FALSE),"")</f>
        <v>Beauty</v>
      </c>
      <c r="M1690" t="str">
        <f>IFERROR(VLOOKUP(C1690,Customers!$A:$E,5,FALSE),"")</f>
        <v>SMB</v>
      </c>
      <c r="N1690">
        <f>IFERROR(VLOOKUP(C1690,Customers!$A:$E,3,FALSE),"")</f>
        <v>30</v>
      </c>
      <c r="O1690" s="33" t="str">
        <f>IFERROR(VLOOKUP(E1690,Sales_Reps!$A:$C,3,FALSE),"")</f>
        <v>West</v>
      </c>
      <c r="P1690" s="33">
        <f>IFERROR(VLOOKUP(D1690,Products!$A:$D,4,FALSE),"")</f>
        <v>2420</v>
      </c>
      <c r="Q1690" s="33">
        <f t="shared" si="26"/>
        <v>0.29855072463768118</v>
      </c>
    </row>
    <row r="1691" spans="1:17" x14ac:dyDescent="0.3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  <c r="L1691" t="str">
        <f>IFERROR(VLOOKUP(D1691,Products!$A:$C,3,FALSE),"")</f>
        <v>Beauty</v>
      </c>
      <c r="M1691" t="str">
        <f>IFERROR(VLOOKUP(C1691,Customers!$A:$E,5,FALSE),"")</f>
        <v>SMB</v>
      </c>
      <c r="N1691">
        <f>IFERROR(VLOOKUP(C1691,Customers!$A:$E,3,FALSE),"")</f>
        <v>26</v>
      </c>
      <c r="O1691" s="33" t="str">
        <f>IFERROR(VLOOKUP(E1691,Sales_Reps!$A:$C,3,FALSE),"")</f>
        <v>East</v>
      </c>
      <c r="P1691" s="33">
        <f>IFERROR(VLOOKUP(D1691,Products!$A:$D,4,FALSE),"")</f>
        <v>675</v>
      </c>
      <c r="Q1691" s="33">
        <f t="shared" si="26"/>
        <v>0.296875</v>
      </c>
    </row>
    <row r="1692" spans="1:17" x14ac:dyDescent="0.3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  <c r="L1692" t="str">
        <f>IFERROR(VLOOKUP(D1692,Products!$A:$C,3,FALSE),"")</f>
        <v>Sports</v>
      </c>
      <c r="M1692" t="str">
        <f>IFERROR(VLOOKUP(C1692,Customers!$A:$E,5,FALSE),"")</f>
        <v>Retail</v>
      </c>
      <c r="N1692">
        <f>IFERROR(VLOOKUP(C1692,Customers!$A:$E,3,FALSE),"")</f>
        <v>27</v>
      </c>
      <c r="O1692" s="33" t="str">
        <f>IFERROR(VLOOKUP(E1692,Sales_Reps!$A:$C,3,FALSE),"")</f>
        <v>East</v>
      </c>
      <c r="P1692" s="33">
        <f>IFERROR(VLOOKUP(D1692,Products!$A:$D,4,FALSE),"")</f>
        <v>2827</v>
      </c>
      <c r="Q1692" s="33">
        <f t="shared" si="26"/>
        <v>0.5926512968299712</v>
      </c>
    </row>
    <row r="1693" spans="1:17" x14ac:dyDescent="0.3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  <c r="L1693" t="str">
        <f>IFERROR(VLOOKUP(D1693,Products!$A:$C,3,FALSE),"")</f>
        <v>Sports</v>
      </c>
      <c r="M1693" t="str">
        <f>IFERROR(VLOOKUP(C1693,Customers!$A:$E,5,FALSE),"")</f>
        <v>Corporate</v>
      </c>
      <c r="N1693">
        <f>IFERROR(VLOOKUP(C1693,Customers!$A:$E,3,FALSE),"")</f>
        <v>26</v>
      </c>
      <c r="O1693" s="33" t="str">
        <f>IFERROR(VLOOKUP(E1693,Sales_Reps!$A:$C,3,FALSE),"")</f>
        <v>South</v>
      </c>
      <c r="P1693" s="33">
        <f>IFERROR(VLOOKUP(D1693,Products!$A:$D,4,FALSE),"")</f>
        <v>974</v>
      </c>
      <c r="Q1693" s="33">
        <f t="shared" si="26"/>
        <v>0.59416666666666662</v>
      </c>
    </row>
    <row r="1694" spans="1:17" x14ac:dyDescent="0.3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  <c r="L1694" t="str">
        <f>IFERROR(VLOOKUP(D1694,Products!$A:$C,3,FALSE),"")</f>
        <v>Sports</v>
      </c>
      <c r="M1694" t="str">
        <f>IFERROR(VLOOKUP(C1694,Customers!$A:$E,5,FALSE),"")</f>
        <v>Retail</v>
      </c>
      <c r="N1694">
        <f>IFERROR(VLOOKUP(C1694,Customers!$A:$E,3,FALSE),"")</f>
        <v>38</v>
      </c>
      <c r="O1694" s="33" t="str">
        <f>IFERROR(VLOOKUP(E1694,Sales_Reps!$A:$C,3,FALSE),"")</f>
        <v>East</v>
      </c>
      <c r="P1694" s="33">
        <f>IFERROR(VLOOKUP(D1694,Products!$A:$D,4,FALSE),"")</f>
        <v>2265</v>
      </c>
      <c r="Q1694" s="33">
        <f t="shared" si="26"/>
        <v>0.58133086876155271</v>
      </c>
    </row>
    <row r="1695" spans="1:17" x14ac:dyDescent="0.3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  <c r="L1695" t="str">
        <f>IFERROR(VLOOKUP(D1695,Products!$A:$C,3,FALSE),"")</f>
        <v>Electronics</v>
      </c>
      <c r="M1695" t="str">
        <f>IFERROR(VLOOKUP(C1695,Customers!$A:$E,5,FALSE),"")</f>
        <v>Retail</v>
      </c>
      <c r="N1695">
        <f>IFERROR(VLOOKUP(C1695,Customers!$A:$E,3,FALSE),"")</f>
        <v>54</v>
      </c>
      <c r="O1695" s="33" t="str">
        <f>IFERROR(VLOOKUP(E1695,Sales_Reps!$A:$C,3,FALSE),"")</f>
        <v>North</v>
      </c>
      <c r="P1695" s="33">
        <f>IFERROR(VLOOKUP(D1695,Products!$A:$D,4,FALSE),"")</f>
        <v>517</v>
      </c>
      <c r="Q1695" s="33">
        <f t="shared" si="26"/>
        <v>0.57622950819672136</v>
      </c>
    </row>
    <row r="1696" spans="1:17" x14ac:dyDescent="0.3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  <c r="L1696" t="str">
        <f>IFERROR(VLOOKUP(D1696,Products!$A:$C,3,FALSE),"")</f>
        <v>Home</v>
      </c>
      <c r="M1696" t="str">
        <f>IFERROR(VLOOKUP(C1696,Customers!$A:$E,5,FALSE),"")</f>
        <v>Retail</v>
      </c>
      <c r="N1696">
        <f>IFERROR(VLOOKUP(C1696,Customers!$A:$E,3,FALSE),"")</f>
        <v>31</v>
      </c>
      <c r="O1696" s="33" t="str">
        <f>IFERROR(VLOOKUP(E1696,Sales_Reps!$A:$C,3,FALSE),"")</f>
        <v>East</v>
      </c>
      <c r="P1696" s="33">
        <f>IFERROR(VLOOKUP(D1696,Products!$A:$D,4,FALSE),"")</f>
        <v>464</v>
      </c>
      <c r="Q1696" s="33">
        <f t="shared" si="26"/>
        <v>0.57431192660550456</v>
      </c>
    </row>
    <row r="1697" spans="1:17" x14ac:dyDescent="0.3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  <c r="L1697" t="str">
        <f>IFERROR(VLOOKUP(D1697,Products!$A:$C,3,FALSE),"")</f>
        <v>Grocery</v>
      </c>
      <c r="M1697" t="str">
        <f>IFERROR(VLOOKUP(C1697,Customers!$A:$E,5,FALSE),"")</f>
        <v>Retail</v>
      </c>
      <c r="N1697">
        <f>IFERROR(VLOOKUP(C1697,Customers!$A:$E,3,FALSE),"")</f>
        <v>28</v>
      </c>
      <c r="O1697" s="33" t="str">
        <f>IFERROR(VLOOKUP(E1697,Sales_Reps!$A:$C,3,FALSE),"")</f>
        <v>East</v>
      </c>
      <c r="P1697" s="33">
        <f>IFERROR(VLOOKUP(D1697,Products!$A:$D,4,FALSE),"")</f>
        <v>1435</v>
      </c>
      <c r="Q1697" s="33">
        <f t="shared" si="26"/>
        <v>0.48007246376811596</v>
      </c>
    </row>
    <row r="1698" spans="1:17" x14ac:dyDescent="0.3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  <c r="L1698" t="str">
        <f>IFERROR(VLOOKUP(D1698,Products!$A:$C,3,FALSE),"")</f>
        <v>Electronics</v>
      </c>
      <c r="M1698" t="str">
        <f>IFERROR(VLOOKUP(C1698,Customers!$A:$E,5,FALSE),"")</f>
        <v>SMB</v>
      </c>
      <c r="N1698">
        <f>IFERROR(VLOOKUP(C1698,Customers!$A:$E,3,FALSE),"")</f>
        <v>43</v>
      </c>
      <c r="O1698" s="33" t="str">
        <f>IFERROR(VLOOKUP(E1698,Sales_Reps!$A:$C,3,FALSE),"")</f>
        <v>West</v>
      </c>
      <c r="P1698" s="33">
        <f>IFERROR(VLOOKUP(D1698,Products!$A:$D,4,FALSE),"")</f>
        <v>1665</v>
      </c>
      <c r="Q1698" s="33">
        <f t="shared" si="26"/>
        <v>0.53361344537815125</v>
      </c>
    </row>
    <row r="1699" spans="1:17" x14ac:dyDescent="0.3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  <c r="L1699" t="str">
        <f>IFERROR(VLOOKUP(D1699,Products!$A:$C,3,FALSE),"")</f>
        <v>Electronics</v>
      </c>
      <c r="M1699" t="str">
        <f>IFERROR(VLOOKUP(C1699,Customers!$A:$E,5,FALSE),"")</f>
        <v>Retail</v>
      </c>
      <c r="N1699">
        <f>IFERROR(VLOOKUP(C1699,Customers!$A:$E,3,FALSE),"")</f>
        <v>28</v>
      </c>
      <c r="O1699" s="33" t="str">
        <f>IFERROR(VLOOKUP(E1699,Sales_Reps!$A:$C,3,FALSE),"")</f>
        <v>North</v>
      </c>
      <c r="P1699" s="33">
        <f>IFERROR(VLOOKUP(D1699,Products!$A:$D,4,FALSE),"")</f>
        <v>517</v>
      </c>
      <c r="Q1699" s="33">
        <f t="shared" si="26"/>
        <v>0.57622950819672136</v>
      </c>
    </row>
    <row r="1700" spans="1:17" x14ac:dyDescent="0.3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  <c r="L1700" t="str">
        <f>IFERROR(VLOOKUP(D1700,Products!$A:$C,3,FALSE),"")</f>
        <v>Sports</v>
      </c>
      <c r="M1700" t="str">
        <f>IFERROR(VLOOKUP(C1700,Customers!$A:$E,5,FALSE),"")</f>
        <v>Retail</v>
      </c>
      <c r="N1700">
        <f>IFERROR(VLOOKUP(C1700,Customers!$A:$E,3,FALSE),"")</f>
        <v>39</v>
      </c>
      <c r="O1700" s="33" t="str">
        <f>IFERROR(VLOOKUP(E1700,Sales_Reps!$A:$C,3,FALSE),"")</f>
        <v>West</v>
      </c>
      <c r="P1700" s="33">
        <f>IFERROR(VLOOKUP(D1700,Products!$A:$D,4,FALSE),"")</f>
        <v>2467</v>
      </c>
      <c r="Q1700" s="33">
        <f t="shared" si="26"/>
        <v>0.28492753623188405</v>
      </c>
    </row>
    <row r="1701" spans="1:17" x14ac:dyDescent="0.3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  <c r="L1701" t="str">
        <f>IFERROR(VLOOKUP(D1701,Products!$A:$C,3,FALSE),"")</f>
        <v>Grocery</v>
      </c>
      <c r="M1701" t="str">
        <f>IFERROR(VLOOKUP(C1701,Customers!$A:$E,5,FALSE),"")</f>
        <v>Retail</v>
      </c>
      <c r="N1701">
        <f>IFERROR(VLOOKUP(C1701,Customers!$A:$E,3,FALSE),"")</f>
        <v>36</v>
      </c>
      <c r="O1701" s="33" t="str">
        <f>IFERROR(VLOOKUP(E1701,Sales_Reps!$A:$C,3,FALSE),"")</f>
        <v>North</v>
      </c>
      <c r="P1701" s="33">
        <f>IFERROR(VLOOKUP(D1701,Products!$A:$D,4,FALSE),"")</f>
        <v>1010</v>
      </c>
      <c r="Q1701" s="33">
        <f t="shared" si="26"/>
        <v>0.54298642533936647</v>
      </c>
    </row>
    <row r="1702" spans="1:17" x14ac:dyDescent="0.3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  <c r="L1702" t="str">
        <f>IFERROR(VLOOKUP(D1702,Products!$A:$C,3,FALSE),"")</f>
        <v>Apparel</v>
      </c>
      <c r="M1702" t="str">
        <f>IFERROR(VLOOKUP(C1702,Customers!$A:$E,5,FALSE),"")</f>
        <v>Corporate</v>
      </c>
      <c r="N1702">
        <f>IFERROR(VLOOKUP(C1702,Customers!$A:$E,3,FALSE),"")</f>
        <v>42</v>
      </c>
      <c r="O1702" s="33" t="str">
        <f>IFERROR(VLOOKUP(E1702,Sales_Reps!$A:$C,3,FALSE),"")</f>
        <v>West</v>
      </c>
      <c r="P1702" s="33">
        <f>IFERROR(VLOOKUP(D1702,Products!$A:$D,4,FALSE),"")</f>
        <v>1173</v>
      </c>
      <c r="Q1702" s="33">
        <f t="shared" si="26"/>
        <v>0.52701612903225803</v>
      </c>
    </row>
    <row r="1703" spans="1:17" x14ac:dyDescent="0.3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  <c r="L1703" t="str">
        <f>IFERROR(VLOOKUP(D1703,Products!$A:$C,3,FALSE),"")</f>
        <v>Home</v>
      </c>
      <c r="M1703" t="str">
        <f>IFERROR(VLOOKUP(C1703,Customers!$A:$E,5,FALSE),"")</f>
        <v>Retail</v>
      </c>
      <c r="N1703">
        <f>IFERROR(VLOOKUP(C1703,Customers!$A:$E,3,FALSE),"")</f>
        <v>39</v>
      </c>
      <c r="O1703" s="33" t="str">
        <f>IFERROR(VLOOKUP(E1703,Sales_Reps!$A:$C,3,FALSE),"")</f>
        <v>East</v>
      </c>
      <c r="P1703" s="33">
        <f>IFERROR(VLOOKUP(D1703,Products!$A:$D,4,FALSE),"")</f>
        <v>1556</v>
      </c>
      <c r="Q1703" s="33">
        <f t="shared" si="26"/>
        <v>0.52123076923076928</v>
      </c>
    </row>
    <row r="1704" spans="1:17" x14ac:dyDescent="0.3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  <c r="L1704" t="str">
        <f>IFERROR(VLOOKUP(D1704,Products!$A:$C,3,FALSE),"")</f>
        <v>Sports</v>
      </c>
      <c r="M1704" t="str">
        <f>IFERROR(VLOOKUP(C1704,Customers!$A:$E,5,FALSE),"")</f>
        <v>Retail</v>
      </c>
      <c r="N1704">
        <f>IFERROR(VLOOKUP(C1704,Customers!$A:$E,3,FALSE),"")</f>
        <v>37</v>
      </c>
      <c r="O1704" s="33" t="str">
        <f>IFERROR(VLOOKUP(E1704,Sales_Reps!$A:$C,3,FALSE),"")</f>
        <v>North</v>
      </c>
      <c r="P1704" s="33">
        <f>IFERROR(VLOOKUP(D1704,Products!$A:$D,4,FALSE),"")</f>
        <v>974</v>
      </c>
      <c r="Q1704" s="33">
        <f t="shared" si="26"/>
        <v>0.59416666666666662</v>
      </c>
    </row>
    <row r="1705" spans="1:17" x14ac:dyDescent="0.3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  <c r="L1705" t="str">
        <f>IFERROR(VLOOKUP(D1705,Products!$A:$C,3,FALSE),"")</f>
        <v>Sports</v>
      </c>
      <c r="M1705" t="str">
        <f>IFERROR(VLOOKUP(C1705,Customers!$A:$E,5,FALSE),"")</f>
        <v>Retail</v>
      </c>
      <c r="N1705">
        <f>IFERROR(VLOOKUP(C1705,Customers!$A:$E,3,FALSE),"")</f>
        <v>35</v>
      </c>
      <c r="O1705" s="33" t="str">
        <f>IFERROR(VLOOKUP(E1705,Sales_Reps!$A:$C,3,FALSE),"")</f>
        <v>North</v>
      </c>
      <c r="P1705" s="33">
        <f>IFERROR(VLOOKUP(D1705,Products!$A:$D,4,FALSE),"")</f>
        <v>2265</v>
      </c>
      <c r="Q1705" s="33">
        <f t="shared" si="26"/>
        <v>0.58133086876155271</v>
      </c>
    </row>
    <row r="1706" spans="1:17" x14ac:dyDescent="0.3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  <c r="L1706" t="str">
        <f>IFERROR(VLOOKUP(D1706,Products!$A:$C,3,FALSE),"")</f>
        <v>Electronics</v>
      </c>
      <c r="M1706" t="str">
        <f>IFERROR(VLOOKUP(C1706,Customers!$A:$E,5,FALSE),"")</f>
        <v>Retail</v>
      </c>
      <c r="N1706">
        <f>IFERROR(VLOOKUP(C1706,Customers!$A:$E,3,FALSE),"")</f>
        <v>52</v>
      </c>
      <c r="O1706" s="33" t="str">
        <f>IFERROR(VLOOKUP(E1706,Sales_Reps!$A:$C,3,FALSE),"")</f>
        <v>East</v>
      </c>
      <c r="P1706" s="33">
        <f>IFERROR(VLOOKUP(D1706,Products!$A:$D,4,FALSE),"")</f>
        <v>1052</v>
      </c>
      <c r="Q1706" s="33">
        <f t="shared" si="26"/>
        <v>0.5953846153846154</v>
      </c>
    </row>
    <row r="1707" spans="1:17" x14ac:dyDescent="0.3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  <c r="L1707" t="str">
        <f>IFERROR(VLOOKUP(D1707,Products!$A:$C,3,FALSE),"")</f>
        <v>Grocery</v>
      </c>
      <c r="M1707" t="str">
        <f>IFERROR(VLOOKUP(C1707,Customers!$A:$E,5,FALSE),"")</f>
        <v>Retail</v>
      </c>
      <c r="N1707">
        <f>IFERROR(VLOOKUP(C1707,Customers!$A:$E,3,FALSE),"")</f>
        <v>25</v>
      </c>
      <c r="O1707" s="33" t="str">
        <f>IFERROR(VLOOKUP(E1707,Sales_Reps!$A:$C,3,FALSE),"")</f>
        <v>North</v>
      </c>
      <c r="P1707" s="33">
        <f>IFERROR(VLOOKUP(D1707,Products!$A:$D,4,FALSE),"")</f>
        <v>2911</v>
      </c>
      <c r="Q1707" s="33">
        <f t="shared" si="26"/>
        <v>0.28300492610837441</v>
      </c>
    </row>
    <row r="1708" spans="1:17" x14ac:dyDescent="0.3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  <c r="L1708" t="str">
        <f>IFERROR(VLOOKUP(D1708,Products!$A:$C,3,FALSE),"")</f>
        <v>Electronics</v>
      </c>
      <c r="M1708" t="str">
        <f>IFERROR(VLOOKUP(C1708,Customers!$A:$E,5,FALSE),"")</f>
        <v>Retail</v>
      </c>
      <c r="N1708">
        <f>IFERROR(VLOOKUP(C1708,Customers!$A:$E,3,FALSE),"")</f>
        <v>56</v>
      </c>
      <c r="O1708" s="33" t="str">
        <f>IFERROR(VLOOKUP(E1708,Sales_Reps!$A:$C,3,FALSE),"")</f>
        <v>East</v>
      </c>
      <c r="P1708" s="33">
        <f>IFERROR(VLOOKUP(D1708,Products!$A:$D,4,FALSE),"")</f>
        <v>2405</v>
      </c>
      <c r="Q1708" s="33">
        <f t="shared" si="26"/>
        <v>0.54878048780487809</v>
      </c>
    </row>
    <row r="1709" spans="1:17" x14ac:dyDescent="0.3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  <c r="L1709" t="str">
        <f>IFERROR(VLOOKUP(D1709,Products!$A:$C,3,FALSE),"")</f>
        <v>Beauty</v>
      </c>
      <c r="M1709" t="str">
        <f>IFERROR(VLOOKUP(C1709,Customers!$A:$E,5,FALSE),"")</f>
        <v>Retail</v>
      </c>
      <c r="N1709">
        <f>IFERROR(VLOOKUP(C1709,Customers!$A:$E,3,FALSE),"")</f>
        <v>29</v>
      </c>
      <c r="O1709" s="33" t="str">
        <f>IFERROR(VLOOKUP(E1709,Sales_Reps!$A:$C,3,FALSE),"")</f>
        <v>West</v>
      </c>
      <c r="P1709" s="33">
        <f>IFERROR(VLOOKUP(D1709,Products!$A:$D,4,FALSE),"")</f>
        <v>1728</v>
      </c>
      <c r="Q1709" s="33">
        <f t="shared" si="26"/>
        <v>0.48417910447761192</v>
      </c>
    </row>
    <row r="1710" spans="1:17" x14ac:dyDescent="0.3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  <c r="L1710" t="str">
        <f>IFERROR(VLOOKUP(D1710,Products!$A:$C,3,FALSE),"")</f>
        <v>Apparel</v>
      </c>
      <c r="M1710" t="str">
        <f>IFERROR(VLOOKUP(C1710,Customers!$A:$E,5,FALSE),"")</f>
        <v>SMB</v>
      </c>
      <c r="N1710">
        <f>IFERROR(VLOOKUP(C1710,Customers!$A:$E,3,FALSE),"")</f>
        <v>61</v>
      </c>
      <c r="O1710" s="33" t="str">
        <f>IFERROR(VLOOKUP(E1710,Sales_Reps!$A:$C,3,FALSE),"")</f>
        <v>South</v>
      </c>
      <c r="P1710" s="33">
        <f>IFERROR(VLOOKUP(D1710,Products!$A:$D,4,FALSE),"")</f>
        <v>1075</v>
      </c>
      <c r="Q1710" s="33">
        <f t="shared" si="26"/>
        <v>0.57171314741035861</v>
      </c>
    </row>
    <row r="1711" spans="1:17" x14ac:dyDescent="0.3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  <c r="L1711" t="str">
        <f>IFERROR(VLOOKUP(D1711,Products!$A:$C,3,FALSE),"")</f>
        <v>Beauty</v>
      </c>
      <c r="M1711" t="str">
        <f>IFERROR(VLOOKUP(C1711,Customers!$A:$E,5,FALSE),"")</f>
        <v>SMB</v>
      </c>
      <c r="N1711">
        <f>IFERROR(VLOOKUP(C1711,Customers!$A:$E,3,FALSE),"")</f>
        <v>44</v>
      </c>
      <c r="O1711" s="33" t="str">
        <f>IFERROR(VLOOKUP(E1711,Sales_Reps!$A:$C,3,FALSE),"")</f>
        <v>East</v>
      </c>
      <c r="P1711" s="33">
        <f>IFERROR(VLOOKUP(D1711,Products!$A:$D,4,FALSE),"")</f>
        <v>1626</v>
      </c>
      <c r="Q1711" s="33">
        <f t="shared" si="26"/>
        <v>0.46158940397350995</v>
      </c>
    </row>
    <row r="1712" spans="1:17" x14ac:dyDescent="0.3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  <c r="L1712" t="str">
        <f>IFERROR(VLOOKUP(D1712,Products!$A:$C,3,FALSE),"")</f>
        <v>Apparel</v>
      </c>
      <c r="M1712" t="str">
        <f>IFERROR(VLOOKUP(C1712,Customers!$A:$E,5,FALSE),"")</f>
        <v>Retail</v>
      </c>
      <c r="N1712">
        <f>IFERROR(VLOOKUP(C1712,Customers!$A:$E,3,FALSE),"")</f>
        <v>40</v>
      </c>
      <c r="O1712" s="33" t="str">
        <f>IFERROR(VLOOKUP(E1712,Sales_Reps!$A:$C,3,FALSE),"")</f>
        <v>West</v>
      </c>
      <c r="P1712" s="33">
        <f>IFERROR(VLOOKUP(D1712,Products!$A:$D,4,FALSE),"")</f>
        <v>391</v>
      </c>
      <c r="Q1712" s="33">
        <f t="shared" si="26"/>
        <v>0.52317073170731709</v>
      </c>
    </row>
    <row r="1713" spans="1:17" x14ac:dyDescent="0.3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  <c r="L1713" t="str">
        <f>IFERROR(VLOOKUP(D1713,Products!$A:$C,3,FALSE),"")</f>
        <v>Apparel</v>
      </c>
      <c r="M1713" t="str">
        <f>IFERROR(VLOOKUP(C1713,Customers!$A:$E,5,FALSE),"")</f>
        <v>Retail</v>
      </c>
      <c r="N1713">
        <f>IFERROR(VLOOKUP(C1713,Customers!$A:$E,3,FALSE),"")</f>
        <v>47</v>
      </c>
      <c r="O1713" s="33" t="str">
        <f>IFERROR(VLOOKUP(E1713,Sales_Reps!$A:$C,3,FALSE),"")</f>
        <v>West</v>
      </c>
      <c r="P1713" s="33">
        <f>IFERROR(VLOOKUP(D1713,Products!$A:$D,4,FALSE),"")</f>
        <v>1886</v>
      </c>
      <c r="Q1713" s="33">
        <f t="shared" si="26"/>
        <v>0.4031645569620253</v>
      </c>
    </row>
    <row r="1714" spans="1:17" x14ac:dyDescent="0.3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  <c r="L1714" t="str">
        <f>IFERROR(VLOOKUP(D1714,Products!$A:$C,3,FALSE),"")</f>
        <v>Grocery</v>
      </c>
      <c r="M1714" t="str">
        <f>IFERROR(VLOOKUP(C1714,Customers!$A:$E,5,FALSE),"")</f>
        <v>SMB</v>
      </c>
      <c r="N1714">
        <f>IFERROR(VLOOKUP(C1714,Customers!$A:$E,3,FALSE),"")</f>
        <v>55</v>
      </c>
      <c r="O1714" s="33" t="str">
        <f>IFERROR(VLOOKUP(E1714,Sales_Reps!$A:$C,3,FALSE),"")</f>
        <v>South</v>
      </c>
      <c r="P1714" s="33">
        <f>IFERROR(VLOOKUP(D1714,Products!$A:$D,4,FALSE),"")</f>
        <v>2214</v>
      </c>
      <c r="Q1714" s="33">
        <f t="shared" si="26"/>
        <v>0.39508196721311473</v>
      </c>
    </row>
    <row r="1715" spans="1:17" x14ac:dyDescent="0.3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  <c r="L1715" t="str">
        <f>IFERROR(VLOOKUP(D1715,Products!$A:$C,3,FALSE),"")</f>
        <v>Apparel</v>
      </c>
      <c r="M1715" t="str">
        <f>IFERROR(VLOOKUP(C1715,Customers!$A:$E,5,FALSE),"")</f>
        <v>Retail</v>
      </c>
      <c r="N1715">
        <f>IFERROR(VLOOKUP(C1715,Customers!$A:$E,3,FALSE),"")</f>
        <v>52</v>
      </c>
      <c r="O1715" s="33" t="str">
        <f>IFERROR(VLOOKUP(E1715,Sales_Reps!$A:$C,3,FALSE),"")</f>
        <v>West</v>
      </c>
      <c r="P1715" s="33">
        <f>IFERROR(VLOOKUP(D1715,Products!$A:$D,4,FALSE),"")</f>
        <v>391</v>
      </c>
      <c r="Q1715" s="33">
        <f t="shared" si="26"/>
        <v>0.52317073170731709</v>
      </c>
    </row>
    <row r="1716" spans="1:17" x14ac:dyDescent="0.3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  <c r="L1716" t="str">
        <f>IFERROR(VLOOKUP(D1716,Products!$A:$C,3,FALSE),"")</f>
        <v>Grocery</v>
      </c>
      <c r="M1716" t="str">
        <f>IFERROR(VLOOKUP(C1716,Customers!$A:$E,5,FALSE),"")</f>
        <v>Retail</v>
      </c>
      <c r="N1716">
        <f>IFERROR(VLOOKUP(C1716,Customers!$A:$E,3,FALSE),"")</f>
        <v>53</v>
      </c>
      <c r="O1716" s="33" t="str">
        <f>IFERROR(VLOOKUP(E1716,Sales_Reps!$A:$C,3,FALSE),"")</f>
        <v>East</v>
      </c>
      <c r="P1716" s="33">
        <f>IFERROR(VLOOKUP(D1716,Products!$A:$D,4,FALSE),"")</f>
        <v>1182</v>
      </c>
      <c r="Q1716" s="33">
        <f t="shared" si="26"/>
        <v>0.50336134453781511</v>
      </c>
    </row>
    <row r="1717" spans="1:17" x14ac:dyDescent="0.3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  <c r="L1717" t="str">
        <f>IFERROR(VLOOKUP(D1717,Products!$A:$C,3,FALSE),"")</f>
        <v>Electronics</v>
      </c>
      <c r="M1717" t="str">
        <f>IFERROR(VLOOKUP(C1717,Customers!$A:$E,5,FALSE),"")</f>
        <v>SMB</v>
      </c>
      <c r="N1717">
        <f>IFERROR(VLOOKUP(C1717,Customers!$A:$E,3,FALSE),"")</f>
        <v>43</v>
      </c>
      <c r="O1717" s="33" t="str">
        <f>IFERROR(VLOOKUP(E1717,Sales_Reps!$A:$C,3,FALSE),"")</f>
        <v>South</v>
      </c>
      <c r="P1717" s="33">
        <f>IFERROR(VLOOKUP(D1717,Products!$A:$D,4,FALSE),"")</f>
        <v>1559</v>
      </c>
      <c r="Q1717" s="33">
        <f t="shared" si="26"/>
        <v>0.59715762273901807</v>
      </c>
    </row>
    <row r="1718" spans="1:17" x14ac:dyDescent="0.3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  <c r="L1718" t="str">
        <f>IFERROR(VLOOKUP(D1718,Products!$A:$C,3,FALSE),"")</f>
        <v>Electronics</v>
      </c>
      <c r="M1718" t="str">
        <f>IFERROR(VLOOKUP(C1718,Customers!$A:$E,5,FALSE),"")</f>
        <v>Corporate</v>
      </c>
      <c r="N1718">
        <f>IFERROR(VLOOKUP(C1718,Customers!$A:$E,3,FALSE),"")</f>
        <v>41</v>
      </c>
      <c r="O1718" s="33" t="str">
        <f>IFERROR(VLOOKUP(E1718,Sales_Reps!$A:$C,3,FALSE),"")</f>
        <v>North</v>
      </c>
      <c r="P1718" s="33">
        <f>IFERROR(VLOOKUP(D1718,Products!$A:$D,4,FALSE),"")</f>
        <v>128</v>
      </c>
      <c r="Q1718" s="33">
        <f t="shared" si="26"/>
        <v>0.57333333333333336</v>
      </c>
    </row>
    <row r="1719" spans="1:17" x14ac:dyDescent="0.3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  <c r="L1719" t="str">
        <f>IFERROR(VLOOKUP(D1719,Products!$A:$C,3,FALSE),"")</f>
        <v>Beauty</v>
      </c>
      <c r="M1719" t="str">
        <f>IFERROR(VLOOKUP(C1719,Customers!$A:$E,5,FALSE),"")</f>
        <v>Retail</v>
      </c>
      <c r="N1719">
        <f>IFERROR(VLOOKUP(C1719,Customers!$A:$E,3,FALSE),"")</f>
        <v>46</v>
      </c>
      <c r="O1719" s="33" t="str">
        <f>IFERROR(VLOOKUP(E1719,Sales_Reps!$A:$C,3,FALSE),"")</f>
        <v>West</v>
      </c>
      <c r="P1719" s="33">
        <f>IFERROR(VLOOKUP(D1719,Products!$A:$D,4,FALSE),"")</f>
        <v>2237</v>
      </c>
      <c r="Q1719" s="33">
        <f t="shared" si="26"/>
        <v>0.56137254901960787</v>
      </c>
    </row>
    <row r="1720" spans="1:17" x14ac:dyDescent="0.3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  <c r="L1720" t="str">
        <f>IFERROR(VLOOKUP(D1720,Products!$A:$C,3,FALSE),"")</f>
        <v>Grocery</v>
      </c>
      <c r="M1720" t="str">
        <f>IFERROR(VLOOKUP(C1720,Customers!$A:$E,5,FALSE),"")</f>
        <v>Retail</v>
      </c>
      <c r="N1720">
        <f>IFERROR(VLOOKUP(C1720,Customers!$A:$E,3,FALSE),"")</f>
        <v>37</v>
      </c>
      <c r="O1720" s="33" t="str">
        <f>IFERROR(VLOOKUP(E1720,Sales_Reps!$A:$C,3,FALSE),"")</f>
        <v>South</v>
      </c>
      <c r="P1720" s="33">
        <f>IFERROR(VLOOKUP(D1720,Products!$A:$D,4,FALSE),"")</f>
        <v>1435</v>
      </c>
      <c r="Q1720" s="33">
        <f t="shared" si="26"/>
        <v>0.48007246376811596</v>
      </c>
    </row>
    <row r="1721" spans="1:17" x14ac:dyDescent="0.3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  <c r="L1721" t="str">
        <f>IFERROR(VLOOKUP(D1721,Products!$A:$C,3,FALSE),"")</f>
        <v>Electronics</v>
      </c>
      <c r="M1721" t="str">
        <f>IFERROR(VLOOKUP(C1721,Customers!$A:$E,5,FALSE),"")</f>
        <v>SMB</v>
      </c>
      <c r="N1721">
        <f>IFERROR(VLOOKUP(C1721,Customers!$A:$E,3,FALSE),"")</f>
        <v>65</v>
      </c>
      <c r="O1721" s="33" t="str">
        <f>IFERROR(VLOOKUP(E1721,Sales_Reps!$A:$C,3,FALSE),"")</f>
        <v>North</v>
      </c>
      <c r="P1721" s="33">
        <f>IFERROR(VLOOKUP(D1721,Products!$A:$D,4,FALSE),"")</f>
        <v>2405</v>
      </c>
      <c r="Q1721" s="33">
        <f t="shared" si="26"/>
        <v>0.54878048780487809</v>
      </c>
    </row>
    <row r="1722" spans="1:17" x14ac:dyDescent="0.3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  <c r="L1722" t="str">
        <f>IFERROR(VLOOKUP(D1722,Products!$A:$C,3,FALSE),"")</f>
        <v>Sports</v>
      </c>
      <c r="M1722" t="str">
        <f>IFERROR(VLOOKUP(C1722,Customers!$A:$E,5,FALSE),"")</f>
        <v>Corporate</v>
      </c>
      <c r="N1722">
        <f>IFERROR(VLOOKUP(C1722,Customers!$A:$E,3,FALSE),"")</f>
        <v>41</v>
      </c>
      <c r="O1722" s="33" t="str">
        <f>IFERROR(VLOOKUP(E1722,Sales_Reps!$A:$C,3,FALSE),"")</f>
        <v>South</v>
      </c>
      <c r="P1722" s="33">
        <f>IFERROR(VLOOKUP(D1722,Products!$A:$D,4,FALSE),"")</f>
        <v>516</v>
      </c>
      <c r="Q1722" s="33">
        <f t="shared" si="26"/>
        <v>0.4891089108910891</v>
      </c>
    </row>
    <row r="1723" spans="1:17" x14ac:dyDescent="0.3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  <c r="L1723" t="str">
        <f>IFERROR(VLOOKUP(D1723,Products!$A:$C,3,FALSE),"")</f>
        <v>Electronics</v>
      </c>
      <c r="M1723" t="str">
        <f>IFERROR(VLOOKUP(C1723,Customers!$A:$E,5,FALSE),"")</f>
        <v>Retail</v>
      </c>
      <c r="N1723">
        <f>IFERROR(VLOOKUP(C1723,Customers!$A:$E,3,FALSE),"")</f>
        <v>36</v>
      </c>
      <c r="O1723" s="33" t="str">
        <f>IFERROR(VLOOKUP(E1723,Sales_Reps!$A:$C,3,FALSE),"")</f>
        <v>East</v>
      </c>
      <c r="P1723" s="33">
        <f>IFERROR(VLOOKUP(D1723,Products!$A:$D,4,FALSE),"")</f>
        <v>1259</v>
      </c>
      <c r="Q1723" s="33">
        <f t="shared" si="26"/>
        <v>0.52669172932330832</v>
      </c>
    </row>
    <row r="1724" spans="1:17" x14ac:dyDescent="0.3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  <c r="L1724" t="str">
        <f>IFERROR(VLOOKUP(D1724,Products!$A:$C,3,FALSE),"")</f>
        <v>Electronics</v>
      </c>
      <c r="M1724" t="str">
        <f>IFERROR(VLOOKUP(C1724,Customers!$A:$E,5,FALSE),"")</f>
        <v>Retail</v>
      </c>
      <c r="N1724">
        <f>IFERROR(VLOOKUP(C1724,Customers!$A:$E,3,FALSE),"")</f>
        <v>34</v>
      </c>
      <c r="O1724" s="33" t="str">
        <f>IFERROR(VLOOKUP(E1724,Sales_Reps!$A:$C,3,FALSE),"")</f>
        <v>South</v>
      </c>
      <c r="P1724" s="33">
        <f>IFERROR(VLOOKUP(D1724,Products!$A:$D,4,FALSE),"")</f>
        <v>2865</v>
      </c>
      <c r="Q1724" s="33">
        <f t="shared" si="26"/>
        <v>0.27833753148614609</v>
      </c>
    </row>
    <row r="1725" spans="1:17" x14ac:dyDescent="0.3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  <c r="L1725" t="str">
        <f>IFERROR(VLOOKUP(D1725,Products!$A:$C,3,FALSE),"")</f>
        <v>Apparel</v>
      </c>
      <c r="M1725" t="str">
        <f>IFERROR(VLOOKUP(C1725,Customers!$A:$E,5,FALSE),"")</f>
        <v>SMB</v>
      </c>
      <c r="N1725">
        <f>IFERROR(VLOOKUP(C1725,Customers!$A:$E,3,FALSE),"")</f>
        <v>43</v>
      </c>
      <c r="O1725" s="33" t="str">
        <f>IFERROR(VLOOKUP(E1725,Sales_Reps!$A:$C,3,FALSE),"")</f>
        <v>North</v>
      </c>
      <c r="P1725" s="33">
        <f>IFERROR(VLOOKUP(D1725,Products!$A:$D,4,FALSE),"")</f>
        <v>2509</v>
      </c>
      <c r="Q1725" s="33">
        <f t="shared" si="26"/>
        <v>0.3069060773480663</v>
      </c>
    </row>
    <row r="1726" spans="1:17" x14ac:dyDescent="0.3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  <c r="L1726" t="str">
        <f>IFERROR(VLOOKUP(D1726,Products!$A:$C,3,FALSE),"")</f>
        <v>Grocery</v>
      </c>
      <c r="M1726" t="str">
        <f>IFERROR(VLOOKUP(C1726,Customers!$A:$E,5,FALSE),"")</f>
        <v>Retail</v>
      </c>
      <c r="N1726">
        <f>IFERROR(VLOOKUP(C1726,Customers!$A:$E,3,FALSE),"")</f>
        <v>38</v>
      </c>
      <c r="O1726" s="33" t="str">
        <f>IFERROR(VLOOKUP(E1726,Sales_Reps!$A:$C,3,FALSE),"")</f>
        <v>East</v>
      </c>
      <c r="P1726" s="33">
        <f>IFERROR(VLOOKUP(D1726,Products!$A:$D,4,FALSE),"")</f>
        <v>1412</v>
      </c>
      <c r="Q1726" s="33">
        <f t="shared" si="26"/>
        <v>0.37797356828193834</v>
      </c>
    </row>
    <row r="1727" spans="1:17" x14ac:dyDescent="0.3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  <c r="L1727" t="str">
        <f>IFERROR(VLOOKUP(D1727,Products!$A:$C,3,FALSE),"")</f>
        <v>Grocery</v>
      </c>
      <c r="M1727" t="str">
        <f>IFERROR(VLOOKUP(C1727,Customers!$A:$E,5,FALSE),"")</f>
        <v>Retail</v>
      </c>
      <c r="N1727">
        <f>IFERROR(VLOOKUP(C1727,Customers!$A:$E,3,FALSE),"")</f>
        <v>34</v>
      </c>
      <c r="O1727" s="33" t="str">
        <f>IFERROR(VLOOKUP(E1727,Sales_Reps!$A:$C,3,FALSE),"")</f>
        <v>South</v>
      </c>
      <c r="P1727" s="33">
        <f>IFERROR(VLOOKUP(D1727,Products!$A:$D,4,FALSE),"")</f>
        <v>1412</v>
      </c>
      <c r="Q1727" s="33">
        <f t="shared" si="26"/>
        <v>0.37797356828193834</v>
      </c>
    </row>
    <row r="1728" spans="1:17" x14ac:dyDescent="0.3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  <c r="L1728" t="str">
        <f>IFERROR(VLOOKUP(D1728,Products!$A:$C,3,FALSE),"")</f>
        <v>Home</v>
      </c>
      <c r="M1728" t="str">
        <f>IFERROR(VLOOKUP(C1728,Customers!$A:$E,5,FALSE),"")</f>
        <v>Retail</v>
      </c>
      <c r="N1728">
        <f>IFERROR(VLOOKUP(C1728,Customers!$A:$E,3,FALSE),"")</f>
        <v>41</v>
      </c>
      <c r="O1728" s="33" t="str">
        <f>IFERROR(VLOOKUP(E1728,Sales_Reps!$A:$C,3,FALSE),"")</f>
        <v>South</v>
      </c>
      <c r="P1728" s="33">
        <f>IFERROR(VLOOKUP(D1728,Products!$A:$D,4,FALSE),"")</f>
        <v>1850</v>
      </c>
      <c r="Q1728" s="33">
        <f t="shared" si="26"/>
        <v>0.59869848156182215</v>
      </c>
    </row>
    <row r="1729" spans="1:17" x14ac:dyDescent="0.3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  <c r="L1729" t="str">
        <f>IFERROR(VLOOKUP(D1729,Products!$A:$C,3,FALSE),"")</f>
        <v>Sports</v>
      </c>
      <c r="M1729" t="str">
        <f>IFERROR(VLOOKUP(C1729,Customers!$A:$E,5,FALSE),"")</f>
        <v>Retail</v>
      </c>
      <c r="N1729">
        <f>IFERROR(VLOOKUP(C1729,Customers!$A:$E,3,FALSE),"")</f>
        <v>41</v>
      </c>
      <c r="O1729" s="33" t="str">
        <f>IFERROR(VLOOKUP(E1729,Sales_Reps!$A:$C,3,FALSE),"")</f>
        <v>East</v>
      </c>
      <c r="P1729" s="33">
        <f>IFERROR(VLOOKUP(D1729,Products!$A:$D,4,FALSE),"")</f>
        <v>147</v>
      </c>
      <c r="Q1729" s="33">
        <f t="shared" si="26"/>
        <v>0.22631578947368422</v>
      </c>
    </row>
    <row r="1730" spans="1:17" x14ac:dyDescent="0.3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  <c r="L1730" t="str">
        <f>IFERROR(VLOOKUP(D1730,Products!$A:$C,3,FALSE),"")</f>
        <v>Home</v>
      </c>
      <c r="M1730" t="str">
        <f>IFERROR(VLOOKUP(C1730,Customers!$A:$E,5,FALSE),"")</f>
        <v>Corporate</v>
      </c>
      <c r="N1730">
        <f>IFERROR(VLOOKUP(C1730,Customers!$A:$E,3,FALSE),"")</f>
        <v>52</v>
      </c>
      <c r="O1730" s="33" t="str">
        <f>IFERROR(VLOOKUP(E1730,Sales_Reps!$A:$C,3,FALSE),"")</f>
        <v>West</v>
      </c>
      <c r="P1730" s="33">
        <f>IFERROR(VLOOKUP(D1730,Products!$A:$D,4,FALSE),"")</f>
        <v>1143</v>
      </c>
      <c r="Q1730" s="33">
        <f t="shared" si="26"/>
        <v>0.43694581280788175</v>
      </c>
    </row>
    <row r="1731" spans="1:17" x14ac:dyDescent="0.3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  <c r="L1731" t="str">
        <f>IFERROR(VLOOKUP(D1731,Products!$A:$C,3,FALSE),"")</f>
        <v>Grocery</v>
      </c>
      <c r="M1731" t="str">
        <f>IFERROR(VLOOKUP(C1731,Customers!$A:$E,5,FALSE),"")</f>
        <v>SMB</v>
      </c>
      <c r="N1731">
        <f>IFERROR(VLOOKUP(C1731,Customers!$A:$E,3,FALSE),"")</f>
        <v>30</v>
      </c>
      <c r="O1731" s="33" t="str">
        <f>IFERROR(VLOOKUP(E1731,Sales_Reps!$A:$C,3,FALSE),"")</f>
        <v>East</v>
      </c>
      <c r="P1731" s="33">
        <f>IFERROR(VLOOKUP(D1731,Products!$A:$D,4,FALSE),"")</f>
        <v>2027</v>
      </c>
      <c r="Q1731" s="33">
        <f t="shared" ref="Q1731:Q1794" si="27">IFERROR((G1731-P1731)/G1731,"")</f>
        <v>0.50196560196560192</v>
      </c>
    </row>
    <row r="1732" spans="1:17" x14ac:dyDescent="0.3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  <c r="L1732" t="str">
        <f>IFERROR(VLOOKUP(D1732,Products!$A:$C,3,FALSE),"")</f>
        <v>Beauty</v>
      </c>
      <c r="M1732" t="str">
        <f>IFERROR(VLOOKUP(C1732,Customers!$A:$E,5,FALSE),"")</f>
        <v>SMB</v>
      </c>
      <c r="N1732">
        <f>IFERROR(VLOOKUP(C1732,Customers!$A:$E,3,FALSE),"")</f>
        <v>48</v>
      </c>
      <c r="O1732" s="33" t="str">
        <f>IFERROR(VLOOKUP(E1732,Sales_Reps!$A:$C,3,FALSE),"")</f>
        <v>North</v>
      </c>
      <c r="P1732" s="33">
        <f>IFERROR(VLOOKUP(D1732,Products!$A:$D,4,FALSE),"")</f>
        <v>1219</v>
      </c>
      <c r="Q1732" s="33">
        <f t="shared" si="27"/>
        <v>0.46768558951965067</v>
      </c>
    </row>
    <row r="1733" spans="1:17" x14ac:dyDescent="0.3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  <c r="L1733" t="str">
        <f>IFERROR(VLOOKUP(D1733,Products!$A:$C,3,FALSE),"")</f>
        <v>Home</v>
      </c>
      <c r="M1733" t="str">
        <f>IFERROR(VLOOKUP(C1733,Customers!$A:$E,5,FALSE),"")</f>
        <v>Retail</v>
      </c>
      <c r="N1733">
        <f>IFERROR(VLOOKUP(C1733,Customers!$A:$E,3,FALSE),"")</f>
        <v>22</v>
      </c>
      <c r="O1733" s="33" t="str">
        <f>IFERROR(VLOOKUP(E1733,Sales_Reps!$A:$C,3,FALSE),"")</f>
        <v>East</v>
      </c>
      <c r="P1733" s="33">
        <f>IFERROR(VLOOKUP(D1733,Products!$A:$D,4,FALSE),"")</f>
        <v>2135</v>
      </c>
      <c r="Q1733" s="33">
        <f t="shared" si="27"/>
        <v>0.42761394101876676</v>
      </c>
    </row>
    <row r="1734" spans="1:17" x14ac:dyDescent="0.3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  <c r="L1734" t="str">
        <f>IFERROR(VLOOKUP(D1734,Products!$A:$C,3,FALSE),"")</f>
        <v>Apparel</v>
      </c>
      <c r="M1734" t="str">
        <f>IFERROR(VLOOKUP(C1734,Customers!$A:$E,5,FALSE),"")</f>
        <v>Retail</v>
      </c>
      <c r="N1734">
        <f>IFERROR(VLOOKUP(C1734,Customers!$A:$E,3,FALSE),"")</f>
        <v>22</v>
      </c>
      <c r="O1734" s="33" t="str">
        <f>IFERROR(VLOOKUP(E1734,Sales_Reps!$A:$C,3,FALSE),"")</f>
        <v>North</v>
      </c>
      <c r="P1734" s="33">
        <f>IFERROR(VLOOKUP(D1734,Products!$A:$D,4,FALSE),"")</f>
        <v>396</v>
      </c>
      <c r="Q1734" s="33">
        <f t="shared" si="27"/>
        <v>0.36129032258064514</v>
      </c>
    </row>
    <row r="1735" spans="1:17" x14ac:dyDescent="0.3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  <c r="L1735" t="str">
        <f>IFERROR(VLOOKUP(D1735,Products!$A:$C,3,FALSE),"")</f>
        <v>Electronics</v>
      </c>
      <c r="M1735" t="str">
        <f>IFERROR(VLOOKUP(C1735,Customers!$A:$E,5,FALSE),"")</f>
        <v>Corporate</v>
      </c>
      <c r="N1735">
        <f>IFERROR(VLOOKUP(C1735,Customers!$A:$E,3,FALSE),"")</f>
        <v>27</v>
      </c>
      <c r="O1735" s="33" t="str">
        <f>IFERROR(VLOOKUP(E1735,Sales_Reps!$A:$C,3,FALSE),"")</f>
        <v>South</v>
      </c>
      <c r="P1735" s="33">
        <f>IFERROR(VLOOKUP(D1735,Products!$A:$D,4,FALSE),"")</f>
        <v>1149</v>
      </c>
      <c r="Q1735" s="33">
        <f t="shared" si="27"/>
        <v>0.56477272727272732</v>
      </c>
    </row>
    <row r="1736" spans="1:17" x14ac:dyDescent="0.3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  <c r="L1736" t="str">
        <f>IFERROR(VLOOKUP(D1736,Products!$A:$C,3,FALSE),"")</f>
        <v>Grocery</v>
      </c>
      <c r="M1736" t="str">
        <f>IFERROR(VLOOKUP(C1736,Customers!$A:$E,5,FALSE),"")</f>
        <v>SMB</v>
      </c>
      <c r="N1736">
        <f>IFERROR(VLOOKUP(C1736,Customers!$A:$E,3,FALSE),"")</f>
        <v>57</v>
      </c>
      <c r="O1736" s="33" t="str">
        <f>IFERROR(VLOOKUP(E1736,Sales_Reps!$A:$C,3,FALSE),"")</f>
        <v>North</v>
      </c>
      <c r="P1736" s="33">
        <f>IFERROR(VLOOKUP(D1736,Products!$A:$D,4,FALSE),"")</f>
        <v>2214</v>
      </c>
      <c r="Q1736" s="33">
        <f t="shared" si="27"/>
        <v>0.39508196721311473</v>
      </c>
    </row>
    <row r="1737" spans="1:17" x14ac:dyDescent="0.3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  <c r="L1737" t="str">
        <f>IFERROR(VLOOKUP(D1737,Products!$A:$C,3,FALSE),"")</f>
        <v>Apparel</v>
      </c>
      <c r="M1737" t="str">
        <f>IFERROR(VLOOKUP(C1737,Customers!$A:$E,5,FALSE),"")</f>
        <v>Retail</v>
      </c>
      <c r="N1737">
        <f>IFERROR(VLOOKUP(C1737,Customers!$A:$E,3,FALSE),"")</f>
        <v>50</v>
      </c>
      <c r="O1737" s="33" t="str">
        <f>IFERROR(VLOOKUP(E1737,Sales_Reps!$A:$C,3,FALSE),"")</f>
        <v>East</v>
      </c>
      <c r="P1737" s="33">
        <f>IFERROR(VLOOKUP(D1737,Products!$A:$D,4,FALSE),"")</f>
        <v>391</v>
      </c>
      <c r="Q1737" s="33">
        <f t="shared" si="27"/>
        <v>0.52317073170731709</v>
      </c>
    </row>
    <row r="1738" spans="1:17" x14ac:dyDescent="0.3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  <c r="L1738" t="str">
        <f>IFERROR(VLOOKUP(D1738,Products!$A:$C,3,FALSE),"")</f>
        <v>Apparel</v>
      </c>
      <c r="M1738" t="str">
        <f>IFERROR(VLOOKUP(C1738,Customers!$A:$E,5,FALSE),"")</f>
        <v>Retail</v>
      </c>
      <c r="N1738">
        <f>IFERROR(VLOOKUP(C1738,Customers!$A:$E,3,FALSE),"")</f>
        <v>29</v>
      </c>
      <c r="O1738" s="33" t="str">
        <f>IFERROR(VLOOKUP(E1738,Sales_Reps!$A:$C,3,FALSE),"")</f>
        <v>East</v>
      </c>
      <c r="P1738" s="33">
        <f>IFERROR(VLOOKUP(D1738,Products!$A:$D,4,FALSE),"")</f>
        <v>1173</v>
      </c>
      <c r="Q1738" s="33">
        <f t="shared" si="27"/>
        <v>0.52701612903225803</v>
      </c>
    </row>
    <row r="1739" spans="1:17" x14ac:dyDescent="0.3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  <c r="L1739" t="str">
        <f>IFERROR(VLOOKUP(D1739,Products!$A:$C,3,FALSE),"")</f>
        <v>Beauty</v>
      </c>
      <c r="M1739" t="str">
        <f>IFERROR(VLOOKUP(C1739,Customers!$A:$E,5,FALSE),"")</f>
        <v>Retail</v>
      </c>
      <c r="N1739">
        <f>IFERROR(VLOOKUP(C1739,Customers!$A:$E,3,FALSE),"")</f>
        <v>32</v>
      </c>
      <c r="O1739" s="33" t="str">
        <f>IFERROR(VLOOKUP(E1739,Sales_Reps!$A:$C,3,FALSE),"")</f>
        <v>West</v>
      </c>
      <c r="P1739" s="33">
        <f>IFERROR(VLOOKUP(D1739,Products!$A:$D,4,FALSE),"")</f>
        <v>2617</v>
      </c>
      <c r="Q1739" s="33">
        <f t="shared" si="27"/>
        <v>0.56957236842105263</v>
      </c>
    </row>
    <row r="1740" spans="1:17" x14ac:dyDescent="0.3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  <c r="L1740" t="str">
        <f>IFERROR(VLOOKUP(D1740,Products!$A:$C,3,FALSE),"")</f>
        <v>Sports</v>
      </c>
      <c r="M1740" t="str">
        <f>IFERROR(VLOOKUP(C1740,Customers!$A:$E,5,FALSE),"")</f>
        <v>SMB</v>
      </c>
      <c r="N1740">
        <f>IFERROR(VLOOKUP(C1740,Customers!$A:$E,3,FALSE),"")</f>
        <v>39</v>
      </c>
      <c r="O1740" s="33" t="str">
        <f>IFERROR(VLOOKUP(E1740,Sales_Reps!$A:$C,3,FALSE),"")</f>
        <v>East</v>
      </c>
      <c r="P1740" s="33">
        <f>IFERROR(VLOOKUP(D1740,Products!$A:$D,4,FALSE),"")</f>
        <v>147</v>
      </c>
      <c r="Q1740" s="33">
        <f t="shared" si="27"/>
        <v>0.22631578947368422</v>
      </c>
    </row>
    <row r="1741" spans="1:17" x14ac:dyDescent="0.3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  <c r="L1741" t="str">
        <f>IFERROR(VLOOKUP(D1741,Products!$A:$C,3,FALSE),"")</f>
        <v>Sports</v>
      </c>
      <c r="M1741" t="str">
        <f>IFERROR(VLOOKUP(C1741,Customers!$A:$E,5,FALSE),"")</f>
        <v>Retail</v>
      </c>
      <c r="N1741">
        <f>IFERROR(VLOOKUP(C1741,Customers!$A:$E,3,FALSE),"")</f>
        <v>41</v>
      </c>
      <c r="O1741" s="33" t="str">
        <f>IFERROR(VLOOKUP(E1741,Sales_Reps!$A:$C,3,FALSE),"")</f>
        <v>West</v>
      </c>
      <c r="P1741" s="33">
        <f>IFERROR(VLOOKUP(D1741,Products!$A:$D,4,FALSE),"")</f>
        <v>1860</v>
      </c>
      <c r="Q1741" s="33">
        <f t="shared" si="27"/>
        <v>0.50793650793650791</v>
      </c>
    </row>
    <row r="1742" spans="1:17" x14ac:dyDescent="0.3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  <c r="L1742" t="str">
        <f>IFERROR(VLOOKUP(D1742,Products!$A:$C,3,FALSE),"")</f>
        <v>Home</v>
      </c>
      <c r="M1742" t="str">
        <f>IFERROR(VLOOKUP(C1742,Customers!$A:$E,5,FALSE),"")</f>
        <v>Retail</v>
      </c>
      <c r="N1742">
        <f>IFERROR(VLOOKUP(C1742,Customers!$A:$E,3,FALSE),"")</f>
        <v>34</v>
      </c>
      <c r="O1742" s="33" t="str">
        <f>IFERROR(VLOOKUP(E1742,Sales_Reps!$A:$C,3,FALSE),"")</f>
        <v>North</v>
      </c>
      <c r="P1742" s="33">
        <f>IFERROR(VLOOKUP(D1742,Products!$A:$D,4,FALSE),"")</f>
        <v>1556</v>
      </c>
      <c r="Q1742" s="33">
        <f t="shared" si="27"/>
        <v>0.52123076923076928</v>
      </c>
    </row>
    <row r="1743" spans="1:17" x14ac:dyDescent="0.3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  <c r="L1743" t="str">
        <f>IFERROR(VLOOKUP(D1743,Products!$A:$C,3,FALSE),"")</f>
        <v>Home</v>
      </c>
      <c r="M1743" t="str">
        <f>IFERROR(VLOOKUP(C1743,Customers!$A:$E,5,FALSE),"")</f>
        <v>SMB</v>
      </c>
      <c r="N1743">
        <f>IFERROR(VLOOKUP(C1743,Customers!$A:$E,3,FALSE),"")</f>
        <v>34</v>
      </c>
      <c r="O1743" s="33" t="str">
        <f>IFERROR(VLOOKUP(E1743,Sales_Reps!$A:$C,3,FALSE),"")</f>
        <v>North</v>
      </c>
      <c r="P1743" s="33">
        <f>IFERROR(VLOOKUP(D1743,Products!$A:$D,4,FALSE),"")</f>
        <v>1143</v>
      </c>
      <c r="Q1743" s="33">
        <f t="shared" si="27"/>
        <v>0.43694581280788175</v>
      </c>
    </row>
    <row r="1744" spans="1:17" x14ac:dyDescent="0.3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  <c r="L1744" t="str">
        <f>IFERROR(VLOOKUP(D1744,Products!$A:$C,3,FALSE),"")</f>
        <v>Beauty</v>
      </c>
      <c r="M1744" t="str">
        <f>IFERROR(VLOOKUP(C1744,Customers!$A:$E,5,FALSE),"")</f>
        <v>Retail</v>
      </c>
      <c r="N1744">
        <f>IFERROR(VLOOKUP(C1744,Customers!$A:$E,3,FALSE),"")</f>
        <v>65</v>
      </c>
      <c r="O1744" s="33" t="str">
        <f>IFERROR(VLOOKUP(E1744,Sales_Reps!$A:$C,3,FALSE),"")</f>
        <v>South</v>
      </c>
      <c r="P1744" s="33">
        <f>IFERROR(VLOOKUP(D1744,Products!$A:$D,4,FALSE),"")</f>
        <v>2768</v>
      </c>
      <c r="Q1744" s="33">
        <f t="shared" si="27"/>
        <v>0.43278688524590164</v>
      </c>
    </row>
    <row r="1745" spans="1:17" x14ac:dyDescent="0.3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  <c r="L1745" t="str">
        <f>IFERROR(VLOOKUP(D1745,Products!$A:$C,3,FALSE),"")</f>
        <v>Beauty</v>
      </c>
      <c r="M1745" t="str">
        <f>IFERROR(VLOOKUP(C1745,Customers!$A:$E,5,FALSE),"")</f>
        <v>SMB</v>
      </c>
      <c r="N1745">
        <f>IFERROR(VLOOKUP(C1745,Customers!$A:$E,3,FALSE),"")</f>
        <v>29</v>
      </c>
      <c r="O1745" s="33" t="str">
        <f>IFERROR(VLOOKUP(E1745,Sales_Reps!$A:$C,3,FALSE),"")</f>
        <v>East</v>
      </c>
      <c r="P1745" s="33">
        <f>IFERROR(VLOOKUP(D1745,Products!$A:$D,4,FALSE),"")</f>
        <v>1728</v>
      </c>
      <c r="Q1745" s="33">
        <f t="shared" si="27"/>
        <v>0.48417910447761192</v>
      </c>
    </row>
    <row r="1746" spans="1:17" x14ac:dyDescent="0.3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  <c r="L1746" t="str">
        <f>IFERROR(VLOOKUP(D1746,Products!$A:$C,3,FALSE),"")</f>
        <v>Sports</v>
      </c>
      <c r="M1746" t="str">
        <f>IFERROR(VLOOKUP(C1746,Customers!$A:$E,5,FALSE),"")</f>
        <v>Retail</v>
      </c>
      <c r="N1746">
        <f>IFERROR(VLOOKUP(C1746,Customers!$A:$E,3,FALSE),"")</f>
        <v>59</v>
      </c>
      <c r="O1746" s="33" t="str">
        <f>IFERROR(VLOOKUP(E1746,Sales_Reps!$A:$C,3,FALSE),"")</f>
        <v>West</v>
      </c>
      <c r="P1746" s="33">
        <f>IFERROR(VLOOKUP(D1746,Products!$A:$D,4,FALSE),"")</f>
        <v>2028</v>
      </c>
      <c r="Q1746" s="33">
        <f t="shared" si="27"/>
        <v>0.29090909090909089</v>
      </c>
    </row>
    <row r="1747" spans="1:17" x14ac:dyDescent="0.3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  <c r="L1747" t="str">
        <f>IFERROR(VLOOKUP(D1747,Products!$A:$C,3,FALSE),"")</f>
        <v>Beauty</v>
      </c>
      <c r="M1747" t="str">
        <f>IFERROR(VLOOKUP(C1747,Customers!$A:$E,5,FALSE),"")</f>
        <v>Retail</v>
      </c>
      <c r="N1747">
        <f>IFERROR(VLOOKUP(C1747,Customers!$A:$E,3,FALSE),"")</f>
        <v>42</v>
      </c>
      <c r="O1747" s="33" t="str">
        <f>IFERROR(VLOOKUP(E1747,Sales_Reps!$A:$C,3,FALSE),"")</f>
        <v>East</v>
      </c>
      <c r="P1747" s="33">
        <f>IFERROR(VLOOKUP(D1747,Products!$A:$D,4,FALSE),"")</f>
        <v>2420</v>
      </c>
      <c r="Q1747" s="33">
        <f t="shared" si="27"/>
        <v>0.29855072463768118</v>
      </c>
    </row>
    <row r="1748" spans="1:17" x14ac:dyDescent="0.3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  <c r="L1748" t="str">
        <f>IFERROR(VLOOKUP(D1748,Products!$A:$C,3,FALSE),"")</f>
        <v>Grocery</v>
      </c>
      <c r="M1748" t="str">
        <f>IFERROR(VLOOKUP(C1748,Customers!$A:$E,5,FALSE),"")</f>
        <v>SMB</v>
      </c>
      <c r="N1748">
        <f>IFERROR(VLOOKUP(C1748,Customers!$A:$E,3,FALSE),"")</f>
        <v>44</v>
      </c>
      <c r="O1748" s="33" t="str">
        <f>IFERROR(VLOOKUP(E1748,Sales_Reps!$A:$C,3,FALSE),"")</f>
        <v>South</v>
      </c>
      <c r="P1748" s="33">
        <f>IFERROR(VLOOKUP(D1748,Products!$A:$D,4,FALSE),"")</f>
        <v>1203</v>
      </c>
      <c r="Q1748" s="33">
        <f t="shared" si="27"/>
        <v>0.47004405286343615</v>
      </c>
    </row>
    <row r="1749" spans="1:17" x14ac:dyDescent="0.3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  <c r="L1749" t="str">
        <f>IFERROR(VLOOKUP(D1749,Products!$A:$C,3,FALSE),"")</f>
        <v>Grocery</v>
      </c>
      <c r="M1749" t="str">
        <f>IFERROR(VLOOKUP(C1749,Customers!$A:$E,5,FALSE),"")</f>
        <v>SMB</v>
      </c>
      <c r="N1749">
        <f>IFERROR(VLOOKUP(C1749,Customers!$A:$E,3,FALSE),"")</f>
        <v>29</v>
      </c>
      <c r="O1749" s="33" t="str">
        <f>IFERROR(VLOOKUP(E1749,Sales_Reps!$A:$C,3,FALSE),"")</f>
        <v>North</v>
      </c>
      <c r="P1749" s="33">
        <f>IFERROR(VLOOKUP(D1749,Products!$A:$D,4,FALSE),"")</f>
        <v>2214</v>
      </c>
      <c r="Q1749" s="33">
        <f t="shared" si="27"/>
        <v>0.39508196721311473</v>
      </c>
    </row>
    <row r="1750" spans="1:17" x14ac:dyDescent="0.3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  <c r="L1750" t="str">
        <f>IFERROR(VLOOKUP(D1750,Products!$A:$C,3,FALSE),"")</f>
        <v>Beauty</v>
      </c>
      <c r="M1750" t="str">
        <f>IFERROR(VLOOKUP(C1750,Customers!$A:$E,5,FALSE),"")</f>
        <v>Retail</v>
      </c>
      <c r="N1750">
        <f>IFERROR(VLOOKUP(C1750,Customers!$A:$E,3,FALSE),"")</f>
        <v>53</v>
      </c>
      <c r="O1750" s="33" t="str">
        <f>IFERROR(VLOOKUP(E1750,Sales_Reps!$A:$C,3,FALSE),"")</f>
        <v>North</v>
      </c>
      <c r="P1750" s="33">
        <f>IFERROR(VLOOKUP(D1750,Products!$A:$D,4,FALSE),"")</f>
        <v>1626</v>
      </c>
      <c r="Q1750" s="33">
        <f t="shared" si="27"/>
        <v>0.46158940397350995</v>
      </c>
    </row>
    <row r="1751" spans="1:17" x14ac:dyDescent="0.3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  <c r="L1751" t="str">
        <f>IFERROR(VLOOKUP(D1751,Products!$A:$C,3,FALSE),"")</f>
        <v>Home</v>
      </c>
      <c r="M1751" t="str">
        <f>IFERROR(VLOOKUP(C1751,Customers!$A:$E,5,FALSE),"")</f>
        <v>Retail</v>
      </c>
      <c r="N1751">
        <f>IFERROR(VLOOKUP(C1751,Customers!$A:$E,3,FALSE),"")</f>
        <v>54</v>
      </c>
      <c r="O1751" s="33" t="str">
        <f>IFERROR(VLOOKUP(E1751,Sales_Reps!$A:$C,3,FALSE),"")</f>
        <v>South</v>
      </c>
      <c r="P1751" s="33">
        <f>IFERROR(VLOOKUP(D1751,Products!$A:$D,4,FALSE),"")</f>
        <v>519</v>
      </c>
      <c r="Q1751" s="33">
        <f t="shared" si="27"/>
        <v>0.51944444444444449</v>
      </c>
    </row>
    <row r="1752" spans="1:17" x14ac:dyDescent="0.3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  <c r="L1752" t="str">
        <f>IFERROR(VLOOKUP(D1752,Products!$A:$C,3,FALSE),"")</f>
        <v>Grocery</v>
      </c>
      <c r="M1752" t="str">
        <f>IFERROR(VLOOKUP(C1752,Customers!$A:$E,5,FALSE),"")</f>
        <v>SMB</v>
      </c>
      <c r="N1752">
        <f>IFERROR(VLOOKUP(C1752,Customers!$A:$E,3,FALSE),"")</f>
        <v>61</v>
      </c>
      <c r="O1752" s="33" t="str">
        <f>IFERROR(VLOOKUP(E1752,Sales_Reps!$A:$C,3,FALSE),"")</f>
        <v>South</v>
      </c>
      <c r="P1752" s="33">
        <f>IFERROR(VLOOKUP(D1752,Products!$A:$D,4,FALSE),"")</f>
        <v>1412</v>
      </c>
      <c r="Q1752" s="33">
        <f t="shared" si="27"/>
        <v>0.37797356828193834</v>
      </c>
    </row>
    <row r="1753" spans="1:17" x14ac:dyDescent="0.3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  <c r="L1753" t="str">
        <f>IFERROR(VLOOKUP(D1753,Products!$A:$C,3,FALSE),"")</f>
        <v>Apparel</v>
      </c>
      <c r="M1753" t="str">
        <f>IFERROR(VLOOKUP(C1753,Customers!$A:$E,5,FALSE),"")</f>
        <v>SMB</v>
      </c>
      <c r="N1753">
        <f>IFERROR(VLOOKUP(C1753,Customers!$A:$E,3,FALSE),"")</f>
        <v>54</v>
      </c>
      <c r="O1753" s="33" t="str">
        <f>IFERROR(VLOOKUP(E1753,Sales_Reps!$A:$C,3,FALSE),"")</f>
        <v>South</v>
      </c>
      <c r="P1753" s="33">
        <f>IFERROR(VLOOKUP(D1753,Products!$A:$D,4,FALSE),"")</f>
        <v>396</v>
      </c>
      <c r="Q1753" s="33">
        <f t="shared" si="27"/>
        <v>0.36129032258064514</v>
      </c>
    </row>
    <row r="1754" spans="1:17" x14ac:dyDescent="0.3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  <c r="L1754" t="str">
        <f>IFERROR(VLOOKUP(D1754,Products!$A:$C,3,FALSE),"")</f>
        <v>Grocery</v>
      </c>
      <c r="M1754" t="str">
        <f>IFERROR(VLOOKUP(C1754,Customers!$A:$E,5,FALSE),"")</f>
        <v>Retail</v>
      </c>
      <c r="N1754">
        <f>IFERROR(VLOOKUP(C1754,Customers!$A:$E,3,FALSE),"")</f>
        <v>52</v>
      </c>
      <c r="O1754" s="33" t="str">
        <f>IFERROR(VLOOKUP(E1754,Sales_Reps!$A:$C,3,FALSE),"")</f>
        <v>South</v>
      </c>
      <c r="P1754" s="33">
        <f>IFERROR(VLOOKUP(D1754,Products!$A:$D,4,FALSE),"")</f>
        <v>2911</v>
      </c>
      <c r="Q1754" s="33">
        <f t="shared" si="27"/>
        <v>0.28300492610837441</v>
      </c>
    </row>
    <row r="1755" spans="1:17" x14ac:dyDescent="0.3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  <c r="L1755" t="str">
        <f>IFERROR(VLOOKUP(D1755,Products!$A:$C,3,FALSE),"")</f>
        <v>Grocery</v>
      </c>
      <c r="M1755" t="str">
        <f>IFERROR(VLOOKUP(C1755,Customers!$A:$E,5,FALSE),"")</f>
        <v>Corporate</v>
      </c>
      <c r="N1755">
        <f>IFERROR(VLOOKUP(C1755,Customers!$A:$E,3,FALSE),"")</f>
        <v>29</v>
      </c>
      <c r="O1755" s="33" t="str">
        <f>IFERROR(VLOOKUP(E1755,Sales_Reps!$A:$C,3,FALSE),"")</f>
        <v>South</v>
      </c>
      <c r="P1755" s="33">
        <f>IFERROR(VLOOKUP(D1755,Products!$A:$D,4,FALSE),"")</f>
        <v>2436</v>
      </c>
      <c r="Q1755" s="33">
        <f t="shared" si="27"/>
        <v>0.35555555555555557</v>
      </c>
    </row>
    <row r="1756" spans="1:17" x14ac:dyDescent="0.3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  <c r="L1756" t="str">
        <f>IFERROR(VLOOKUP(D1756,Products!$A:$C,3,FALSE),"")</f>
        <v>Grocery</v>
      </c>
      <c r="M1756" t="str">
        <f>IFERROR(VLOOKUP(C1756,Customers!$A:$E,5,FALSE),"")</f>
        <v>SMB</v>
      </c>
      <c r="N1756">
        <f>IFERROR(VLOOKUP(C1756,Customers!$A:$E,3,FALSE),"")</f>
        <v>55</v>
      </c>
      <c r="O1756" s="33" t="str">
        <f>IFERROR(VLOOKUP(E1756,Sales_Reps!$A:$C,3,FALSE),"")</f>
        <v>East</v>
      </c>
      <c r="P1756" s="33">
        <f>IFERROR(VLOOKUP(D1756,Products!$A:$D,4,FALSE),"")</f>
        <v>1182</v>
      </c>
      <c r="Q1756" s="33">
        <f t="shared" si="27"/>
        <v>0.50336134453781511</v>
      </c>
    </row>
    <row r="1757" spans="1:17" x14ac:dyDescent="0.3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  <c r="L1757" t="str">
        <f>IFERROR(VLOOKUP(D1757,Products!$A:$C,3,FALSE),"")</f>
        <v>Grocery</v>
      </c>
      <c r="M1757" t="str">
        <f>IFERROR(VLOOKUP(C1757,Customers!$A:$E,5,FALSE),"")</f>
        <v>Retail</v>
      </c>
      <c r="N1757">
        <f>IFERROR(VLOOKUP(C1757,Customers!$A:$E,3,FALSE),"")</f>
        <v>38</v>
      </c>
      <c r="O1757" s="33" t="str">
        <f>IFERROR(VLOOKUP(E1757,Sales_Reps!$A:$C,3,FALSE),"")</f>
        <v>West</v>
      </c>
      <c r="P1757" s="33">
        <f>IFERROR(VLOOKUP(D1757,Products!$A:$D,4,FALSE),"")</f>
        <v>2027</v>
      </c>
      <c r="Q1757" s="33">
        <f t="shared" si="27"/>
        <v>0.50196560196560192</v>
      </c>
    </row>
    <row r="1758" spans="1:17" x14ac:dyDescent="0.3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  <c r="L1758" t="str">
        <f>IFERROR(VLOOKUP(D1758,Products!$A:$C,3,FALSE),"")</f>
        <v>Electronics</v>
      </c>
      <c r="M1758" t="str">
        <f>IFERROR(VLOOKUP(C1758,Customers!$A:$E,5,FALSE),"")</f>
        <v>Retail</v>
      </c>
      <c r="N1758">
        <f>IFERROR(VLOOKUP(C1758,Customers!$A:$E,3,FALSE),"")</f>
        <v>29</v>
      </c>
      <c r="O1758" s="33" t="str">
        <f>IFERROR(VLOOKUP(E1758,Sales_Reps!$A:$C,3,FALSE),"")</f>
        <v>East</v>
      </c>
      <c r="P1758" s="33">
        <f>IFERROR(VLOOKUP(D1758,Products!$A:$D,4,FALSE),"")</f>
        <v>1149</v>
      </c>
      <c r="Q1758" s="33">
        <f t="shared" si="27"/>
        <v>0.56477272727272732</v>
      </c>
    </row>
    <row r="1759" spans="1:17" x14ac:dyDescent="0.3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  <c r="L1759" t="str">
        <f>IFERROR(VLOOKUP(D1759,Products!$A:$C,3,FALSE),"")</f>
        <v>Sports</v>
      </c>
      <c r="M1759" t="str">
        <f>IFERROR(VLOOKUP(C1759,Customers!$A:$E,5,FALSE),"")</f>
        <v>Retail</v>
      </c>
      <c r="N1759">
        <f>IFERROR(VLOOKUP(C1759,Customers!$A:$E,3,FALSE),"")</f>
        <v>31</v>
      </c>
      <c r="O1759" s="33" t="str">
        <f>IFERROR(VLOOKUP(E1759,Sales_Reps!$A:$C,3,FALSE),"")</f>
        <v>West</v>
      </c>
      <c r="P1759" s="33">
        <f>IFERROR(VLOOKUP(D1759,Products!$A:$D,4,FALSE),"")</f>
        <v>1860</v>
      </c>
      <c r="Q1759" s="33">
        <f t="shared" si="27"/>
        <v>0.50793650793650791</v>
      </c>
    </row>
    <row r="1760" spans="1:17" x14ac:dyDescent="0.3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  <c r="L1760" t="str">
        <f>IFERROR(VLOOKUP(D1760,Products!$A:$C,3,FALSE),"")</f>
        <v>Beauty</v>
      </c>
      <c r="M1760" t="str">
        <f>IFERROR(VLOOKUP(C1760,Customers!$A:$E,5,FALSE),"")</f>
        <v>Corporate</v>
      </c>
      <c r="N1760">
        <f>IFERROR(VLOOKUP(C1760,Customers!$A:$E,3,FALSE),"")</f>
        <v>62</v>
      </c>
      <c r="O1760" s="33" t="str">
        <f>IFERROR(VLOOKUP(E1760,Sales_Reps!$A:$C,3,FALSE),"")</f>
        <v>South</v>
      </c>
      <c r="P1760" s="33">
        <f>IFERROR(VLOOKUP(D1760,Products!$A:$D,4,FALSE),"")</f>
        <v>1728</v>
      </c>
      <c r="Q1760" s="33">
        <f t="shared" si="27"/>
        <v>0.48417910447761192</v>
      </c>
    </row>
    <row r="1761" spans="1:17" x14ac:dyDescent="0.3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  <c r="L1761" t="str">
        <f>IFERROR(VLOOKUP(D1761,Products!$A:$C,3,FALSE),"")</f>
        <v>Apparel</v>
      </c>
      <c r="M1761" t="str">
        <f>IFERROR(VLOOKUP(C1761,Customers!$A:$E,5,FALSE),"")</f>
        <v>SMB</v>
      </c>
      <c r="N1761">
        <f>IFERROR(VLOOKUP(C1761,Customers!$A:$E,3,FALSE),"")</f>
        <v>35</v>
      </c>
      <c r="O1761" s="33" t="str">
        <f>IFERROR(VLOOKUP(E1761,Sales_Reps!$A:$C,3,FALSE),"")</f>
        <v>West</v>
      </c>
      <c r="P1761" s="33">
        <f>IFERROR(VLOOKUP(D1761,Products!$A:$D,4,FALSE),"")</f>
        <v>1886</v>
      </c>
      <c r="Q1761" s="33">
        <f t="shared" si="27"/>
        <v>0.4031645569620253</v>
      </c>
    </row>
    <row r="1762" spans="1:17" x14ac:dyDescent="0.3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  <c r="L1762" t="str">
        <f>IFERROR(VLOOKUP(D1762,Products!$A:$C,3,FALSE),"")</f>
        <v>Sports</v>
      </c>
      <c r="M1762" t="str">
        <f>IFERROR(VLOOKUP(C1762,Customers!$A:$E,5,FALSE),"")</f>
        <v>SMB</v>
      </c>
      <c r="N1762">
        <f>IFERROR(VLOOKUP(C1762,Customers!$A:$E,3,FALSE),"")</f>
        <v>36</v>
      </c>
      <c r="O1762" s="33" t="str">
        <f>IFERROR(VLOOKUP(E1762,Sales_Reps!$A:$C,3,FALSE),"")</f>
        <v>North</v>
      </c>
      <c r="P1762" s="33">
        <f>IFERROR(VLOOKUP(D1762,Products!$A:$D,4,FALSE),"")</f>
        <v>2028</v>
      </c>
      <c r="Q1762" s="33">
        <f t="shared" si="27"/>
        <v>0.29090909090909089</v>
      </c>
    </row>
    <row r="1763" spans="1:17" x14ac:dyDescent="0.3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  <c r="L1763" t="str">
        <f>IFERROR(VLOOKUP(D1763,Products!$A:$C,3,FALSE),"")</f>
        <v>Electronics</v>
      </c>
      <c r="M1763" t="str">
        <f>IFERROR(VLOOKUP(C1763,Customers!$A:$E,5,FALSE),"")</f>
        <v>Corporate</v>
      </c>
      <c r="N1763">
        <f>IFERROR(VLOOKUP(C1763,Customers!$A:$E,3,FALSE),"")</f>
        <v>43</v>
      </c>
      <c r="O1763" s="33" t="str">
        <f>IFERROR(VLOOKUP(E1763,Sales_Reps!$A:$C,3,FALSE),"")</f>
        <v>South</v>
      </c>
      <c r="P1763" s="33">
        <f>IFERROR(VLOOKUP(D1763,Products!$A:$D,4,FALSE),"")</f>
        <v>128</v>
      </c>
      <c r="Q1763" s="33">
        <f t="shared" si="27"/>
        <v>0.57333333333333336</v>
      </c>
    </row>
    <row r="1764" spans="1:17" x14ac:dyDescent="0.3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  <c r="L1764" t="str">
        <f>IFERROR(VLOOKUP(D1764,Products!$A:$C,3,FALSE),"")</f>
        <v>Sports</v>
      </c>
      <c r="M1764" t="str">
        <f>IFERROR(VLOOKUP(C1764,Customers!$A:$E,5,FALSE),"")</f>
        <v>Corporate</v>
      </c>
      <c r="N1764">
        <f>IFERROR(VLOOKUP(C1764,Customers!$A:$E,3,FALSE),"")</f>
        <v>29</v>
      </c>
      <c r="O1764" s="33" t="str">
        <f>IFERROR(VLOOKUP(E1764,Sales_Reps!$A:$C,3,FALSE),"")</f>
        <v>East</v>
      </c>
      <c r="P1764" s="33">
        <f>IFERROR(VLOOKUP(D1764,Products!$A:$D,4,FALSE),"")</f>
        <v>147</v>
      </c>
      <c r="Q1764" s="33">
        <f t="shared" si="27"/>
        <v>0.22631578947368422</v>
      </c>
    </row>
    <row r="1765" spans="1:17" x14ac:dyDescent="0.3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  <c r="L1765" t="str">
        <f>IFERROR(VLOOKUP(D1765,Products!$A:$C,3,FALSE),"")</f>
        <v>Sports</v>
      </c>
      <c r="M1765" t="str">
        <f>IFERROR(VLOOKUP(C1765,Customers!$A:$E,5,FALSE),"")</f>
        <v>Retail</v>
      </c>
      <c r="N1765">
        <f>IFERROR(VLOOKUP(C1765,Customers!$A:$E,3,FALSE),"")</f>
        <v>65</v>
      </c>
      <c r="O1765" s="33" t="str">
        <f>IFERROR(VLOOKUP(E1765,Sales_Reps!$A:$C,3,FALSE),"")</f>
        <v>East</v>
      </c>
      <c r="P1765" s="33">
        <f>IFERROR(VLOOKUP(D1765,Products!$A:$D,4,FALSE),"")</f>
        <v>516</v>
      </c>
      <c r="Q1765" s="33">
        <f t="shared" si="27"/>
        <v>0.4891089108910891</v>
      </c>
    </row>
    <row r="1766" spans="1:17" x14ac:dyDescent="0.3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  <c r="L1766" t="str">
        <f>IFERROR(VLOOKUP(D1766,Products!$A:$C,3,FALSE),"")</f>
        <v>Sports</v>
      </c>
      <c r="M1766" t="str">
        <f>IFERROR(VLOOKUP(C1766,Customers!$A:$E,5,FALSE),"")</f>
        <v>SMB</v>
      </c>
      <c r="N1766">
        <f>IFERROR(VLOOKUP(C1766,Customers!$A:$E,3,FALSE),"")</f>
        <v>50</v>
      </c>
      <c r="O1766" s="33" t="str">
        <f>IFERROR(VLOOKUP(E1766,Sales_Reps!$A:$C,3,FALSE),"")</f>
        <v>North</v>
      </c>
      <c r="P1766" s="33">
        <f>IFERROR(VLOOKUP(D1766,Products!$A:$D,4,FALSE),"")</f>
        <v>2467</v>
      </c>
      <c r="Q1766" s="33">
        <f t="shared" si="27"/>
        <v>0.28492753623188405</v>
      </c>
    </row>
    <row r="1767" spans="1:17" x14ac:dyDescent="0.3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  <c r="L1767" t="str">
        <f>IFERROR(VLOOKUP(D1767,Products!$A:$C,3,FALSE),"")</f>
        <v>Electronics</v>
      </c>
      <c r="M1767" t="str">
        <f>IFERROR(VLOOKUP(C1767,Customers!$A:$E,5,FALSE),"")</f>
        <v>Corporate</v>
      </c>
      <c r="N1767">
        <f>IFERROR(VLOOKUP(C1767,Customers!$A:$E,3,FALSE),"")</f>
        <v>52</v>
      </c>
      <c r="O1767" s="33" t="str">
        <f>IFERROR(VLOOKUP(E1767,Sales_Reps!$A:$C,3,FALSE),"")</f>
        <v>North</v>
      </c>
      <c r="P1767" s="33">
        <f>IFERROR(VLOOKUP(D1767,Products!$A:$D,4,FALSE),"")</f>
        <v>128</v>
      </c>
      <c r="Q1767" s="33">
        <f t="shared" si="27"/>
        <v>0.57333333333333336</v>
      </c>
    </row>
    <row r="1768" spans="1:17" x14ac:dyDescent="0.3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  <c r="L1768" t="str">
        <f>IFERROR(VLOOKUP(D1768,Products!$A:$C,3,FALSE),"")</f>
        <v>Home</v>
      </c>
      <c r="M1768" t="str">
        <f>IFERROR(VLOOKUP(C1768,Customers!$A:$E,5,FALSE),"")</f>
        <v>SMB</v>
      </c>
      <c r="N1768">
        <f>IFERROR(VLOOKUP(C1768,Customers!$A:$E,3,FALSE),"")</f>
        <v>54</v>
      </c>
      <c r="O1768" s="33" t="str">
        <f>IFERROR(VLOOKUP(E1768,Sales_Reps!$A:$C,3,FALSE),"")</f>
        <v>East</v>
      </c>
      <c r="P1768" s="33">
        <f>IFERROR(VLOOKUP(D1768,Products!$A:$D,4,FALSE),"")</f>
        <v>2135</v>
      </c>
      <c r="Q1768" s="33">
        <f t="shared" si="27"/>
        <v>0.42761394101876676</v>
      </c>
    </row>
    <row r="1769" spans="1:17" x14ac:dyDescent="0.3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  <c r="L1769" t="str">
        <f>IFERROR(VLOOKUP(D1769,Products!$A:$C,3,FALSE),"")</f>
        <v>Sports</v>
      </c>
      <c r="M1769" t="str">
        <f>IFERROR(VLOOKUP(C1769,Customers!$A:$E,5,FALSE),"")</f>
        <v>Corporate</v>
      </c>
      <c r="N1769">
        <f>IFERROR(VLOOKUP(C1769,Customers!$A:$E,3,FALSE),"")</f>
        <v>55</v>
      </c>
      <c r="O1769" s="33" t="str">
        <f>IFERROR(VLOOKUP(E1769,Sales_Reps!$A:$C,3,FALSE),"")</f>
        <v>East</v>
      </c>
      <c r="P1769" s="33">
        <f>IFERROR(VLOOKUP(D1769,Products!$A:$D,4,FALSE),"")</f>
        <v>974</v>
      </c>
      <c r="Q1769" s="33">
        <f t="shared" si="27"/>
        <v>0.59416666666666662</v>
      </c>
    </row>
    <row r="1770" spans="1:17" x14ac:dyDescent="0.3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  <c r="L1770" t="str">
        <f>IFERROR(VLOOKUP(D1770,Products!$A:$C,3,FALSE),"")</f>
        <v>Grocery</v>
      </c>
      <c r="M1770" t="str">
        <f>IFERROR(VLOOKUP(C1770,Customers!$A:$E,5,FALSE),"")</f>
        <v>Retail</v>
      </c>
      <c r="N1770">
        <f>IFERROR(VLOOKUP(C1770,Customers!$A:$E,3,FALSE),"")</f>
        <v>59</v>
      </c>
      <c r="O1770" s="33" t="str">
        <f>IFERROR(VLOOKUP(E1770,Sales_Reps!$A:$C,3,FALSE),"")</f>
        <v>North</v>
      </c>
      <c r="P1770" s="33">
        <f>IFERROR(VLOOKUP(D1770,Products!$A:$D,4,FALSE),"")</f>
        <v>1435</v>
      </c>
      <c r="Q1770" s="33">
        <f t="shared" si="27"/>
        <v>0.48007246376811596</v>
      </c>
    </row>
    <row r="1771" spans="1:17" x14ac:dyDescent="0.3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  <c r="L1771" t="str">
        <f>IFERROR(VLOOKUP(D1771,Products!$A:$C,3,FALSE),"")</f>
        <v>Sports</v>
      </c>
      <c r="M1771" t="str">
        <f>IFERROR(VLOOKUP(C1771,Customers!$A:$E,5,FALSE),"")</f>
        <v>Retail</v>
      </c>
      <c r="N1771">
        <f>IFERROR(VLOOKUP(C1771,Customers!$A:$E,3,FALSE),"")</f>
        <v>26</v>
      </c>
      <c r="O1771" s="33" t="str">
        <f>IFERROR(VLOOKUP(E1771,Sales_Reps!$A:$C,3,FALSE),"")</f>
        <v>South</v>
      </c>
      <c r="P1771" s="33">
        <f>IFERROR(VLOOKUP(D1771,Products!$A:$D,4,FALSE),"")</f>
        <v>302</v>
      </c>
      <c r="Q1771" s="33">
        <f t="shared" si="27"/>
        <v>0.35744680851063831</v>
      </c>
    </row>
    <row r="1772" spans="1:17" x14ac:dyDescent="0.3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  <c r="L1772" t="str">
        <f>IFERROR(VLOOKUP(D1772,Products!$A:$C,3,FALSE),"")</f>
        <v>Sports</v>
      </c>
      <c r="M1772" t="str">
        <f>IFERROR(VLOOKUP(C1772,Customers!$A:$E,5,FALSE),"")</f>
        <v>Retail</v>
      </c>
      <c r="N1772">
        <f>IFERROR(VLOOKUP(C1772,Customers!$A:$E,3,FALSE),"")</f>
        <v>61</v>
      </c>
      <c r="O1772" s="33" t="str">
        <f>IFERROR(VLOOKUP(E1772,Sales_Reps!$A:$C,3,FALSE),"")</f>
        <v>West</v>
      </c>
      <c r="P1772" s="33">
        <f>IFERROR(VLOOKUP(D1772,Products!$A:$D,4,FALSE),"")</f>
        <v>302</v>
      </c>
      <c r="Q1772" s="33">
        <f t="shared" si="27"/>
        <v>0.35744680851063831</v>
      </c>
    </row>
    <row r="1773" spans="1:17" x14ac:dyDescent="0.3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  <c r="L1773" t="str">
        <f>IFERROR(VLOOKUP(D1773,Products!$A:$C,3,FALSE),"")</f>
        <v>Home</v>
      </c>
      <c r="M1773" t="str">
        <f>IFERROR(VLOOKUP(C1773,Customers!$A:$E,5,FALSE),"")</f>
        <v>Retail</v>
      </c>
      <c r="N1773">
        <f>IFERROR(VLOOKUP(C1773,Customers!$A:$E,3,FALSE),"")</f>
        <v>59</v>
      </c>
      <c r="O1773" s="33" t="str">
        <f>IFERROR(VLOOKUP(E1773,Sales_Reps!$A:$C,3,FALSE),"")</f>
        <v>West</v>
      </c>
      <c r="P1773" s="33">
        <f>IFERROR(VLOOKUP(D1773,Products!$A:$D,4,FALSE),"")</f>
        <v>288</v>
      </c>
      <c r="Q1773" s="33">
        <f t="shared" si="27"/>
        <v>0.22162162162162163</v>
      </c>
    </row>
    <row r="1774" spans="1:17" x14ac:dyDescent="0.3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  <c r="L1774" t="str">
        <f>IFERROR(VLOOKUP(D1774,Products!$A:$C,3,FALSE),"")</f>
        <v>Grocery</v>
      </c>
      <c r="M1774" t="str">
        <f>IFERROR(VLOOKUP(C1774,Customers!$A:$E,5,FALSE),"")</f>
        <v>Retail</v>
      </c>
      <c r="N1774">
        <f>IFERROR(VLOOKUP(C1774,Customers!$A:$E,3,FALSE),"")</f>
        <v>29</v>
      </c>
      <c r="O1774" s="33" t="str">
        <f>IFERROR(VLOOKUP(E1774,Sales_Reps!$A:$C,3,FALSE),"")</f>
        <v>North</v>
      </c>
      <c r="P1774" s="33">
        <f>IFERROR(VLOOKUP(D1774,Products!$A:$D,4,FALSE),"")</f>
        <v>1010</v>
      </c>
      <c r="Q1774" s="33">
        <f t="shared" si="27"/>
        <v>0.54298642533936647</v>
      </c>
    </row>
    <row r="1775" spans="1:17" x14ac:dyDescent="0.3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  <c r="L1775" t="str">
        <f>IFERROR(VLOOKUP(D1775,Products!$A:$C,3,FALSE),"")</f>
        <v>Sports</v>
      </c>
      <c r="M1775" t="str">
        <f>IFERROR(VLOOKUP(C1775,Customers!$A:$E,5,FALSE),"")</f>
        <v>SMB</v>
      </c>
      <c r="N1775">
        <f>IFERROR(VLOOKUP(C1775,Customers!$A:$E,3,FALSE),"")</f>
        <v>43</v>
      </c>
      <c r="O1775" s="33" t="str">
        <f>IFERROR(VLOOKUP(E1775,Sales_Reps!$A:$C,3,FALSE),"")</f>
        <v>North</v>
      </c>
      <c r="P1775" s="33">
        <f>IFERROR(VLOOKUP(D1775,Products!$A:$D,4,FALSE),"")</f>
        <v>2827</v>
      </c>
      <c r="Q1775" s="33">
        <f t="shared" si="27"/>
        <v>0.5926512968299712</v>
      </c>
    </row>
    <row r="1776" spans="1:17" x14ac:dyDescent="0.3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  <c r="L1776" t="str">
        <f>IFERROR(VLOOKUP(D1776,Products!$A:$C,3,FALSE),"")</f>
        <v>Home</v>
      </c>
      <c r="M1776" t="str">
        <f>IFERROR(VLOOKUP(C1776,Customers!$A:$E,5,FALSE),"")</f>
        <v>Retail</v>
      </c>
      <c r="N1776">
        <f>IFERROR(VLOOKUP(C1776,Customers!$A:$E,3,FALSE),"")</f>
        <v>54</v>
      </c>
      <c r="O1776" s="33" t="str">
        <f>IFERROR(VLOOKUP(E1776,Sales_Reps!$A:$C,3,FALSE),"")</f>
        <v>East</v>
      </c>
      <c r="P1776" s="33">
        <f>IFERROR(VLOOKUP(D1776,Products!$A:$D,4,FALSE),"")</f>
        <v>1143</v>
      </c>
      <c r="Q1776" s="33">
        <f t="shared" si="27"/>
        <v>0.43694581280788175</v>
      </c>
    </row>
    <row r="1777" spans="1:17" x14ac:dyDescent="0.3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  <c r="L1777" t="str">
        <f>IFERROR(VLOOKUP(D1777,Products!$A:$C,3,FALSE),"")</f>
        <v>Sports</v>
      </c>
      <c r="M1777" t="str">
        <f>IFERROR(VLOOKUP(C1777,Customers!$A:$E,5,FALSE),"")</f>
        <v>Retail</v>
      </c>
      <c r="N1777">
        <f>IFERROR(VLOOKUP(C1777,Customers!$A:$E,3,FALSE),"")</f>
        <v>54</v>
      </c>
      <c r="O1777" s="33" t="str">
        <f>IFERROR(VLOOKUP(E1777,Sales_Reps!$A:$C,3,FALSE),"")</f>
        <v>East</v>
      </c>
      <c r="P1777" s="33">
        <f>IFERROR(VLOOKUP(D1777,Products!$A:$D,4,FALSE),"")</f>
        <v>516</v>
      </c>
      <c r="Q1777" s="33">
        <f t="shared" si="27"/>
        <v>0.4891089108910891</v>
      </c>
    </row>
    <row r="1778" spans="1:17" x14ac:dyDescent="0.3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  <c r="L1778" t="str">
        <f>IFERROR(VLOOKUP(D1778,Products!$A:$C,3,FALSE),"")</f>
        <v>Apparel</v>
      </c>
      <c r="M1778" t="str">
        <f>IFERROR(VLOOKUP(C1778,Customers!$A:$E,5,FALSE),"")</f>
        <v>Retail</v>
      </c>
      <c r="N1778">
        <f>IFERROR(VLOOKUP(C1778,Customers!$A:$E,3,FALSE),"")</f>
        <v>28</v>
      </c>
      <c r="O1778" s="33" t="str">
        <f>IFERROR(VLOOKUP(E1778,Sales_Reps!$A:$C,3,FALSE),"")</f>
        <v>North</v>
      </c>
      <c r="P1778" s="33">
        <f>IFERROR(VLOOKUP(D1778,Products!$A:$D,4,FALSE),"")</f>
        <v>1075</v>
      </c>
      <c r="Q1778" s="33">
        <f t="shared" si="27"/>
        <v>0.57171314741035861</v>
      </c>
    </row>
    <row r="1779" spans="1:17" x14ac:dyDescent="0.3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  <c r="L1779" t="str">
        <f>IFERROR(VLOOKUP(D1779,Products!$A:$C,3,FALSE),"")</f>
        <v>Home</v>
      </c>
      <c r="M1779" t="str">
        <f>IFERROR(VLOOKUP(C1779,Customers!$A:$E,5,FALSE),"")</f>
        <v>Retail</v>
      </c>
      <c r="N1779">
        <f>IFERROR(VLOOKUP(C1779,Customers!$A:$E,3,FALSE),"")</f>
        <v>29</v>
      </c>
      <c r="O1779" s="33" t="str">
        <f>IFERROR(VLOOKUP(E1779,Sales_Reps!$A:$C,3,FALSE),"")</f>
        <v>North</v>
      </c>
      <c r="P1779" s="33">
        <f>IFERROR(VLOOKUP(D1779,Products!$A:$D,4,FALSE),"")</f>
        <v>288</v>
      </c>
      <c r="Q1779" s="33">
        <f t="shared" si="27"/>
        <v>0.22162162162162163</v>
      </c>
    </row>
    <row r="1780" spans="1:17" x14ac:dyDescent="0.3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  <c r="L1780" t="str">
        <f>IFERROR(VLOOKUP(D1780,Products!$A:$C,3,FALSE),"")</f>
        <v>Apparel</v>
      </c>
      <c r="M1780" t="str">
        <f>IFERROR(VLOOKUP(C1780,Customers!$A:$E,5,FALSE),"")</f>
        <v>Retail</v>
      </c>
      <c r="N1780">
        <f>IFERROR(VLOOKUP(C1780,Customers!$A:$E,3,FALSE),"")</f>
        <v>25</v>
      </c>
      <c r="O1780" s="33" t="str">
        <f>IFERROR(VLOOKUP(E1780,Sales_Reps!$A:$C,3,FALSE),"")</f>
        <v>East</v>
      </c>
      <c r="P1780" s="33">
        <f>IFERROR(VLOOKUP(D1780,Products!$A:$D,4,FALSE),"")</f>
        <v>1173</v>
      </c>
      <c r="Q1780" s="33">
        <f t="shared" si="27"/>
        <v>0.52701612903225803</v>
      </c>
    </row>
    <row r="1781" spans="1:17" x14ac:dyDescent="0.3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  <c r="L1781" t="str">
        <f>IFERROR(VLOOKUP(D1781,Products!$A:$C,3,FALSE),"")</f>
        <v>Electronics</v>
      </c>
      <c r="M1781" t="str">
        <f>IFERROR(VLOOKUP(C1781,Customers!$A:$E,5,FALSE),"")</f>
        <v>Retail</v>
      </c>
      <c r="N1781">
        <f>IFERROR(VLOOKUP(C1781,Customers!$A:$E,3,FALSE),"")</f>
        <v>22</v>
      </c>
      <c r="O1781" s="33" t="str">
        <f>IFERROR(VLOOKUP(E1781,Sales_Reps!$A:$C,3,FALSE),"")</f>
        <v>East</v>
      </c>
      <c r="P1781" s="33">
        <f>IFERROR(VLOOKUP(D1781,Products!$A:$D,4,FALSE),"")</f>
        <v>1149</v>
      </c>
      <c r="Q1781" s="33">
        <f t="shared" si="27"/>
        <v>0.56477272727272732</v>
      </c>
    </row>
    <row r="1782" spans="1:17" x14ac:dyDescent="0.3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  <c r="L1782" t="str">
        <f>IFERROR(VLOOKUP(D1782,Products!$A:$C,3,FALSE),"")</f>
        <v>Home</v>
      </c>
      <c r="M1782" t="str">
        <f>IFERROR(VLOOKUP(C1782,Customers!$A:$E,5,FALSE),"")</f>
        <v>Retail</v>
      </c>
      <c r="N1782">
        <f>IFERROR(VLOOKUP(C1782,Customers!$A:$E,3,FALSE),"")</f>
        <v>26</v>
      </c>
      <c r="O1782" s="33" t="str">
        <f>IFERROR(VLOOKUP(E1782,Sales_Reps!$A:$C,3,FALSE),"")</f>
        <v>East</v>
      </c>
      <c r="P1782" s="33">
        <f>IFERROR(VLOOKUP(D1782,Products!$A:$D,4,FALSE),"")</f>
        <v>464</v>
      </c>
      <c r="Q1782" s="33">
        <f t="shared" si="27"/>
        <v>0.57431192660550456</v>
      </c>
    </row>
    <row r="1783" spans="1:17" x14ac:dyDescent="0.3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  <c r="L1783" t="str">
        <f>IFERROR(VLOOKUP(D1783,Products!$A:$C,3,FALSE),"")</f>
        <v>Beauty</v>
      </c>
      <c r="M1783" t="str">
        <f>IFERROR(VLOOKUP(C1783,Customers!$A:$E,5,FALSE),"")</f>
        <v>Retail</v>
      </c>
      <c r="N1783">
        <f>IFERROR(VLOOKUP(C1783,Customers!$A:$E,3,FALSE),"")</f>
        <v>38</v>
      </c>
      <c r="O1783" s="33" t="str">
        <f>IFERROR(VLOOKUP(E1783,Sales_Reps!$A:$C,3,FALSE),"")</f>
        <v>North</v>
      </c>
      <c r="P1783" s="33">
        <f>IFERROR(VLOOKUP(D1783,Products!$A:$D,4,FALSE),"")</f>
        <v>1728</v>
      </c>
      <c r="Q1783" s="33">
        <f t="shared" si="27"/>
        <v>0.48417910447761192</v>
      </c>
    </row>
    <row r="1784" spans="1:17" x14ac:dyDescent="0.3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  <c r="L1784" t="str">
        <f>IFERROR(VLOOKUP(D1784,Products!$A:$C,3,FALSE),"")</f>
        <v>Beauty</v>
      </c>
      <c r="M1784" t="str">
        <f>IFERROR(VLOOKUP(C1784,Customers!$A:$E,5,FALSE),"")</f>
        <v>Retail</v>
      </c>
      <c r="N1784">
        <f>IFERROR(VLOOKUP(C1784,Customers!$A:$E,3,FALSE),"")</f>
        <v>26</v>
      </c>
      <c r="O1784" s="33" t="str">
        <f>IFERROR(VLOOKUP(E1784,Sales_Reps!$A:$C,3,FALSE),"")</f>
        <v>South</v>
      </c>
      <c r="P1784" s="33">
        <f>IFERROR(VLOOKUP(D1784,Products!$A:$D,4,FALSE),"")</f>
        <v>2617</v>
      </c>
      <c r="Q1784" s="33">
        <f t="shared" si="27"/>
        <v>0.56957236842105263</v>
      </c>
    </row>
    <row r="1785" spans="1:17" x14ac:dyDescent="0.3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  <c r="L1785" t="str">
        <f>IFERROR(VLOOKUP(D1785,Products!$A:$C,3,FALSE),"")</f>
        <v>Beauty</v>
      </c>
      <c r="M1785" t="str">
        <f>IFERROR(VLOOKUP(C1785,Customers!$A:$E,5,FALSE),"")</f>
        <v>Retail</v>
      </c>
      <c r="N1785">
        <f>IFERROR(VLOOKUP(C1785,Customers!$A:$E,3,FALSE),"")</f>
        <v>65</v>
      </c>
      <c r="O1785" s="33" t="str">
        <f>IFERROR(VLOOKUP(E1785,Sales_Reps!$A:$C,3,FALSE),"")</f>
        <v>North</v>
      </c>
      <c r="P1785" s="33">
        <f>IFERROR(VLOOKUP(D1785,Products!$A:$D,4,FALSE),"")</f>
        <v>675</v>
      </c>
      <c r="Q1785" s="33">
        <f t="shared" si="27"/>
        <v>0.296875</v>
      </c>
    </row>
    <row r="1786" spans="1:17" x14ac:dyDescent="0.3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  <c r="L1786" t="str">
        <f>IFERROR(VLOOKUP(D1786,Products!$A:$C,3,FALSE),"")</f>
        <v>Grocery</v>
      </c>
      <c r="M1786" t="str">
        <f>IFERROR(VLOOKUP(C1786,Customers!$A:$E,5,FALSE),"")</f>
        <v>SMB</v>
      </c>
      <c r="N1786">
        <f>IFERROR(VLOOKUP(C1786,Customers!$A:$E,3,FALSE),"")</f>
        <v>24</v>
      </c>
      <c r="O1786" s="33" t="str">
        <f>IFERROR(VLOOKUP(E1786,Sales_Reps!$A:$C,3,FALSE),"")</f>
        <v>North</v>
      </c>
      <c r="P1786" s="33">
        <f>IFERROR(VLOOKUP(D1786,Products!$A:$D,4,FALSE),"")</f>
        <v>2214</v>
      </c>
      <c r="Q1786" s="33">
        <f t="shared" si="27"/>
        <v>0.39508196721311473</v>
      </c>
    </row>
    <row r="1787" spans="1:17" x14ac:dyDescent="0.3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  <c r="L1787" t="str">
        <f>IFERROR(VLOOKUP(D1787,Products!$A:$C,3,FALSE),"")</f>
        <v>Beauty</v>
      </c>
      <c r="M1787" t="str">
        <f>IFERROR(VLOOKUP(C1787,Customers!$A:$E,5,FALSE),"")</f>
        <v>Corporate</v>
      </c>
      <c r="N1787">
        <f>IFERROR(VLOOKUP(C1787,Customers!$A:$E,3,FALSE),"")</f>
        <v>24</v>
      </c>
      <c r="O1787" s="33" t="str">
        <f>IFERROR(VLOOKUP(E1787,Sales_Reps!$A:$C,3,FALSE),"")</f>
        <v>East</v>
      </c>
      <c r="P1787" s="33">
        <f>IFERROR(VLOOKUP(D1787,Products!$A:$D,4,FALSE),"")</f>
        <v>2420</v>
      </c>
      <c r="Q1787" s="33">
        <f t="shared" si="27"/>
        <v>0.29855072463768118</v>
      </c>
    </row>
    <row r="1788" spans="1:17" x14ac:dyDescent="0.3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  <c r="L1788" t="str">
        <f>IFERROR(VLOOKUP(D1788,Products!$A:$C,3,FALSE),"")</f>
        <v>Home</v>
      </c>
      <c r="M1788" t="str">
        <f>IFERROR(VLOOKUP(C1788,Customers!$A:$E,5,FALSE),"")</f>
        <v>Retail</v>
      </c>
      <c r="N1788">
        <f>IFERROR(VLOOKUP(C1788,Customers!$A:$E,3,FALSE),"")</f>
        <v>35</v>
      </c>
      <c r="O1788" s="33" t="str">
        <f>IFERROR(VLOOKUP(E1788,Sales_Reps!$A:$C,3,FALSE),"")</f>
        <v>East</v>
      </c>
      <c r="P1788" s="33">
        <f>IFERROR(VLOOKUP(D1788,Products!$A:$D,4,FALSE),"")</f>
        <v>1850</v>
      </c>
      <c r="Q1788" s="33">
        <f t="shared" si="27"/>
        <v>0.59869848156182215</v>
      </c>
    </row>
    <row r="1789" spans="1:17" x14ac:dyDescent="0.3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  <c r="L1789" t="str">
        <f>IFERROR(VLOOKUP(D1789,Products!$A:$C,3,FALSE),"")</f>
        <v>Sports</v>
      </c>
      <c r="M1789" t="str">
        <f>IFERROR(VLOOKUP(C1789,Customers!$A:$E,5,FALSE),"")</f>
        <v>Retail</v>
      </c>
      <c r="N1789">
        <f>IFERROR(VLOOKUP(C1789,Customers!$A:$E,3,FALSE),"")</f>
        <v>55</v>
      </c>
      <c r="O1789" s="33" t="str">
        <f>IFERROR(VLOOKUP(E1789,Sales_Reps!$A:$C,3,FALSE),"")</f>
        <v>South</v>
      </c>
      <c r="P1789" s="33">
        <f>IFERROR(VLOOKUP(D1789,Products!$A:$D,4,FALSE),"")</f>
        <v>705</v>
      </c>
      <c r="Q1789" s="33">
        <f t="shared" si="27"/>
        <v>0.265625</v>
      </c>
    </row>
    <row r="1790" spans="1:17" x14ac:dyDescent="0.3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  <c r="L1790" t="str">
        <f>IFERROR(VLOOKUP(D1790,Products!$A:$C,3,FALSE),"")</f>
        <v>Home</v>
      </c>
      <c r="M1790" t="str">
        <f>IFERROR(VLOOKUP(C1790,Customers!$A:$E,5,FALSE),"")</f>
        <v>SMB</v>
      </c>
      <c r="N1790">
        <f>IFERROR(VLOOKUP(C1790,Customers!$A:$E,3,FALSE),"")</f>
        <v>64</v>
      </c>
      <c r="O1790" s="33" t="str">
        <f>IFERROR(VLOOKUP(E1790,Sales_Reps!$A:$C,3,FALSE),"")</f>
        <v>East</v>
      </c>
      <c r="P1790" s="33">
        <f>IFERROR(VLOOKUP(D1790,Products!$A:$D,4,FALSE),"")</f>
        <v>288</v>
      </c>
      <c r="Q1790" s="33">
        <f t="shared" si="27"/>
        <v>0.22162162162162163</v>
      </c>
    </row>
    <row r="1791" spans="1:17" x14ac:dyDescent="0.3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  <c r="L1791" t="str">
        <f>IFERROR(VLOOKUP(D1791,Products!$A:$C,3,FALSE),"")</f>
        <v>Grocery</v>
      </c>
      <c r="M1791" t="str">
        <f>IFERROR(VLOOKUP(C1791,Customers!$A:$E,5,FALSE),"")</f>
        <v>Corporate</v>
      </c>
      <c r="N1791">
        <f>IFERROR(VLOOKUP(C1791,Customers!$A:$E,3,FALSE),"")</f>
        <v>22</v>
      </c>
      <c r="O1791" s="33" t="str">
        <f>IFERROR(VLOOKUP(E1791,Sales_Reps!$A:$C,3,FALSE),"")</f>
        <v>North</v>
      </c>
      <c r="P1791" s="33">
        <f>IFERROR(VLOOKUP(D1791,Products!$A:$D,4,FALSE),"")</f>
        <v>1203</v>
      </c>
      <c r="Q1791" s="33">
        <f t="shared" si="27"/>
        <v>0.47004405286343615</v>
      </c>
    </row>
    <row r="1792" spans="1:17" x14ac:dyDescent="0.3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  <c r="L1792" t="str">
        <f>IFERROR(VLOOKUP(D1792,Products!$A:$C,3,FALSE),"")</f>
        <v>Home</v>
      </c>
      <c r="M1792" t="str">
        <f>IFERROR(VLOOKUP(C1792,Customers!$A:$E,5,FALSE),"")</f>
        <v>Corporate</v>
      </c>
      <c r="N1792">
        <f>IFERROR(VLOOKUP(C1792,Customers!$A:$E,3,FALSE),"")</f>
        <v>42</v>
      </c>
      <c r="O1792" s="33" t="str">
        <f>IFERROR(VLOOKUP(E1792,Sales_Reps!$A:$C,3,FALSE),"")</f>
        <v>South</v>
      </c>
      <c r="P1792" s="33">
        <f>IFERROR(VLOOKUP(D1792,Products!$A:$D,4,FALSE),"")</f>
        <v>1556</v>
      </c>
      <c r="Q1792" s="33">
        <f t="shared" si="27"/>
        <v>0.52123076923076928</v>
      </c>
    </row>
    <row r="1793" spans="1:17" x14ac:dyDescent="0.3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  <c r="L1793" t="str">
        <f>IFERROR(VLOOKUP(D1793,Products!$A:$C,3,FALSE),"")</f>
        <v>Apparel</v>
      </c>
      <c r="M1793" t="str">
        <f>IFERROR(VLOOKUP(C1793,Customers!$A:$E,5,FALSE),"")</f>
        <v>Corporate</v>
      </c>
      <c r="N1793">
        <f>IFERROR(VLOOKUP(C1793,Customers!$A:$E,3,FALSE),"")</f>
        <v>54</v>
      </c>
      <c r="O1793" s="33" t="str">
        <f>IFERROR(VLOOKUP(E1793,Sales_Reps!$A:$C,3,FALSE),"")</f>
        <v>East</v>
      </c>
      <c r="P1793" s="33">
        <f>IFERROR(VLOOKUP(D1793,Products!$A:$D,4,FALSE),"")</f>
        <v>396</v>
      </c>
      <c r="Q1793" s="33">
        <f t="shared" si="27"/>
        <v>0.36129032258064514</v>
      </c>
    </row>
    <row r="1794" spans="1:17" x14ac:dyDescent="0.3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  <c r="L1794" t="str">
        <f>IFERROR(VLOOKUP(D1794,Products!$A:$C,3,FALSE),"")</f>
        <v>Electronics</v>
      </c>
      <c r="M1794" t="str">
        <f>IFERROR(VLOOKUP(C1794,Customers!$A:$E,5,FALSE),"")</f>
        <v>SMB</v>
      </c>
      <c r="N1794">
        <f>IFERROR(VLOOKUP(C1794,Customers!$A:$E,3,FALSE),"")</f>
        <v>54</v>
      </c>
      <c r="O1794" s="33" t="str">
        <f>IFERROR(VLOOKUP(E1794,Sales_Reps!$A:$C,3,FALSE),"")</f>
        <v>North</v>
      </c>
      <c r="P1794" s="33">
        <f>IFERROR(VLOOKUP(D1794,Products!$A:$D,4,FALSE),"")</f>
        <v>1259</v>
      </c>
      <c r="Q1794" s="33">
        <f t="shared" si="27"/>
        <v>0.52669172932330832</v>
      </c>
    </row>
    <row r="1795" spans="1:17" x14ac:dyDescent="0.3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  <c r="L1795" t="str">
        <f>IFERROR(VLOOKUP(D1795,Products!$A:$C,3,FALSE),"")</f>
        <v>Apparel</v>
      </c>
      <c r="M1795" t="str">
        <f>IFERROR(VLOOKUP(C1795,Customers!$A:$E,5,FALSE),"")</f>
        <v>Retail</v>
      </c>
      <c r="N1795">
        <f>IFERROR(VLOOKUP(C1795,Customers!$A:$E,3,FALSE),"")</f>
        <v>47</v>
      </c>
      <c r="O1795" s="33" t="str">
        <f>IFERROR(VLOOKUP(E1795,Sales_Reps!$A:$C,3,FALSE),"")</f>
        <v>North</v>
      </c>
      <c r="P1795" s="33">
        <f>IFERROR(VLOOKUP(D1795,Products!$A:$D,4,FALSE),"")</f>
        <v>2509</v>
      </c>
      <c r="Q1795" s="33">
        <f t="shared" ref="Q1795:Q1858" si="28">IFERROR((G1795-P1795)/G1795,"")</f>
        <v>0.3069060773480663</v>
      </c>
    </row>
    <row r="1796" spans="1:17" x14ac:dyDescent="0.3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  <c r="L1796" t="str">
        <f>IFERROR(VLOOKUP(D1796,Products!$A:$C,3,FALSE),"")</f>
        <v>Apparel</v>
      </c>
      <c r="M1796" t="str">
        <f>IFERROR(VLOOKUP(C1796,Customers!$A:$E,5,FALSE),"")</f>
        <v>Retail</v>
      </c>
      <c r="N1796">
        <f>IFERROR(VLOOKUP(C1796,Customers!$A:$E,3,FALSE),"")</f>
        <v>48</v>
      </c>
      <c r="O1796" s="33" t="str">
        <f>IFERROR(VLOOKUP(E1796,Sales_Reps!$A:$C,3,FALSE),"")</f>
        <v>East</v>
      </c>
      <c r="P1796" s="33">
        <f>IFERROR(VLOOKUP(D1796,Products!$A:$D,4,FALSE),"")</f>
        <v>2611</v>
      </c>
      <c r="Q1796" s="33">
        <f t="shared" si="28"/>
        <v>0.28269230769230769</v>
      </c>
    </row>
    <row r="1797" spans="1:17" x14ac:dyDescent="0.3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  <c r="L1797" t="str">
        <f>IFERROR(VLOOKUP(D1797,Products!$A:$C,3,FALSE),"")</f>
        <v>Electronics</v>
      </c>
      <c r="M1797" t="str">
        <f>IFERROR(VLOOKUP(C1797,Customers!$A:$E,5,FALSE),"")</f>
        <v>Retail</v>
      </c>
      <c r="N1797">
        <f>IFERROR(VLOOKUP(C1797,Customers!$A:$E,3,FALSE),"")</f>
        <v>52</v>
      </c>
      <c r="O1797" s="33" t="str">
        <f>IFERROR(VLOOKUP(E1797,Sales_Reps!$A:$C,3,FALSE),"")</f>
        <v>North</v>
      </c>
      <c r="P1797" s="33">
        <f>IFERROR(VLOOKUP(D1797,Products!$A:$D,4,FALSE),"")</f>
        <v>517</v>
      </c>
      <c r="Q1797" s="33">
        <f t="shared" si="28"/>
        <v>0.57622950819672136</v>
      </c>
    </row>
    <row r="1798" spans="1:17" x14ac:dyDescent="0.3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  <c r="L1798" t="str">
        <f>IFERROR(VLOOKUP(D1798,Products!$A:$C,3,FALSE),"")</f>
        <v>Apparel</v>
      </c>
      <c r="M1798" t="str">
        <f>IFERROR(VLOOKUP(C1798,Customers!$A:$E,5,FALSE),"")</f>
        <v>SMB</v>
      </c>
      <c r="N1798">
        <f>IFERROR(VLOOKUP(C1798,Customers!$A:$E,3,FALSE),"")</f>
        <v>46</v>
      </c>
      <c r="O1798" s="33" t="str">
        <f>IFERROR(VLOOKUP(E1798,Sales_Reps!$A:$C,3,FALSE),"")</f>
        <v>North</v>
      </c>
      <c r="P1798" s="33">
        <f>IFERROR(VLOOKUP(D1798,Products!$A:$D,4,FALSE),"")</f>
        <v>1173</v>
      </c>
      <c r="Q1798" s="33">
        <f t="shared" si="28"/>
        <v>0.52701612903225803</v>
      </c>
    </row>
    <row r="1799" spans="1:17" x14ac:dyDescent="0.3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  <c r="L1799" t="str">
        <f>IFERROR(VLOOKUP(D1799,Products!$A:$C,3,FALSE),"")</f>
        <v>Beauty</v>
      </c>
      <c r="M1799" t="str">
        <f>IFERROR(VLOOKUP(C1799,Customers!$A:$E,5,FALSE),"")</f>
        <v>Retail</v>
      </c>
      <c r="N1799">
        <f>IFERROR(VLOOKUP(C1799,Customers!$A:$E,3,FALSE),"")</f>
        <v>61</v>
      </c>
      <c r="O1799" s="33" t="str">
        <f>IFERROR(VLOOKUP(E1799,Sales_Reps!$A:$C,3,FALSE),"")</f>
        <v>West</v>
      </c>
      <c r="P1799" s="33">
        <f>IFERROR(VLOOKUP(D1799,Products!$A:$D,4,FALSE),"")</f>
        <v>1222</v>
      </c>
      <c r="Q1799" s="33">
        <f t="shared" si="28"/>
        <v>0.2593939393939394</v>
      </c>
    </row>
    <row r="1800" spans="1:17" x14ac:dyDescent="0.3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  <c r="L1800" t="str">
        <f>IFERROR(VLOOKUP(D1800,Products!$A:$C,3,FALSE),"")</f>
        <v>Beauty</v>
      </c>
      <c r="M1800" t="str">
        <f>IFERROR(VLOOKUP(C1800,Customers!$A:$E,5,FALSE),"")</f>
        <v>Retail</v>
      </c>
      <c r="N1800">
        <f>IFERROR(VLOOKUP(C1800,Customers!$A:$E,3,FALSE),"")</f>
        <v>24</v>
      </c>
      <c r="O1800" s="33" t="str">
        <f>IFERROR(VLOOKUP(E1800,Sales_Reps!$A:$C,3,FALSE),"")</f>
        <v>North</v>
      </c>
      <c r="P1800" s="33">
        <f>IFERROR(VLOOKUP(D1800,Products!$A:$D,4,FALSE),"")</f>
        <v>1626</v>
      </c>
      <c r="Q1800" s="33">
        <f t="shared" si="28"/>
        <v>0.46158940397350995</v>
      </c>
    </row>
    <row r="1801" spans="1:17" x14ac:dyDescent="0.3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  <c r="L1801" t="str">
        <f>IFERROR(VLOOKUP(D1801,Products!$A:$C,3,FALSE),"")</f>
        <v>Apparel</v>
      </c>
      <c r="M1801" t="str">
        <f>IFERROR(VLOOKUP(C1801,Customers!$A:$E,5,FALSE),"")</f>
        <v>Retail</v>
      </c>
      <c r="N1801">
        <f>IFERROR(VLOOKUP(C1801,Customers!$A:$E,3,FALSE),"")</f>
        <v>47</v>
      </c>
      <c r="O1801" s="33" t="str">
        <f>IFERROR(VLOOKUP(E1801,Sales_Reps!$A:$C,3,FALSE),"")</f>
        <v>South</v>
      </c>
      <c r="P1801" s="33">
        <f>IFERROR(VLOOKUP(D1801,Products!$A:$D,4,FALSE),"")</f>
        <v>1748</v>
      </c>
      <c r="Q1801" s="33">
        <f t="shared" si="28"/>
        <v>0.49333333333333335</v>
      </c>
    </row>
    <row r="1802" spans="1:17" x14ac:dyDescent="0.3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  <c r="L1802" t="str">
        <f>IFERROR(VLOOKUP(D1802,Products!$A:$C,3,FALSE),"")</f>
        <v>Electronics</v>
      </c>
      <c r="M1802" t="str">
        <f>IFERROR(VLOOKUP(C1802,Customers!$A:$E,5,FALSE),"")</f>
        <v>Retail</v>
      </c>
      <c r="N1802">
        <f>IFERROR(VLOOKUP(C1802,Customers!$A:$E,3,FALSE),"")</f>
        <v>26</v>
      </c>
      <c r="O1802" s="33" t="str">
        <f>IFERROR(VLOOKUP(E1802,Sales_Reps!$A:$C,3,FALSE),"")</f>
        <v>East</v>
      </c>
      <c r="P1802" s="33">
        <f>IFERROR(VLOOKUP(D1802,Products!$A:$D,4,FALSE),"")</f>
        <v>517</v>
      </c>
      <c r="Q1802" s="33">
        <f t="shared" si="28"/>
        <v>0.57622950819672136</v>
      </c>
    </row>
    <row r="1803" spans="1:17" x14ac:dyDescent="0.3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  <c r="L1803" t="str">
        <f>IFERROR(VLOOKUP(D1803,Products!$A:$C,3,FALSE),"")</f>
        <v>Grocery</v>
      </c>
      <c r="M1803" t="str">
        <f>IFERROR(VLOOKUP(C1803,Customers!$A:$E,5,FALSE),"")</f>
        <v>SMB</v>
      </c>
      <c r="N1803">
        <f>IFERROR(VLOOKUP(C1803,Customers!$A:$E,3,FALSE),"")</f>
        <v>40</v>
      </c>
      <c r="O1803" s="33" t="str">
        <f>IFERROR(VLOOKUP(E1803,Sales_Reps!$A:$C,3,FALSE),"")</f>
        <v>North</v>
      </c>
      <c r="P1803" s="33">
        <f>IFERROR(VLOOKUP(D1803,Products!$A:$D,4,FALSE),"")</f>
        <v>2436</v>
      </c>
      <c r="Q1803" s="33">
        <f t="shared" si="28"/>
        <v>0.35555555555555557</v>
      </c>
    </row>
    <row r="1804" spans="1:17" x14ac:dyDescent="0.3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  <c r="L1804" t="str">
        <f>IFERROR(VLOOKUP(D1804,Products!$A:$C,3,FALSE),"")</f>
        <v>Electronics</v>
      </c>
      <c r="M1804" t="str">
        <f>IFERROR(VLOOKUP(C1804,Customers!$A:$E,5,FALSE),"")</f>
        <v>Retail</v>
      </c>
      <c r="N1804">
        <f>IFERROR(VLOOKUP(C1804,Customers!$A:$E,3,FALSE),"")</f>
        <v>44</v>
      </c>
      <c r="O1804" s="33" t="str">
        <f>IFERROR(VLOOKUP(E1804,Sales_Reps!$A:$C,3,FALSE),"")</f>
        <v>North</v>
      </c>
      <c r="P1804" s="33">
        <f>IFERROR(VLOOKUP(D1804,Products!$A:$D,4,FALSE),"")</f>
        <v>1259</v>
      </c>
      <c r="Q1804" s="33">
        <f t="shared" si="28"/>
        <v>0.52669172932330832</v>
      </c>
    </row>
    <row r="1805" spans="1:17" x14ac:dyDescent="0.3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  <c r="L1805" t="str">
        <f>IFERROR(VLOOKUP(D1805,Products!$A:$C,3,FALSE),"")</f>
        <v>Home</v>
      </c>
      <c r="M1805" t="str">
        <f>IFERROR(VLOOKUP(C1805,Customers!$A:$E,5,FALSE),"")</f>
        <v>Retail</v>
      </c>
      <c r="N1805">
        <f>IFERROR(VLOOKUP(C1805,Customers!$A:$E,3,FALSE),"")</f>
        <v>46</v>
      </c>
      <c r="O1805" s="33" t="str">
        <f>IFERROR(VLOOKUP(E1805,Sales_Reps!$A:$C,3,FALSE),"")</f>
        <v>North</v>
      </c>
      <c r="P1805" s="33">
        <f>IFERROR(VLOOKUP(D1805,Products!$A:$D,4,FALSE),"")</f>
        <v>464</v>
      </c>
      <c r="Q1805" s="33">
        <f t="shared" si="28"/>
        <v>0.57431192660550456</v>
      </c>
    </row>
    <row r="1806" spans="1:17" x14ac:dyDescent="0.3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  <c r="L1806" t="str">
        <f>IFERROR(VLOOKUP(D1806,Products!$A:$C,3,FALSE),"")</f>
        <v>Home</v>
      </c>
      <c r="M1806" t="str">
        <f>IFERROR(VLOOKUP(C1806,Customers!$A:$E,5,FALSE),"")</f>
        <v/>
      </c>
      <c r="N1806" t="str">
        <f>IFERROR(VLOOKUP(C1806,Customers!$A:$E,3,FALSE),"")</f>
        <v/>
      </c>
      <c r="O1806" s="33" t="str">
        <f>IFERROR(VLOOKUP(E1806,Sales_Reps!$A:$C,3,FALSE),"")</f>
        <v>South</v>
      </c>
      <c r="P1806" s="33">
        <f>IFERROR(VLOOKUP(D1806,Products!$A:$D,4,FALSE),"")</f>
        <v>329</v>
      </c>
      <c r="Q1806" s="33">
        <f t="shared" si="28"/>
        <v>0.50151515151515147</v>
      </c>
    </row>
    <row r="1807" spans="1:17" x14ac:dyDescent="0.3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  <c r="L1807" t="str">
        <f>IFERROR(VLOOKUP(D1807,Products!$A:$C,3,FALSE),"")</f>
        <v>Home</v>
      </c>
      <c r="M1807" t="str">
        <f>IFERROR(VLOOKUP(C1807,Customers!$A:$E,5,FALSE),"")</f>
        <v>SMB</v>
      </c>
      <c r="N1807">
        <f>IFERROR(VLOOKUP(C1807,Customers!$A:$E,3,FALSE),"")</f>
        <v>53</v>
      </c>
      <c r="O1807" s="33" t="str">
        <f>IFERROR(VLOOKUP(E1807,Sales_Reps!$A:$C,3,FALSE),"")</f>
        <v>South</v>
      </c>
      <c r="P1807" s="33">
        <f>IFERROR(VLOOKUP(D1807,Products!$A:$D,4,FALSE),"")</f>
        <v>464</v>
      </c>
      <c r="Q1807" s="33">
        <f t="shared" si="28"/>
        <v>0.57431192660550456</v>
      </c>
    </row>
    <row r="1808" spans="1:17" x14ac:dyDescent="0.3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  <c r="L1808" t="str">
        <f>IFERROR(VLOOKUP(D1808,Products!$A:$C,3,FALSE),"")</f>
        <v>Grocery</v>
      </c>
      <c r="M1808" t="str">
        <f>IFERROR(VLOOKUP(C1808,Customers!$A:$E,5,FALSE),"")</f>
        <v>Retail</v>
      </c>
      <c r="N1808">
        <f>IFERROR(VLOOKUP(C1808,Customers!$A:$E,3,FALSE),"")</f>
        <v>42</v>
      </c>
      <c r="O1808" s="33" t="str">
        <f>IFERROR(VLOOKUP(E1808,Sales_Reps!$A:$C,3,FALSE),"")</f>
        <v>South</v>
      </c>
      <c r="P1808" s="33">
        <f>IFERROR(VLOOKUP(D1808,Products!$A:$D,4,FALSE),"")</f>
        <v>1010</v>
      </c>
      <c r="Q1808" s="33">
        <f t="shared" si="28"/>
        <v>0.54298642533936647</v>
      </c>
    </row>
    <row r="1809" spans="1:17" x14ac:dyDescent="0.3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  <c r="L1809" t="str">
        <f>IFERROR(VLOOKUP(D1809,Products!$A:$C,3,FALSE),"")</f>
        <v>Electronics</v>
      </c>
      <c r="M1809" t="str">
        <f>IFERROR(VLOOKUP(C1809,Customers!$A:$E,5,FALSE),"")</f>
        <v>Corporate</v>
      </c>
      <c r="N1809">
        <f>IFERROR(VLOOKUP(C1809,Customers!$A:$E,3,FALSE),"")</f>
        <v>55</v>
      </c>
      <c r="O1809" s="33" t="str">
        <f>IFERROR(VLOOKUP(E1809,Sales_Reps!$A:$C,3,FALSE),"")</f>
        <v>West</v>
      </c>
      <c r="P1809" s="33">
        <f>IFERROR(VLOOKUP(D1809,Products!$A:$D,4,FALSE),"")</f>
        <v>2865</v>
      </c>
      <c r="Q1809" s="33">
        <f t="shared" si="28"/>
        <v>0.27833753148614609</v>
      </c>
    </row>
    <row r="1810" spans="1:17" x14ac:dyDescent="0.3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  <c r="L1810" t="str">
        <f>IFERROR(VLOOKUP(D1810,Products!$A:$C,3,FALSE),"")</f>
        <v>Home</v>
      </c>
      <c r="M1810" t="str">
        <f>IFERROR(VLOOKUP(C1810,Customers!$A:$E,5,FALSE),"")</f>
        <v>Retail</v>
      </c>
      <c r="N1810">
        <f>IFERROR(VLOOKUP(C1810,Customers!$A:$E,3,FALSE),"")</f>
        <v>59</v>
      </c>
      <c r="O1810" s="33" t="str">
        <f>IFERROR(VLOOKUP(E1810,Sales_Reps!$A:$C,3,FALSE),"")</f>
        <v>East</v>
      </c>
      <c r="P1810" s="33">
        <f>IFERROR(VLOOKUP(D1810,Products!$A:$D,4,FALSE),"")</f>
        <v>1850</v>
      </c>
      <c r="Q1810" s="33">
        <f t="shared" si="28"/>
        <v>0.59869848156182215</v>
      </c>
    </row>
    <row r="1811" spans="1:17" x14ac:dyDescent="0.3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  <c r="L1811" t="str">
        <f>IFERROR(VLOOKUP(D1811,Products!$A:$C,3,FALSE),"")</f>
        <v>Beauty</v>
      </c>
      <c r="M1811" t="str">
        <f>IFERROR(VLOOKUP(C1811,Customers!$A:$E,5,FALSE),"")</f>
        <v>SMB</v>
      </c>
      <c r="N1811">
        <f>IFERROR(VLOOKUP(C1811,Customers!$A:$E,3,FALSE),"")</f>
        <v>55</v>
      </c>
      <c r="O1811" s="33" t="str">
        <f>IFERROR(VLOOKUP(E1811,Sales_Reps!$A:$C,3,FALSE),"")</f>
        <v>West</v>
      </c>
      <c r="P1811" s="33">
        <f>IFERROR(VLOOKUP(D1811,Products!$A:$D,4,FALSE),"")</f>
        <v>675</v>
      </c>
      <c r="Q1811" s="33">
        <f t="shared" si="28"/>
        <v>0.296875</v>
      </c>
    </row>
    <row r="1812" spans="1:17" x14ac:dyDescent="0.3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  <c r="L1812" t="str">
        <f>IFERROR(VLOOKUP(D1812,Products!$A:$C,3,FALSE),"")</f>
        <v>Beauty</v>
      </c>
      <c r="M1812" t="str">
        <f>IFERROR(VLOOKUP(C1812,Customers!$A:$E,5,FALSE),"")</f>
        <v>SMB</v>
      </c>
      <c r="N1812">
        <f>IFERROR(VLOOKUP(C1812,Customers!$A:$E,3,FALSE),"")</f>
        <v>64</v>
      </c>
      <c r="O1812" s="33" t="str">
        <f>IFERROR(VLOOKUP(E1812,Sales_Reps!$A:$C,3,FALSE),"")</f>
        <v>South</v>
      </c>
      <c r="P1812" s="33">
        <f>IFERROR(VLOOKUP(D1812,Products!$A:$D,4,FALSE),"")</f>
        <v>1626</v>
      </c>
      <c r="Q1812" s="33">
        <f t="shared" si="28"/>
        <v>0.46158940397350995</v>
      </c>
    </row>
    <row r="1813" spans="1:17" x14ac:dyDescent="0.3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  <c r="L1813" t="str">
        <f>IFERROR(VLOOKUP(D1813,Products!$A:$C,3,FALSE),"")</f>
        <v>Apparel</v>
      </c>
      <c r="M1813" t="str">
        <f>IFERROR(VLOOKUP(C1813,Customers!$A:$E,5,FALSE),"")</f>
        <v>SMB</v>
      </c>
      <c r="N1813">
        <f>IFERROR(VLOOKUP(C1813,Customers!$A:$E,3,FALSE),"")</f>
        <v>39</v>
      </c>
      <c r="O1813" s="33" t="str">
        <f>IFERROR(VLOOKUP(E1813,Sales_Reps!$A:$C,3,FALSE),"")</f>
        <v>West</v>
      </c>
      <c r="P1813" s="33">
        <f>IFERROR(VLOOKUP(D1813,Products!$A:$D,4,FALSE),"")</f>
        <v>1173</v>
      </c>
      <c r="Q1813" s="33">
        <f t="shared" si="28"/>
        <v>0.52701612903225803</v>
      </c>
    </row>
    <row r="1814" spans="1:17" x14ac:dyDescent="0.3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  <c r="L1814" t="str">
        <f>IFERROR(VLOOKUP(D1814,Products!$A:$C,3,FALSE),"")</f>
        <v>Electronics</v>
      </c>
      <c r="M1814" t="str">
        <f>IFERROR(VLOOKUP(C1814,Customers!$A:$E,5,FALSE),"")</f>
        <v>Retail</v>
      </c>
      <c r="N1814">
        <f>IFERROR(VLOOKUP(C1814,Customers!$A:$E,3,FALSE),"")</f>
        <v>22</v>
      </c>
      <c r="O1814" s="33" t="str">
        <f>IFERROR(VLOOKUP(E1814,Sales_Reps!$A:$C,3,FALSE),"")</f>
        <v>South</v>
      </c>
      <c r="P1814" s="33">
        <f>IFERROR(VLOOKUP(D1814,Products!$A:$D,4,FALSE),"")</f>
        <v>1559</v>
      </c>
      <c r="Q1814" s="33">
        <f t="shared" si="28"/>
        <v>0.59715762273901807</v>
      </c>
    </row>
    <row r="1815" spans="1:17" x14ac:dyDescent="0.3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  <c r="L1815" t="str">
        <f>IFERROR(VLOOKUP(D1815,Products!$A:$C,3,FALSE),"")</f>
        <v>Home</v>
      </c>
      <c r="M1815" t="str">
        <f>IFERROR(VLOOKUP(C1815,Customers!$A:$E,5,FALSE),"")</f>
        <v>Corporate</v>
      </c>
      <c r="N1815">
        <f>IFERROR(VLOOKUP(C1815,Customers!$A:$E,3,FALSE),"")</f>
        <v>62</v>
      </c>
      <c r="O1815" s="33" t="str">
        <f>IFERROR(VLOOKUP(E1815,Sales_Reps!$A:$C,3,FALSE),"")</f>
        <v>East</v>
      </c>
      <c r="P1815" s="33">
        <f>IFERROR(VLOOKUP(D1815,Products!$A:$D,4,FALSE),"")</f>
        <v>329</v>
      </c>
      <c r="Q1815" s="33">
        <f t="shared" si="28"/>
        <v>0.50151515151515147</v>
      </c>
    </row>
    <row r="1816" spans="1:17" x14ac:dyDescent="0.3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  <c r="L1816" t="str">
        <f>IFERROR(VLOOKUP(D1816,Products!$A:$C,3,FALSE),"")</f>
        <v>Electronics</v>
      </c>
      <c r="M1816" t="str">
        <f>IFERROR(VLOOKUP(C1816,Customers!$A:$E,5,FALSE),"")</f>
        <v/>
      </c>
      <c r="N1816" t="str">
        <f>IFERROR(VLOOKUP(C1816,Customers!$A:$E,3,FALSE),"")</f>
        <v/>
      </c>
      <c r="O1816" s="33" t="str">
        <f>IFERROR(VLOOKUP(E1816,Sales_Reps!$A:$C,3,FALSE),"")</f>
        <v>West</v>
      </c>
      <c r="P1816" s="33">
        <f>IFERROR(VLOOKUP(D1816,Products!$A:$D,4,FALSE),"")</f>
        <v>1559</v>
      </c>
      <c r="Q1816" s="33">
        <f t="shared" si="28"/>
        <v>0.59715762273901807</v>
      </c>
    </row>
    <row r="1817" spans="1:17" x14ac:dyDescent="0.3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  <c r="L1817" t="str">
        <f>IFERROR(VLOOKUP(D1817,Products!$A:$C,3,FALSE),"")</f>
        <v>Apparel</v>
      </c>
      <c r="M1817" t="str">
        <f>IFERROR(VLOOKUP(C1817,Customers!$A:$E,5,FALSE),"")</f>
        <v>SMB</v>
      </c>
      <c r="N1817">
        <f>IFERROR(VLOOKUP(C1817,Customers!$A:$E,3,FALSE),"")</f>
        <v>44</v>
      </c>
      <c r="O1817" s="33" t="str">
        <f>IFERROR(VLOOKUP(E1817,Sales_Reps!$A:$C,3,FALSE),"")</f>
        <v>North</v>
      </c>
      <c r="P1817" s="33">
        <f>IFERROR(VLOOKUP(D1817,Products!$A:$D,4,FALSE),"")</f>
        <v>1173</v>
      </c>
      <c r="Q1817" s="33">
        <f t="shared" si="28"/>
        <v>0.52701612903225803</v>
      </c>
    </row>
    <row r="1818" spans="1:17" x14ac:dyDescent="0.3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  <c r="L1818" t="str">
        <f>IFERROR(VLOOKUP(D1818,Products!$A:$C,3,FALSE),"")</f>
        <v>Electronics</v>
      </c>
      <c r="M1818" t="str">
        <f>IFERROR(VLOOKUP(C1818,Customers!$A:$E,5,FALSE),"")</f>
        <v>Retail</v>
      </c>
      <c r="N1818">
        <f>IFERROR(VLOOKUP(C1818,Customers!$A:$E,3,FALSE),"")</f>
        <v>61</v>
      </c>
      <c r="O1818" s="33" t="str">
        <f>IFERROR(VLOOKUP(E1818,Sales_Reps!$A:$C,3,FALSE),"")</f>
        <v>North</v>
      </c>
      <c r="P1818" s="33">
        <f>IFERROR(VLOOKUP(D1818,Products!$A:$D,4,FALSE),"")</f>
        <v>1149</v>
      </c>
      <c r="Q1818" s="33">
        <f t="shared" si="28"/>
        <v>0.56477272727272732</v>
      </c>
    </row>
    <row r="1819" spans="1:17" x14ac:dyDescent="0.3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  <c r="L1819" t="str">
        <f>IFERROR(VLOOKUP(D1819,Products!$A:$C,3,FALSE),"")</f>
        <v>Grocery</v>
      </c>
      <c r="M1819" t="str">
        <f>IFERROR(VLOOKUP(C1819,Customers!$A:$E,5,FALSE),"")</f>
        <v>SMB</v>
      </c>
      <c r="N1819">
        <f>IFERROR(VLOOKUP(C1819,Customers!$A:$E,3,FALSE),"")</f>
        <v>25</v>
      </c>
      <c r="O1819" s="33" t="str">
        <f>IFERROR(VLOOKUP(E1819,Sales_Reps!$A:$C,3,FALSE),"")</f>
        <v>North</v>
      </c>
      <c r="P1819" s="33">
        <f>IFERROR(VLOOKUP(D1819,Products!$A:$D,4,FALSE),"")</f>
        <v>434</v>
      </c>
      <c r="Q1819" s="33">
        <f t="shared" si="28"/>
        <v>0.5525773195876289</v>
      </c>
    </row>
    <row r="1820" spans="1:17" x14ac:dyDescent="0.3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  <c r="L1820" t="str">
        <f>IFERROR(VLOOKUP(D1820,Products!$A:$C,3,FALSE),"")</f>
        <v>Sports</v>
      </c>
      <c r="M1820" t="str">
        <f>IFERROR(VLOOKUP(C1820,Customers!$A:$E,5,FALSE),"")</f>
        <v>Retail</v>
      </c>
      <c r="N1820">
        <f>IFERROR(VLOOKUP(C1820,Customers!$A:$E,3,FALSE),"")</f>
        <v>39</v>
      </c>
      <c r="O1820" s="33" t="str">
        <f>IFERROR(VLOOKUP(E1820,Sales_Reps!$A:$C,3,FALSE),"")</f>
        <v>North</v>
      </c>
      <c r="P1820" s="33">
        <f>IFERROR(VLOOKUP(D1820,Products!$A:$D,4,FALSE),"")</f>
        <v>705</v>
      </c>
      <c r="Q1820" s="33">
        <f t="shared" si="28"/>
        <v>0.265625</v>
      </c>
    </row>
    <row r="1821" spans="1:17" x14ac:dyDescent="0.3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  <c r="L1821" t="str">
        <f>IFERROR(VLOOKUP(D1821,Products!$A:$C,3,FALSE),"")</f>
        <v>Home</v>
      </c>
      <c r="M1821" t="str">
        <f>IFERROR(VLOOKUP(C1821,Customers!$A:$E,5,FALSE),"")</f>
        <v>Retail</v>
      </c>
      <c r="N1821">
        <f>IFERROR(VLOOKUP(C1821,Customers!$A:$E,3,FALSE),"")</f>
        <v>31</v>
      </c>
      <c r="O1821" s="33" t="str">
        <f>IFERROR(VLOOKUP(E1821,Sales_Reps!$A:$C,3,FALSE),"")</f>
        <v>North</v>
      </c>
      <c r="P1821" s="33">
        <f>IFERROR(VLOOKUP(D1821,Products!$A:$D,4,FALSE),"")</f>
        <v>1143</v>
      </c>
      <c r="Q1821" s="33">
        <f t="shared" si="28"/>
        <v>0.43694581280788175</v>
      </c>
    </row>
    <row r="1822" spans="1:17" x14ac:dyDescent="0.3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  <c r="L1822" t="str">
        <f>IFERROR(VLOOKUP(D1822,Products!$A:$C,3,FALSE),"")</f>
        <v>Beauty</v>
      </c>
      <c r="M1822" t="str">
        <f>IFERROR(VLOOKUP(C1822,Customers!$A:$E,5,FALSE),"")</f>
        <v>SMB</v>
      </c>
      <c r="N1822">
        <f>IFERROR(VLOOKUP(C1822,Customers!$A:$E,3,FALSE),"")</f>
        <v>29</v>
      </c>
      <c r="O1822" s="33" t="str">
        <f>IFERROR(VLOOKUP(E1822,Sales_Reps!$A:$C,3,FALSE),"")</f>
        <v>West</v>
      </c>
      <c r="P1822" s="33">
        <f>IFERROR(VLOOKUP(D1822,Products!$A:$D,4,FALSE),"")</f>
        <v>1219</v>
      </c>
      <c r="Q1822" s="33">
        <f t="shared" si="28"/>
        <v>0.46768558951965067</v>
      </c>
    </row>
    <row r="1823" spans="1:17" x14ac:dyDescent="0.3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  <c r="L1823" t="str">
        <f>IFERROR(VLOOKUP(D1823,Products!$A:$C,3,FALSE),"")</f>
        <v>Apparel</v>
      </c>
      <c r="M1823" t="str">
        <f>IFERROR(VLOOKUP(C1823,Customers!$A:$E,5,FALSE),"")</f>
        <v>Retail</v>
      </c>
      <c r="N1823">
        <f>IFERROR(VLOOKUP(C1823,Customers!$A:$E,3,FALSE),"")</f>
        <v>26</v>
      </c>
      <c r="O1823" s="33" t="str">
        <f>IFERROR(VLOOKUP(E1823,Sales_Reps!$A:$C,3,FALSE),"")</f>
        <v>West</v>
      </c>
      <c r="P1823" s="33">
        <f>IFERROR(VLOOKUP(D1823,Products!$A:$D,4,FALSE),"")</f>
        <v>391</v>
      </c>
      <c r="Q1823" s="33">
        <f t="shared" si="28"/>
        <v>0.52317073170731709</v>
      </c>
    </row>
    <row r="1824" spans="1:17" x14ac:dyDescent="0.3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  <c r="L1824" t="str">
        <f>IFERROR(VLOOKUP(D1824,Products!$A:$C,3,FALSE),"")</f>
        <v>Home</v>
      </c>
      <c r="M1824" t="str">
        <f>IFERROR(VLOOKUP(C1824,Customers!$A:$E,5,FALSE),"")</f>
        <v>SMB</v>
      </c>
      <c r="N1824">
        <f>IFERROR(VLOOKUP(C1824,Customers!$A:$E,3,FALSE),"")</f>
        <v>65</v>
      </c>
      <c r="O1824" s="33" t="str">
        <f>IFERROR(VLOOKUP(E1824,Sales_Reps!$A:$C,3,FALSE),"")</f>
        <v>West</v>
      </c>
      <c r="P1824" s="33">
        <f>IFERROR(VLOOKUP(D1824,Products!$A:$D,4,FALSE),"")</f>
        <v>519</v>
      </c>
      <c r="Q1824" s="33">
        <f t="shared" si="28"/>
        <v>0.51944444444444449</v>
      </c>
    </row>
    <row r="1825" spans="1:17" x14ac:dyDescent="0.3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  <c r="L1825" t="str">
        <f>IFERROR(VLOOKUP(D1825,Products!$A:$C,3,FALSE),"")</f>
        <v>Sports</v>
      </c>
      <c r="M1825" t="str">
        <f>IFERROR(VLOOKUP(C1825,Customers!$A:$E,5,FALSE),"")</f>
        <v>SMB</v>
      </c>
      <c r="N1825">
        <f>IFERROR(VLOOKUP(C1825,Customers!$A:$E,3,FALSE),"")</f>
        <v>49</v>
      </c>
      <c r="O1825" s="33" t="str">
        <f>IFERROR(VLOOKUP(E1825,Sales_Reps!$A:$C,3,FALSE),"")</f>
        <v>West</v>
      </c>
      <c r="P1825" s="33">
        <f>IFERROR(VLOOKUP(D1825,Products!$A:$D,4,FALSE),"")</f>
        <v>147</v>
      </c>
      <c r="Q1825" s="33">
        <f t="shared" si="28"/>
        <v>0.22631578947368422</v>
      </c>
    </row>
    <row r="1826" spans="1:17" x14ac:dyDescent="0.3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  <c r="L1826" t="str">
        <f>IFERROR(VLOOKUP(D1826,Products!$A:$C,3,FALSE),"")</f>
        <v>Apparel</v>
      </c>
      <c r="M1826" t="str">
        <f>IFERROR(VLOOKUP(C1826,Customers!$A:$E,5,FALSE),"")</f>
        <v>SMB</v>
      </c>
      <c r="N1826">
        <f>IFERROR(VLOOKUP(C1826,Customers!$A:$E,3,FALSE),"")</f>
        <v>55</v>
      </c>
      <c r="O1826" s="33" t="str">
        <f>IFERROR(VLOOKUP(E1826,Sales_Reps!$A:$C,3,FALSE),"")</f>
        <v>West</v>
      </c>
      <c r="P1826" s="33">
        <f>IFERROR(VLOOKUP(D1826,Products!$A:$D,4,FALSE),"")</f>
        <v>1075</v>
      </c>
      <c r="Q1826" s="33">
        <f t="shared" si="28"/>
        <v>0.57171314741035861</v>
      </c>
    </row>
    <row r="1827" spans="1:17" x14ac:dyDescent="0.3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  <c r="L1827" t="str">
        <f>IFERROR(VLOOKUP(D1827,Products!$A:$C,3,FALSE),"")</f>
        <v>Apparel</v>
      </c>
      <c r="M1827" t="str">
        <f>IFERROR(VLOOKUP(C1827,Customers!$A:$E,5,FALSE),"")</f>
        <v>Retail</v>
      </c>
      <c r="N1827">
        <f>IFERROR(VLOOKUP(C1827,Customers!$A:$E,3,FALSE),"")</f>
        <v>36</v>
      </c>
      <c r="O1827" s="33" t="str">
        <f>IFERROR(VLOOKUP(E1827,Sales_Reps!$A:$C,3,FALSE),"")</f>
        <v>South</v>
      </c>
      <c r="P1827" s="33">
        <f>IFERROR(VLOOKUP(D1827,Products!$A:$D,4,FALSE),"")</f>
        <v>2629</v>
      </c>
      <c r="Q1827" s="33">
        <f t="shared" si="28"/>
        <v>0.26151685393258428</v>
      </c>
    </row>
    <row r="1828" spans="1:17" x14ac:dyDescent="0.3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  <c r="L1828" t="str">
        <f>IFERROR(VLOOKUP(D1828,Products!$A:$C,3,FALSE),"")</f>
        <v>Apparel</v>
      </c>
      <c r="M1828" t="str">
        <f>IFERROR(VLOOKUP(C1828,Customers!$A:$E,5,FALSE),"")</f>
        <v>Corporate</v>
      </c>
      <c r="N1828">
        <f>IFERROR(VLOOKUP(C1828,Customers!$A:$E,3,FALSE),"")</f>
        <v>41</v>
      </c>
      <c r="O1828" s="33" t="str">
        <f>IFERROR(VLOOKUP(E1828,Sales_Reps!$A:$C,3,FALSE),"")</f>
        <v>South</v>
      </c>
      <c r="P1828" s="33">
        <f>IFERROR(VLOOKUP(D1828,Products!$A:$D,4,FALSE),"")</f>
        <v>391</v>
      </c>
      <c r="Q1828" s="33">
        <f t="shared" si="28"/>
        <v>0.52317073170731709</v>
      </c>
    </row>
    <row r="1829" spans="1:17" x14ac:dyDescent="0.3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  <c r="L1829" t="str">
        <f>IFERROR(VLOOKUP(D1829,Products!$A:$C,3,FALSE),"")</f>
        <v>Apparel</v>
      </c>
      <c r="M1829" t="str">
        <f>IFERROR(VLOOKUP(C1829,Customers!$A:$E,5,FALSE),"")</f>
        <v>Corporate</v>
      </c>
      <c r="N1829">
        <f>IFERROR(VLOOKUP(C1829,Customers!$A:$E,3,FALSE),"")</f>
        <v>42</v>
      </c>
      <c r="O1829" s="33" t="str">
        <f>IFERROR(VLOOKUP(E1829,Sales_Reps!$A:$C,3,FALSE),"")</f>
        <v>North</v>
      </c>
      <c r="P1829" s="33">
        <f>IFERROR(VLOOKUP(D1829,Products!$A:$D,4,FALSE),"")</f>
        <v>2611</v>
      </c>
      <c r="Q1829" s="33">
        <f t="shared" si="28"/>
        <v>0.28269230769230769</v>
      </c>
    </row>
    <row r="1830" spans="1:17" x14ac:dyDescent="0.3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  <c r="L1830" t="str">
        <f>IFERROR(VLOOKUP(D1830,Products!$A:$C,3,FALSE),"")</f>
        <v>Grocery</v>
      </c>
      <c r="M1830" t="str">
        <f>IFERROR(VLOOKUP(C1830,Customers!$A:$E,5,FALSE),"")</f>
        <v>Retail</v>
      </c>
      <c r="N1830">
        <f>IFERROR(VLOOKUP(C1830,Customers!$A:$E,3,FALSE),"")</f>
        <v>54</v>
      </c>
      <c r="O1830" s="33" t="str">
        <f>IFERROR(VLOOKUP(E1830,Sales_Reps!$A:$C,3,FALSE),"")</f>
        <v>East</v>
      </c>
      <c r="P1830" s="33">
        <f>IFERROR(VLOOKUP(D1830,Products!$A:$D,4,FALSE),"")</f>
        <v>2214</v>
      </c>
      <c r="Q1830" s="33">
        <f t="shared" si="28"/>
        <v>0.39508196721311473</v>
      </c>
    </row>
    <row r="1831" spans="1:17" x14ac:dyDescent="0.3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  <c r="L1831" t="str">
        <f>IFERROR(VLOOKUP(D1831,Products!$A:$C,3,FALSE),"")</f>
        <v>Sports</v>
      </c>
      <c r="M1831" t="str">
        <f>IFERROR(VLOOKUP(C1831,Customers!$A:$E,5,FALSE),"")</f>
        <v>SMB</v>
      </c>
      <c r="N1831">
        <f>IFERROR(VLOOKUP(C1831,Customers!$A:$E,3,FALSE),"")</f>
        <v>29</v>
      </c>
      <c r="O1831" s="33" t="str">
        <f>IFERROR(VLOOKUP(E1831,Sales_Reps!$A:$C,3,FALSE),"")</f>
        <v>West</v>
      </c>
      <c r="P1831" s="33">
        <f>IFERROR(VLOOKUP(D1831,Products!$A:$D,4,FALSE),"")</f>
        <v>2028</v>
      </c>
      <c r="Q1831" s="33">
        <f t="shared" si="28"/>
        <v>0.29090909090909089</v>
      </c>
    </row>
    <row r="1832" spans="1:17" x14ac:dyDescent="0.3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  <c r="L1832" t="str">
        <f>IFERROR(VLOOKUP(D1832,Products!$A:$C,3,FALSE),"")</f>
        <v>Apparel</v>
      </c>
      <c r="M1832" t="str">
        <f>IFERROR(VLOOKUP(C1832,Customers!$A:$E,5,FALSE),"")</f>
        <v>Retail</v>
      </c>
      <c r="N1832">
        <f>IFERROR(VLOOKUP(C1832,Customers!$A:$E,3,FALSE),"")</f>
        <v>43</v>
      </c>
      <c r="O1832" s="33" t="str">
        <f>IFERROR(VLOOKUP(E1832,Sales_Reps!$A:$C,3,FALSE),"")</f>
        <v>East</v>
      </c>
      <c r="P1832" s="33">
        <f>IFERROR(VLOOKUP(D1832,Products!$A:$D,4,FALSE),"")</f>
        <v>1962</v>
      </c>
      <c r="Q1832" s="33">
        <f t="shared" si="28"/>
        <v>0.2786764705882353</v>
      </c>
    </row>
    <row r="1833" spans="1:17" x14ac:dyDescent="0.3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  <c r="L1833" t="str">
        <f>IFERROR(VLOOKUP(D1833,Products!$A:$C,3,FALSE),"")</f>
        <v>Sports</v>
      </c>
      <c r="M1833" t="str">
        <f>IFERROR(VLOOKUP(C1833,Customers!$A:$E,5,FALSE),"")</f>
        <v>Retail</v>
      </c>
      <c r="N1833">
        <f>IFERROR(VLOOKUP(C1833,Customers!$A:$E,3,FALSE),"")</f>
        <v>46</v>
      </c>
      <c r="O1833" s="33" t="str">
        <f>IFERROR(VLOOKUP(E1833,Sales_Reps!$A:$C,3,FALSE),"")</f>
        <v>North</v>
      </c>
      <c r="P1833" s="33">
        <f>IFERROR(VLOOKUP(D1833,Products!$A:$D,4,FALSE),"")</f>
        <v>2028</v>
      </c>
      <c r="Q1833" s="33">
        <f t="shared" si="28"/>
        <v>0.29090909090909089</v>
      </c>
    </row>
    <row r="1834" spans="1:17" x14ac:dyDescent="0.3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  <c r="L1834" t="str">
        <f>IFERROR(VLOOKUP(D1834,Products!$A:$C,3,FALSE),"")</f>
        <v>Apparel</v>
      </c>
      <c r="M1834" t="str">
        <f>IFERROR(VLOOKUP(C1834,Customers!$A:$E,5,FALSE),"")</f>
        <v>Retail</v>
      </c>
      <c r="N1834">
        <f>IFERROR(VLOOKUP(C1834,Customers!$A:$E,3,FALSE),"")</f>
        <v>37</v>
      </c>
      <c r="O1834" s="33" t="str">
        <f>IFERROR(VLOOKUP(E1834,Sales_Reps!$A:$C,3,FALSE),"")</f>
        <v>East</v>
      </c>
      <c r="P1834" s="33">
        <f>IFERROR(VLOOKUP(D1834,Products!$A:$D,4,FALSE),"")</f>
        <v>1075</v>
      </c>
      <c r="Q1834" s="33">
        <f t="shared" si="28"/>
        <v>0.57171314741035861</v>
      </c>
    </row>
    <row r="1835" spans="1:17" x14ac:dyDescent="0.3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  <c r="L1835" t="str">
        <f>IFERROR(VLOOKUP(D1835,Products!$A:$C,3,FALSE),"")</f>
        <v>Apparel</v>
      </c>
      <c r="M1835" t="str">
        <f>IFERROR(VLOOKUP(C1835,Customers!$A:$E,5,FALSE),"")</f>
        <v>SMB</v>
      </c>
      <c r="N1835">
        <f>IFERROR(VLOOKUP(C1835,Customers!$A:$E,3,FALSE),"")</f>
        <v>59</v>
      </c>
      <c r="O1835" s="33" t="str">
        <f>IFERROR(VLOOKUP(E1835,Sales_Reps!$A:$C,3,FALSE),"")</f>
        <v>East</v>
      </c>
      <c r="P1835" s="33">
        <f>IFERROR(VLOOKUP(D1835,Products!$A:$D,4,FALSE),"")</f>
        <v>1075</v>
      </c>
      <c r="Q1835" s="33">
        <f t="shared" si="28"/>
        <v>0.57171314741035861</v>
      </c>
    </row>
    <row r="1836" spans="1:17" x14ac:dyDescent="0.3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  <c r="L1836" t="str">
        <f>IFERROR(VLOOKUP(D1836,Products!$A:$C,3,FALSE),"")</f>
        <v>Beauty</v>
      </c>
      <c r="M1836" t="str">
        <f>IFERROR(VLOOKUP(C1836,Customers!$A:$E,5,FALSE),"")</f>
        <v>Retail</v>
      </c>
      <c r="N1836">
        <f>IFERROR(VLOOKUP(C1836,Customers!$A:$E,3,FALSE),"")</f>
        <v>49</v>
      </c>
      <c r="O1836" s="33" t="str">
        <f>IFERROR(VLOOKUP(E1836,Sales_Reps!$A:$C,3,FALSE),"")</f>
        <v>North</v>
      </c>
      <c r="P1836" s="33">
        <f>IFERROR(VLOOKUP(D1836,Products!$A:$D,4,FALSE),"")</f>
        <v>675</v>
      </c>
      <c r="Q1836" s="33">
        <f t="shared" si="28"/>
        <v>0.296875</v>
      </c>
    </row>
    <row r="1837" spans="1:17" x14ac:dyDescent="0.3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  <c r="L1837" t="str">
        <f>IFERROR(VLOOKUP(D1837,Products!$A:$C,3,FALSE),"")</f>
        <v>Home</v>
      </c>
      <c r="M1837" t="str">
        <f>IFERROR(VLOOKUP(C1837,Customers!$A:$E,5,FALSE),"")</f>
        <v>SMB</v>
      </c>
      <c r="N1837">
        <f>IFERROR(VLOOKUP(C1837,Customers!$A:$E,3,FALSE),"")</f>
        <v>39</v>
      </c>
      <c r="O1837" s="33" t="str">
        <f>IFERROR(VLOOKUP(E1837,Sales_Reps!$A:$C,3,FALSE),"")</f>
        <v>South</v>
      </c>
      <c r="P1837" s="33">
        <f>IFERROR(VLOOKUP(D1837,Products!$A:$D,4,FALSE),"")</f>
        <v>2549</v>
      </c>
      <c r="Q1837" s="33">
        <f t="shared" si="28"/>
        <v>0.53570127504553733</v>
      </c>
    </row>
    <row r="1838" spans="1:17" x14ac:dyDescent="0.3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  <c r="L1838" t="str">
        <f>IFERROR(VLOOKUP(D1838,Products!$A:$C,3,FALSE),"")</f>
        <v>Apparel</v>
      </c>
      <c r="M1838" t="str">
        <f>IFERROR(VLOOKUP(C1838,Customers!$A:$E,5,FALSE),"")</f>
        <v>Retail</v>
      </c>
      <c r="N1838">
        <f>IFERROR(VLOOKUP(C1838,Customers!$A:$E,3,FALSE),"")</f>
        <v>54</v>
      </c>
      <c r="O1838" s="33" t="str">
        <f>IFERROR(VLOOKUP(E1838,Sales_Reps!$A:$C,3,FALSE),"")</f>
        <v>North</v>
      </c>
      <c r="P1838" s="33">
        <f>IFERROR(VLOOKUP(D1838,Products!$A:$D,4,FALSE),"")</f>
        <v>1075</v>
      </c>
      <c r="Q1838" s="33">
        <f t="shared" si="28"/>
        <v>0.57171314741035861</v>
      </c>
    </row>
    <row r="1839" spans="1:17" x14ac:dyDescent="0.3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  <c r="L1839" t="str">
        <f>IFERROR(VLOOKUP(D1839,Products!$A:$C,3,FALSE),"")</f>
        <v>Apparel</v>
      </c>
      <c r="M1839" t="str">
        <f>IFERROR(VLOOKUP(C1839,Customers!$A:$E,5,FALSE),"")</f>
        <v>Retail</v>
      </c>
      <c r="N1839">
        <f>IFERROR(VLOOKUP(C1839,Customers!$A:$E,3,FALSE),"")</f>
        <v>63</v>
      </c>
      <c r="O1839" s="33" t="str">
        <f>IFERROR(VLOOKUP(E1839,Sales_Reps!$A:$C,3,FALSE),"")</f>
        <v>South</v>
      </c>
      <c r="P1839" s="33">
        <f>IFERROR(VLOOKUP(D1839,Products!$A:$D,4,FALSE),"")</f>
        <v>391</v>
      </c>
      <c r="Q1839" s="33">
        <f t="shared" si="28"/>
        <v>0.52317073170731709</v>
      </c>
    </row>
    <row r="1840" spans="1:17" x14ac:dyDescent="0.3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  <c r="L1840" t="str">
        <f>IFERROR(VLOOKUP(D1840,Products!$A:$C,3,FALSE),"")</f>
        <v>Electronics</v>
      </c>
      <c r="M1840" t="str">
        <f>IFERROR(VLOOKUP(C1840,Customers!$A:$E,5,FALSE),"")</f>
        <v>SMB</v>
      </c>
      <c r="N1840">
        <f>IFERROR(VLOOKUP(C1840,Customers!$A:$E,3,FALSE),"")</f>
        <v>22</v>
      </c>
      <c r="O1840" s="33" t="str">
        <f>IFERROR(VLOOKUP(E1840,Sales_Reps!$A:$C,3,FALSE),"")</f>
        <v>East</v>
      </c>
      <c r="P1840" s="33">
        <f>IFERROR(VLOOKUP(D1840,Products!$A:$D,4,FALSE),"")</f>
        <v>128</v>
      </c>
      <c r="Q1840" s="33">
        <f t="shared" si="28"/>
        <v>0.57333333333333336</v>
      </c>
    </row>
    <row r="1841" spans="1:17" x14ac:dyDescent="0.3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  <c r="L1841" t="str">
        <f>IFERROR(VLOOKUP(D1841,Products!$A:$C,3,FALSE),"")</f>
        <v>Beauty</v>
      </c>
      <c r="M1841" t="str">
        <f>IFERROR(VLOOKUP(C1841,Customers!$A:$E,5,FALSE),"")</f>
        <v>Retail</v>
      </c>
      <c r="N1841">
        <f>IFERROR(VLOOKUP(C1841,Customers!$A:$E,3,FALSE),"")</f>
        <v>36</v>
      </c>
      <c r="O1841" s="33" t="str">
        <f>IFERROR(VLOOKUP(E1841,Sales_Reps!$A:$C,3,FALSE),"")</f>
        <v>South</v>
      </c>
      <c r="P1841" s="33">
        <f>IFERROR(VLOOKUP(D1841,Products!$A:$D,4,FALSE),"")</f>
        <v>1728</v>
      </c>
      <c r="Q1841" s="33">
        <f t="shared" si="28"/>
        <v>0.48417910447761192</v>
      </c>
    </row>
    <row r="1842" spans="1:17" x14ac:dyDescent="0.3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  <c r="L1842" t="str">
        <f>IFERROR(VLOOKUP(D1842,Products!$A:$C,3,FALSE),"")</f>
        <v>Home</v>
      </c>
      <c r="M1842" t="str">
        <f>IFERROR(VLOOKUP(C1842,Customers!$A:$E,5,FALSE),"")</f>
        <v>Retail</v>
      </c>
      <c r="N1842">
        <f>IFERROR(VLOOKUP(C1842,Customers!$A:$E,3,FALSE),"")</f>
        <v>62</v>
      </c>
      <c r="O1842" s="33" t="str">
        <f>IFERROR(VLOOKUP(E1842,Sales_Reps!$A:$C,3,FALSE),"")</f>
        <v>West</v>
      </c>
      <c r="P1842" s="33">
        <f>IFERROR(VLOOKUP(D1842,Products!$A:$D,4,FALSE),"")</f>
        <v>1556</v>
      </c>
      <c r="Q1842" s="33">
        <f t="shared" si="28"/>
        <v>0.52123076923076928</v>
      </c>
    </row>
    <row r="1843" spans="1:17" x14ac:dyDescent="0.3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  <c r="L1843" t="str">
        <f>IFERROR(VLOOKUP(D1843,Products!$A:$C,3,FALSE),"")</f>
        <v>Beauty</v>
      </c>
      <c r="M1843" t="str">
        <f>IFERROR(VLOOKUP(C1843,Customers!$A:$E,5,FALSE),"")</f>
        <v>SMB</v>
      </c>
      <c r="N1843">
        <f>IFERROR(VLOOKUP(C1843,Customers!$A:$E,3,FALSE),"")</f>
        <v>46</v>
      </c>
      <c r="O1843" s="33" t="str">
        <f>IFERROR(VLOOKUP(E1843,Sales_Reps!$A:$C,3,FALSE),"")</f>
        <v>West</v>
      </c>
      <c r="P1843" s="33">
        <f>IFERROR(VLOOKUP(D1843,Products!$A:$D,4,FALSE),"")</f>
        <v>1222</v>
      </c>
      <c r="Q1843" s="33">
        <f t="shared" si="28"/>
        <v>0.2593939393939394</v>
      </c>
    </row>
    <row r="1844" spans="1:17" x14ac:dyDescent="0.3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  <c r="L1844" t="str">
        <f>IFERROR(VLOOKUP(D1844,Products!$A:$C,3,FALSE),"")</f>
        <v>Electronics</v>
      </c>
      <c r="M1844" t="str">
        <f>IFERROR(VLOOKUP(C1844,Customers!$A:$E,5,FALSE),"")</f>
        <v>Retail</v>
      </c>
      <c r="N1844">
        <f>IFERROR(VLOOKUP(C1844,Customers!$A:$E,3,FALSE),"")</f>
        <v>32</v>
      </c>
      <c r="O1844" s="33" t="str">
        <f>IFERROR(VLOOKUP(E1844,Sales_Reps!$A:$C,3,FALSE),"")</f>
        <v>West</v>
      </c>
      <c r="P1844" s="33">
        <f>IFERROR(VLOOKUP(D1844,Products!$A:$D,4,FALSE),"")</f>
        <v>517</v>
      </c>
      <c r="Q1844" s="33">
        <f t="shared" si="28"/>
        <v>0.57622950819672136</v>
      </c>
    </row>
    <row r="1845" spans="1:17" x14ac:dyDescent="0.3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  <c r="L1845" t="str">
        <f>IFERROR(VLOOKUP(D1845,Products!$A:$C,3,FALSE),"")</f>
        <v>Beauty</v>
      </c>
      <c r="M1845" t="str">
        <f>IFERROR(VLOOKUP(C1845,Customers!$A:$E,5,FALSE),"")</f>
        <v>Retail</v>
      </c>
      <c r="N1845">
        <f>IFERROR(VLOOKUP(C1845,Customers!$A:$E,3,FALSE),"")</f>
        <v>46</v>
      </c>
      <c r="O1845" s="33" t="str">
        <f>IFERROR(VLOOKUP(E1845,Sales_Reps!$A:$C,3,FALSE),"")</f>
        <v>West</v>
      </c>
      <c r="P1845" s="33">
        <f>IFERROR(VLOOKUP(D1845,Products!$A:$D,4,FALSE),"")</f>
        <v>675</v>
      </c>
      <c r="Q1845" s="33">
        <f t="shared" si="28"/>
        <v>0.296875</v>
      </c>
    </row>
    <row r="1846" spans="1:17" x14ac:dyDescent="0.3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  <c r="L1846" t="str">
        <f>IFERROR(VLOOKUP(D1846,Products!$A:$C,3,FALSE),"")</f>
        <v>Beauty</v>
      </c>
      <c r="M1846" t="str">
        <f>IFERROR(VLOOKUP(C1846,Customers!$A:$E,5,FALSE),"")</f>
        <v>SMB</v>
      </c>
      <c r="N1846">
        <f>IFERROR(VLOOKUP(C1846,Customers!$A:$E,3,FALSE),"")</f>
        <v>43</v>
      </c>
      <c r="O1846" s="33" t="str">
        <f>IFERROR(VLOOKUP(E1846,Sales_Reps!$A:$C,3,FALSE),"")</f>
        <v>South</v>
      </c>
      <c r="P1846" s="33">
        <f>IFERROR(VLOOKUP(D1846,Products!$A:$D,4,FALSE),"")</f>
        <v>2768</v>
      </c>
      <c r="Q1846" s="33">
        <f t="shared" si="28"/>
        <v>0.43278688524590164</v>
      </c>
    </row>
    <row r="1847" spans="1:17" x14ac:dyDescent="0.3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  <c r="L1847" t="str">
        <f>IFERROR(VLOOKUP(D1847,Products!$A:$C,3,FALSE),"")</f>
        <v>Grocery</v>
      </c>
      <c r="M1847" t="str">
        <f>IFERROR(VLOOKUP(C1847,Customers!$A:$E,5,FALSE),"")</f>
        <v>SMB</v>
      </c>
      <c r="N1847">
        <f>IFERROR(VLOOKUP(C1847,Customers!$A:$E,3,FALSE),"")</f>
        <v>59</v>
      </c>
      <c r="O1847" s="33" t="str">
        <f>IFERROR(VLOOKUP(E1847,Sales_Reps!$A:$C,3,FALSE),"")</f>
        <v>West</v>
      </c>
      <c r="P1847" s="33">
        <f>IFERROR(VLOOKUP(D1847,Products!$A:$D,4,FALSE),"")</f>
        <v>1203</v>
      </c>
      <c r="Q1847" s="33">
        <f t="shared" si="28"/>
        <v>0.47004405286343615</v>
      </c>
    </row>
    <row r="1848" spans="1:17" x14ac:dyDescent="0.3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  <c r="L1848" t="str">
        <f>IFERROR(VLOOKUP(D1848,Products!$A:$C,3,FALSE),"")</f>
        <v>Home</v>
      </c>
      <c r="M1848" t="str">
        <f>IFERROR(VLOOKUP(C1848,Customers!$A:$E,5,FALSE),"")</f>
        <v>Retail</v>
      </c>
      <c r="N1848">
        <f>IFERROR(VLOOKUP(C1848,Customers!$A:$E,3,FALSE),"")</f>
        <v>44</v>
      </c>
      <c r="O1848" s="33" t="str">
        <f>IFERROR(VLOOKUP(E1848,Sales_Reps!$A:$C,3,FALSE),"")</f>
        <v>West</v>
      </c>
      <c r="P1848" s="33">
        <f>IFERROR(VLOOKUP(D1848,Products!$A:$D,4,FALSE),"")</f>
        <v>464</v>
      </c>
      <c r="Q1848" s="33">
        <f t="shared" si="28"/>
        <v>0.57431192660550456</v>
      </c>
    </row>
    <row r="1849" spans="1:17" x14ac:dyDescent="0.3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  <c r="L1849" t="str">
        <f>IFERROR(VLOOKUP(D1849,Products!$A:$C,3,FALSE),"")</f>
        <v>Home</v>
      </c>
      <c r="M1849" t="str">
        <f>IFERROR(VLOOKUP(C1849,Customers!$A:$E,5,FALSE),"")</f>
        <v>Retail</v>
      </c>
      <c r="N1849">
        <f>IFERROR(VLOOKUP(C1849,Customers!$A:$E,3,FALSE),"")</f>
        <v>28</v>
      </c>
      <c r="O1849" s="33" t="str">
        <f>IFERROR(VLOOKUP(E1849,Sales_Reps!$A:$C,3,FALSE),"")</f>
        <v>West</v>
      </c>
      <c r="P1849" s="33">
        <f>IFERROR(VLOOKUP(D1849,Products!$A:$D,4,FALSE),"")</f>
        <v>2459</v>
      </c>
      <c r="Q1849" s="33">
        <f t="shared" si="28"/>
        <v>0.51594488188976373</v>
      </c>
    </row>
    <row r="1850" spans="1:17" x14ac:dyDescent="0.3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  <c r="L1850" t="str">
        <f>IFERROR(VLOOKUP(D1850,Products!$A:$C,3,FALSE),"")</f>
        <v>Home</v>
      </c>
      <c r="M1850" t="str">
        <f>IFERROR(VLOOKUP(C1850,Customers!$A:$E,5,FALSE),"")</f>
        <v>SMB</v>
      </c>
      <c r="N1850">
        <f>IFERROR(VLOOKUP(C1850,Customers!$A:$E,3,FALSE),"")</f>
        <v>59</v>
      </c>
      <c r="O1850" s="33" t="str">
        <f>IFERROR(VLOOKUP(E1850,Sales_Reps!$A:$C,3,FALSE),"")</f>
        <v>East</v>
      </c>
      <c r="P1850" s="33">
        <f>IFERROR(VLOOKUP(D1850,Products!$A:$D,4,FALSE),"")</f>
        <v>1850</v>
      </c>
      <c r="Q1850" s="33">
        <f t="shared" si="28"/>
        <v>0.59869848156182215</v>
      </c>
    </row>
    <row r="1851" spans="1:17" x14ac:dyDescent="0.3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  <c r="L1851" t="str">
        <f>IFERROR(VLOOKUP(D1851,Products!$A:$C,3,FALSE),"")</f>
        <v>Beauty</v>
      </c>
      <c r="M1851" t="str">
        <f>IFERROR(VLOOKUP(C1851,Customers!$A:$E,5,FALSE),"")</f>
        <v>SMB</v>
      </c>
      <c r="N1851">
        <f>IFERROR(VLOOKUP(C1851,Customers!$A:$E,3,FALSE),"")</f>
        <v>65</v>
      </c>
      <c r="O1851" s="33" t="str">
        <f>IFERROR(VLOOKUP(E1851,Sales_Reps!$A:$C,3,FALSE),"")</f>
        <v>West</v>
      </c>
      <c r="P1851" s="33">
        <f>IFERROR(VLOOKUP(D1851,Products!$A:$D,4,FALSE),"")</f>
        <v>1626</v>
      </c>
      <c r="Q1851" s="33">
        <f t="shared" si="28"/>
        <v>0.46158940397350995</v>
      </c>
    </row>
    <row r="1852" spans="1:17" x14ac:dyDescent="0.3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  <c r="L1852" t="str">
        <f>IFERROR(VLOOKUP(D1852,Products!$A:$C,3,FALSE),"")</f>
        <v>Grocery</v>
      </c>
      <c r="M1852" t="str">
        <f>IFERROR(VLOOKUP(C1852,Customers!$A:$E,5,FALSE),"")</f>
        <v>Retail</v>
      </c>
      <c r="N1852">
        <f>IFERROR(VLOOKUP(C1852,Customers!$A:$E,3,FALSE),"")</f>
        <v>43</v>
      </c>
      <c r="O1852" s="33" t="str">
        <f>IFERROR(VLOOKUP(E1852,Sales_Reps!$A:$C,3,FALSE),"")</f>
        <v>West</v>
      </c>
      <c r="P1852" s="33">
        <f>IFERROR(VLOOKUP(D1852,Products!$A:$D,4,FALSE),"")</f>
        <v>1412</v>
      </c>
      <c r="Q1852" s="33">
        <f t="shared" si="28"/>
        <v>0.37797356828193834</v>
      </c>
    </row>
    <row r="1853" spans="1:17" x14ac:dyDescent="0.3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  <c r="L1853" t="str">
        <f>IFERROR(VLOOKUP(D1853,Products!$A:$C,3,FALSE),"")</f>
        <v>Grocery</v>
      </c>
      <c r="M1853" t="str">
        <f>IFERROR(VLOOKUP(C1853,Customers!$A:$E,5,FALSE),"")</f>
        <v>SMB</v>
      </c>
      <c r="N1853">
        <f>IFERROR(VLOOKUP(C1853,Customers!$A:$E,3,FALSE),"")</f>
        <v>39</v>
      </c>
      <c r="O1853" s="33" t="str">
        <f>IFERROR(VLOOKUP(E1853,Sales_Reps!$A:$C,3,FALSE),"")</f>
        <v>South</v>
      </c>
      <c r="P1853" s="33">
        <f>IFERROR(VLOOKUP(D1853,Products!$A:$D,4,FALSE),"")</f>
        <v>2027</v>
      </c>
      <c r="Q1853" s="33">
        <f t="shared" si="28"/>
        <v>0.50196560196560192</v>
      </c>
    </row>
    <row r="1854" spans="1:17" x14ac:dyDescent="0.3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  <c r="L1854" t="str">
        <f>IFERROR(VLOOKUP(D1854,Products!$A:$C,3,FALSE),"")</f>
        <v>Electronics</v>
      </c>
      <c r="M1854" t="str">
        <f>IFERROR(VLOOKUP(C1854,Customers!$A:$E,5,FALSE),"")</f>
        <v>Corporate</v>
      </c>
      <c r="N1854">
        <f>IFERROR(VLOOKUP(C1854,Customers!$A:$E,3,FALSE),"")</f>
        <v>34</v>
      </c>
      <c r="O1854" s="33" t="str">
        <f>IFERROR(VLOOKUP(E1854,Sales_Reps!$A:$C,3,FALSE),"")</f>
        <v>East</v>
      </c>
      <c r="P1854" s="33">
        <f>IFERROR(VLOOKUP(D1854,Products!$A:$D,4,FALSE),"")</f>
        <v>517</v>
      </c>
      <c r="Q1854" s="33">
        <f t="shared" si="28"/>
        <v>0.57622950819672136</v>
      </c>
    </row>
    <row r="1855" spans="1:17" x14ac:dyDescent="0.3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  <c r="L1855" t="str">
        <f>IFERROR(VLOOKUP(D1855,Products!$A:$C,3,FALSE),"")</f>
        <v>Apparel</v>
      </c>
      <c r="M1855" t="str">
        <f>IFERROR(VLOOKUP(C1855,Customers!$A:$E,5,FALSE),"")</f>
        <v>Retail</v>
      </c>
      <c r="N1855">
        <f>IFERROR(VLOOKUP(C1855,Customers!$A:$E,3,FALSE),"")</f>
        <v>23</v>
      </c>
      <c r="O1855" s="33" t="str">
        <f>IFERROR(VLOOKUP(E1855,Sales_Reps!$A:$C,3,FALSE),"")</f>
        <v>West</v>
      </c>
      <c r="P1855" s="33">
        <f>IFERROR(VLOOKUP(D1855,Products!$A:$D,4,FALSE),"")</f>
        <v>1173</v>
      </c>
      <c r="Q1855" s="33">
        <f t="shared" si="28"/>
        <v>0.52701612903225803</v>
      </c>
    </row>
    <row r="1856" spans="1:17" x14ac:dyDescent="0.3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  <c r="L1856" t="str">
        <f>IFERROR(VLOOKUP(D1856,Products!$A:$C,3,FALSE),"")</f>
        <v>Sports</v>
      </c>
      <c r="M1856" t="str">
        <f>IFERROR(VLOOKUP(C1856,Customers!$A:$E,5,FALSE),"")</f>
        <v>Corporate</v>
      </c>
      <c r="N1856">
        <f>IFERROR(VLOOKUP(C1856,Customers!$A:$E,3,FALSE),"")</f>
        <v>37</v>
      </c>
      <c r="O1856" s="33" t="str">
        <f>IFERROR(VLOOKUP(E1856,Sales_Reps!$A:$C,3,FALSE),"")</f>
        <v>North</v>
      </c>
      <c r="P1856" s="33">
        <f>IFERROR(VLOOKUP(D1856,Products!$A:$D,4,FALSE),"")</f>
        <v>2028</v>
      </c>
      <c r="Q1856" s="33">
        <f t="shared" si="28"/>
        <v>0.29090909090909089</v>
      </c>
    </row>
    <row r="1857" spans="1:17" x14ac:dyDescent="0.3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  <c r="L1857" t="str">
        <f>IFERROR(VLOOKUP(D1857,Products!$A:$C,3,FALSE),"")</f>
        <v>Grocery</v>
      </c>
      <c r="M1857" t="str">
        <f>IFERROR(VLOOKUP(C1857,Customers!$A:$E,5,FALSE),"")</f>
        <v>Retail</v>
      </c>
      <c r="N1857">
        <f>IFERROR(VLOOKUP(C1857,Customers!$A:$E,3,FALSE),"")</f>
        <v>31</v>
      </c>
      <c r="O1857" s="33" t="str">
        <f>IFERROR(VLOOKUP(E1857,Sales_Reps!$A:$C,3,FALSE),"")</f>
        <v>West</v>
      </c>
      <c r="P1857" s="33">
        <f>IFERROR(VLOOKUP(D1857,Products!$A:$D,4,FALSE),"")</f>
        <v>2436</v>
      </c>
      <c r="Q1857" s="33">
        <f t="shared" si="28"/>
        <v>0.35555555555555557</v>
      </c>
    </row>
    <row r="1858" spans="1:17" x14ac:dyDescent="0.3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  <c r="L1858" t="str">
        <f>IFERROR(VLOOKUP(D1858,Products!$A:$C,3,FALSE),"")</f>
        <v>Sports</v>
      </c>
      <c r="M1858" t="str">
        <f>IFERROR(VLOOKUP(C1858,Customers!$A:$E,5,FALSE),"")</f>
        <v>Corporate</v>
      </c>
      <c r="N1858">
        <f>IFERROR(VLOOKUP(C1858,Customers!$A:$E,3,FALSE),"")</f>
        <v>29</v>
      </c>
      <c r="O1858" s="33" t="str">
        <f>IFERROR(VLOOKUP(E1858,Sales_Reps!$A:$C,3,FALSE),"")</f>
        <v>West</v>
      </c>
      <c r="P1858" s="33">
        <f>IFERROR(VLOOKUP(D1858,Products!$A:$D,4,FALSE),"")</f>
        <v>2028</v>
      </c>
      <c r="Q1858" s="33">
        <f t="shared" si="28"/>
        <v>0.29090909090909089</v>
      </c>
    </row>
    <row r="1859" spans="1:17" x14ac:dyDescent="0.3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  <c r="L1859" t="str">
        <f>IFERROR(VLOOKUP(D1859,Products!$A:$C,3,FALSE),"")</f>
        <v>Sports</v>
      </c>
      <c r="M1859" t="str">
        <f>IFERROR(VLOOKUP(C1859,Customers!$A:$E,5,FALSE),"")</f>
        <v>SMB</v>
      </c>
      <c r="N1859">
        <f>IFERROR(VLOOKUP(C1859,Customers!$A:$E,3,FALSE),"")</f>
        <v>29</v>
      </c>
      <c r="O1859" s="33" t="str">
        <f>IFERROR(VLOOKUP(E1859,Sales_Reps!$A:$C,3,FALSE),"")</f>
        <v>West</v>
      </c>
      <c r="P1859" s="33">
        <f>IFERROR(VLOOKUP(D1859,Products!$A:$D,4,FALSE),"")</f>
        <v>974</v>
      </c>
      <c r="Q1859" s="33">
        <f t="shared" ref="Q1859:Q1922" si="29">IFERROR((G1859-P1859)/G1859,"")</f>
        <v>0.59416666666666662</v>
      </c>
    </row>
    <row r="1860" spans="1:17" x14ac:dyDescent="0.3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  <c r="L1860" t="str">
        <f>IFERROR(VLOOKUP(D1860,Products!$A:$C,3,FALSE),"")</f>
        <v>Grocery</v>
      </c>
      <c r="M1860" t="str">
        <f>IFERROR(VLOOKUP(C1860,Customers!$A:$E,5,FALSE),"")</f>
        <v>Retail</v>
      </c>
      <c r="N1860">
        <f>IFERROR(VLOOKUP(C1860,Customers!$A:$E,3,FALSE),"")</f>
        <v>54</v>
      </c>
      <c r="O1860" s="33" t="str">
        <f>IFERROR(VLOOKUP(E1860,Sales_Reps!$A:$C,3,FALSE),"")</f>
        <v>West</v>
      </c>
      <c r="P1860" s="33">
        <f>IFERROR(VLOOKUP(D1860,Products!$A:$D,4,FALSE),"")</f>
        <v>1182</v>
      </c>
      <c r="Q1860" s="33">
        <f t="shared" si="29"/>
        <v>0.50336134453781511</v>
      </c>
    </row>
    <row r="1861" spans="1:17" x14ac:dyDescent="0.3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  <c r="L1861" t="str">
        <f>IFERROR(VLOOKUP(D1861,Products!$A:$C,3,FALSE),"")</f>
        <v>Beauty</v>
      </c>
      <c r="M1861" t="str">
        <f>IFERROR(VLOOKUP(C1861,Customers!$A:$E,5,FALSE),"")</f>
        <v>Retail</v>
      </c>
      <c r="N1861">
        <f>IFERROR(VLOOKUP(C1861,Customers!$A:$E,3,FALSE),"")</f>
        <v>29</v>
      </c>
      <c r="O1861" s="33" t="str">
        <f>IFERROR(VLOOKUP(E1861,Sales_Reps!$A:$C,3,FALSE),"")</f>
        <v>North</v>
      </c>
      <c r="P1861" s="33">
        <f>IFERROR(VLOOKUP(D1861,Products!$A:$D,4,FALSE),"")</f>
        <v>2237</v>
      </c>
      <c r="Q1861" s="33">
        <f t="shared" si="29"/>
        <v>0.56137254901960787</v>
      </c>
    </row>
    <row r="1862" spans="1:17" x14ac:dyDescent="0.3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  <c r="L1862" t="str">
        <f>IFERROR(VLOOKUP(D1862,Products!$A:$C,3,FALSE),"")</f>
        <v>Electronics</v>
      </c>
      <c r="M1862" t="str">
        <f>IFERROR(VLOOKUP(C1862,Customers!$A:$E,5,FALSE),"")</f>
        <v>Corporate</v>
      </c>
      <c r="N1862">
        <f>IFERROR(VLOOKUP(C1862,Customers!$A:$E,3,FALSE),"")</f>
        <v>29</v>
      </c>
      <c r="O1862" s="33" t="str">
        <f>IFERROR(VLOOKUP(E1862,Sales_Reps!$A:$C,3,FALSE),"")</f>
        <v>South</v>
      </c>
      <c r="P1862" s="33">
        <f>IFERROR(VLOOKUP(D1862,Products!$A:$D,4,FALSE),"")</f>
        <v>128</v>
      </c>
      <c r="Q1862" s="33">
        <f t="shared" si="29"/>
        <v>0.57333333333333336</v>
      </c>
    </row>
    <row r="1863" spans="1:17" x14ac:dyDescent="0.3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  <c r="L1863" t="str">
        <f>IFERROR(VLOOKUP(D1863,Products!$A:$C,3,FALSE),"")</f>
        <v>Sports</v>
      </c>
      <c r="M1863" t="str">
        <f>IFERROR(VLOOKUP(C1863,Customers!$A:$E,5,FALSE),"")</f>
        <v>SMB</v>
      </c>
      <c r="N1863">
        <f>IFERROR(VLOOKUP(C1863,Customers!$A:$E,3,FALSE),"")</f>
        <v>27</v>
      </c>
      <c r="O1863" s="33" t="str">
        <f>IFERROR(VLOOKUP(E1863,Sales_Reps!$A:$C,3,FALSE),"")</f>
        <v>South</v>
      </c>
      <c r="P1863" s="33">
        <f>IFERROR(VLOOKUP(D1863,Products!$A:$D,4,FALSE),"")</f>
        <v>2467</v>
      </c>
      <c r="Q1863" s="33">
        <f t="shared" si="29"/>
        <v>0.28492753623188405</v>
      </c>
    </row>
    <row r="1864" spans="1:17" x14ac:dyDescent="0.3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  <c r="L1864" t="str">
        <f>IFERROR(VLOOKUP(D1864,Products!$A:$C,3,FALSE),"")</f>
        <v>Sports</v>
      </c>
      <c r="M1864" t="str">
        <f>IFERROR(VLOOKUP(C1864,Customers!$A:$E,5,FALSE),"")</f>
        <v>Retail</v>
      </c>
      <c r="N1864">
        <f>IFERROR(VLOOKUP(C1864,Customers!$A:$E,3,FALSE),"")</f>
        <v>35</v>
      </c>
      <c r="O1864" s="33" t="str">
        <f>IFERROR(VLOOKUP(E1864,Sales_Reps!$A:$C,3,FALSE),"")</f>
        <v>South</v>
      </c>
      <c r="P1864" s="33">
        <f>IFERROR(VLOOKUP(D1864,Products!$A:$D,4,FALSE),"")</f>
        <v>2028</v>
      </c>
      <c r="Q1864" s="33">
        <f t="shared" si="29"/>
        <v>0.29090909090909089</v>
      </c>
    </row>
    <row r="1865" spans="1:17" x14ac:dyDescent="0.3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  <c r="L1865" t="str">
        <f>IFERROR(VLOOKUP(D1865,Products!$A:$C,3,FALSE),"")</f>
        <v>Apparel</v>
      </c>
      <c r="M1865" t="str">
        <f>IFERROR(VLOOKUP(C1865,Customers!$A:$E,5,FALSE),"")</f>
        <v>Retail</v>
      </c>
      <c r="N1865">
        <f>IFERROR(VLOOKUP(C1865,Customers!$A:$E,3,FALSE),"")</f>
        <v>44</v>
      </c>
      <c r="O1865" s="33" t="str">
        <f>IFERROR(VLOOKUP(E1865,Sales_Reps!$A:$C,3,FALSE),"")</f>
        <v>North</v>
      </c>
      <c r="P1865" s="33">
        <f>IFERROR(VLOOKUP(D1865,Products!$A:$D,4,FALSE),"")</f>
        <v>1962</v>
      </c>
      <c r="Q1865" s="33">
        <f t="shared" si="29"/>
        <v>0.2786764705882353</v>
      </c>
    </row>
    <row r="1866" spans="1:17" x14ac:dyDescent="0.3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  <c r="L1866" t="str">
        <f>IFERROR(VLOOKUP(D1866,Products!$A:$C,3,FALSE),"")</f>
        <v>Home</v>
      </c>
      <c r="M1866" t="str">
        <f>IFERROR(VLOOKUP(C1866,Customers!$A:$E,5,FALSE),"")</f>
        <v>Corporate</v>
      </c>
      <c r="N1866">
        <f>IFERROR(VLOOKUP(C1866,Customers!$A:$E,3,FALSE),"")</f>
        <v>51</v>
      </c>
      <c r="O1866" s="33" t="str">
        <f>IFERROR(VLOOKUP(E1866,Sales_Reps!$A:$C,3,FALSE),"")</f>
        <v>West</v>
      </c>
      <c r="P1866" s="33">
        <f>IFERROR(VLOOKUP(D1866,Products!$A:$D,4,FALSE),"")</f>
        <v>2135</v>
      </c>
      <c r="Q1866" s="33">
        <f t="shared" si="29"/>
        <v>0.42761394101876676</v>
      </c>
    </row>
    <row r="1867" spans="1:17" x14ac:dyDescent="0.3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  <c r="L1867" t="str">
        <f>IFERROR(VLOOKUP(D1867,Products!$A:$C,3,FALSE),"")</f>
        <v>Grocery</v>
      </c>
      <c r="M1867" t="str">
        <f>IFERROR(VLOOKUP(C1867,Customers!$A:$E,5,FALSE),"")</f>
        <v>Retail</v>
      </c>
      <c r="N1867">
        <f>IFERROR(VLOOKUP(C1867,Customers!$A:$E,3,FALSE),"")</f>
        <v>38</v>
      </c>
      <c r="O1867" s="33" t="str">
        <f>IFERROR(VLOOKUP(E1867,Sales_Reps!$A:$C,3,FALSE),"")</f>
        <v>North</v>
      </c>
      <c r="P1867" s="33">
        <f>IFERROR(VLOOKUP(D1867,Products!$A:$D,4,FALSE),"")</f>
        <v>2911</v>
      </c>
      <c r="Q1867" s="33">
        <f t="shared" si="29"/>
        <v>0.28300492610837441</v>
      </c>
    </row>
    <row r="1868" spans="1:17" x14ac:dyDescent="0.3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  <c r="L1868" t="str">
        <f>IFERROR(VLOOKUP(D1868,Products!$A:$C,3,FALSE),"")</f>
        <v>Beauty</v>
      </c>
      <c r="M1868" t="str">
        <f>IFERROR(VLOOKUP(C1868,Customers!$A:$E,5,FALSE),"")</f>
        <v>Retail</v>
      </c>
      <c r="N1868">
        <f>IFERROR(VLOOKUP(C1868,Customers!$A:$E,3,FALSE),"")</f>
        <v>28</v>
      </c>
      <c r="O1868" s="33" t="str">
        <f>IFERROR(VLOOKUP(E1868,Sales_Reps!$A:$C,3,FALSE),"")</f>
        <v>East</v>
      </c>
      <c r="P1868" s="33">
        <f>IFERROR(VLOOKUP(D1868,Products!$A:$D,4,FALSE),"")</f>
        <v>1219</v>
      </c>
      <c r="Q1868" s="33">
        <f t="shared" si="29"/>
        <v>0.46768558951965067</v>
      </c>
    </row>
    <row r="1869" spans="1:17" x14ac:dyDescent="0.3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  <c r="L1869" t="str">
        <f>IFERROR(VLOOKUP(D1869,Products!$A:$C,3,FALSE),"")</f>
        <v>Sports</v>
      </c>
      <c r="M1869" t="str">
        <f>IFERROR(VLOOKUP(C1869,Customers!$A:$E,5,FALSE),"")</f>
        <v>Retail</v>
      </c>
      <c r="N1869">
        <f>IFERROR(VLOOKUP(C1869,Customers!$A:$E,3,FALSE),"")</f>
        <v>60</v>
      </c>
      <c r="O1869" s="33" t="str">
        <f>IFERROR(VLOOKUP(E1869,Sales_Reps!$A:$C,3,FALSE),"")</f>
        <v>South</v>
      </c>
      <c r="P1869" s="33">
        <f>IFERROR(VLOOKUP(D1869,Products!$A:$D,4,FALSE),"")</f>
        <v>2827</v>
      </c>
      <c r="Q1869" s="33">
        <f t="shared" si="29"/>
        <v>0.5926512968299712</v>
      </c>
    </row>
    <row r="1870" spans="1:17" x14ac:dyDescent="0.3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  <c r="L1870" t="str">
        <f>IFERROR(VLOOKUP(D1870,Products!$A:$C,3,FALSE),"")</f>
        <v>Home</v>
      </c>
      <c r="M1870" t="str">
        <f>IFERROR(VLOOKUP(C1870,Customers!$A:$E,5,FALSE),"")</f>
        <v>Retail</v>
      </c>
      <c r="N1870">
        <f>IFERROR(VLOOKUP(C1870,Customers!$A:$E,3,FALSE),"")</f>
        <v>61</v>
      </c>
      <c r="O1870" s="33" t="str">
        <f>IFERROR(VLOOKUP(E1870,Sales_Reps!$A:$C,3,FALSE),"")</f>
        <v>South</v>
      </c>
      <c r="P1870" s="33">
        <f>IFERROR(VLOOKUP(D1870,Products!$A:$D,4,FALSE),"")</f>
        <v>2135</v>
      </c>
      <c r="Q1870" s="33">
        <f t="shared" si="29"/>
        <v>0.42761394101876676</v>
      </c>
    </row>
    <row r="1871" spans="1:17" x14ac:dyDescent="0.3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  <c r="L1871" t="str">
        <f>IFERROR(VLOOKUP(D1871,Products!$A:$C,3,FALSE),"")</f>
        <v>Home</v>
      </c>
      <c r="M1871" t="str">
        <f>IFERROR(VLOOKUP(C1871,Customers!$A:$E,5,FALSE),"")</f>
        <v>Retail</v>
      </c>
      <c r="N1871">
        <f>IFERROR(VLOOKUP(C1871,Customers!$A:$E,3,FALSE),"")</f>
        <v>26</v>
      </c>
      <c r="O1871" s="33" t="str">
        <f>IFERROR(VLOOKUP(E1871,Sales_Reps!$A:$C,3,FALSE),"")</f>
        <v>North</v>
      </c>
      <c r="P1871" s="33">
        <f>IFERROR(VLOOKUP(D1871,Products!$A:$D,4,FALSE),"")</f>
        <v>2135</v>
      </c>
      <c r="Q1871" s="33">
        <f t="shared" si="29"/>
        <v>0.42761394101876676</v>
      </c>
    </row>
    <row r="1872" spans="1:17" x14ac:dyDescent="0.3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  <c r="L1872" t="str">
        <f>IFERROR(VLOOKUP(D1872,Products!$A:$C,3,FALSE),"")</f>
        <v>Grocery</v>
      </c>
      <c r="M1872" t="str">
        <f>IFERROR(VLOOKUP(C1872,Customers!$A:$E,5,FALSE),"")</f>
        <v>Retail</v>
      </c>
      <c r="N1872">
        <f>IFERROR(VLOOKUP(C1872,Customers!$A:$E,3,FALSE),"")</f>
        <v>62</v>
      </c>
      <c r="O1872" s="33" t="str">
        <f>IFERROR(VLOOKUP(E1872,Sales_Reps!$A:$C,3,FALSE),"")</f>
        <v>South</v>
      </c>
      <c r="P1872" s="33">
        <f>IFERROR(VLOOKUP(D1872,Products!$A:$D,4,FALSE),"")</f>
        <v>1182</v>
      </c>
      <c r="Q1872" s="33">
        <f t="shared" si="29"/>
        <v>0.50336134453781511</v>
      </c>
    </row>
    <row r="1873" spans="1:17" x14ac:dyDescent="0.3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  <c r="L1873" t="str">
        <f>IFERROR(VLOOKUP(D1873,Products!$A:$C,3,FALSE),"")</f>
        <v>Home</v>
      </c>
      <c r="M1873" t="str">
        <f>IFERROR(VLOOKUP(C1873,Customers!$A:$E,5,FALSE),"")</f>
        <v>Retail</v>
      </c>
      <c r="N1873">
        <f>IFERROR(VLOOKUP(C1873,Customers!$A:$E,3,FALSE),"")</f>
        <v>44</v>
      </c>
      <c r="O1873" s="33" t="str">
        <f>IFERROR(VLOOKUP(E1873,Sales_Reps!$A:$C,3,FALSE),"")</f>
        <v>North</v>
      </c>
      <c r="P1873" s="33">
        <f>IFERROR(VLOOKUP(D1873,Products!$A:$D,4,FALSE),"")</f>
        <v>519</v>
      </c>
      <c r="Q1873" s="33">
        <f t="shared" si="29"/>
        <v>0.51944444444444449</v>
      </c>
    </row>
    <row r="1874" spans="1:17" x14ac:dyDescent="0.3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  <c r="L1874" t="str">
        <f>IFERROR(VLOOKUP(D1874,Products!$A:$C,3,FALSE),"")</f>
        <v>Sports</v>
      </c>
      <c r="M1874" t="str">
        <f>IFERROR(VLOOKUP(C1874,Customers!$A:$E,5,FALSE),"")</f>
        <v>Retail</v>
      </c>
      <c r="N1874">
        <f>IFERROR(VLOOKUP(C1874,Customers!$A:$E,3,FALSE),"")</f>
        <v>22</v>
      </c>
      <c r="O1874" s="33" t="str">
        <f>IFERROR(VLOOKUP(E1874,Sales_Reps!$A:$C,3,FALSE),"")</f>
        <v>South</v>
      </c>
      <c r="P1874" s="33">
        <f>IFERROR(VLOOKUP(D1874,Products!$A:$D,4,FALSE),"")</f>
        <v>302</v>
      </c>
      <c r="Q1874" s="33">
        <f t="shared" si="29"/>
        <v>0.35744680851063831</v>
      </c>
    </row>
    <row r="1875" spans="1:17" x14ac:dyDescent="0.3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  <c r="L1875" t="str">
        <f>IFERROR(VLOOKUP(D1875,Products!$A:$C,3,FALSE),"")</f>
        <v>Home</v>
      </c>
      <c r="M1875" t="str">
        <f>IFERROR(VLOOKUP(C1875,Customers!$A:$E,5,FALSE),"")</f>
        <v>Retail</v>
      </c>
      <c r="N1875">
        <f>IFERROR(VLOOKUP(C1875,Customers!$A:$E,3,FALSE),"")</f>
        <v>54</v>
      </c>
      <c r="O1875" s="33" t="str">
        <f>IFERROR(VLOOKUP(E1875,Sales_Reps!$A:$C,3,FALSE),"")</f>
        <v>West</v>
      </c>
      <c r="P1875" s="33">
        <f>IFERROR(VLOOKUP(D1875,Products!$A:$D,4,FALSE),"")</f>
        <v>288</v>
      </c>
      <c r="Q1875" s="33">
        <f t="shared" si="29"/>
        <v>0.22162162162162163</v>
      </c>
    </row>
    <row r="1876" spans="1:17" x14ac:dyDescent="0.3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  <c r="L1876" t="str">
        <f>IFERROR(VLOOKUP(D1876,Products!$A:$C,3,FALSE),"")</f>
        <v>Apparel</v>
      </c>
      <c r="M1876" t="str">
        <f>IFERROR(VLOOKUP(C1876,Customers!$A:$E,5,FALSE),"")</f>
        <v>SMB</v>
      </c>
      <c r="N1876">
        <f>IFERROR(VLOOKUP(C1876,Customers!$A:$E,3,FALSE),"")</f>
        <v>65</v>
      </c>
      <c r="O1876" s="33" t="str">
        <f>IFERROR(VLOOKUP(E1876,Sales_Reps!$A:$C,3,FALSE),"")</f>
        <v>North</v>
      </c>
      <c r="P1876" s="33">
        <f>IFERROR(VLOOKUP(D1876,Products!$A:$D,4,FALSE),"")</f>
        <v>1886</v>
      </c>
      <c r="Q1876" s="33">
        <f t="shared" si="29"/>
        <v>0.4031645569620253</v>
      </c>
    </row>
    <row r="1877" spans="1:17" x14ac:dyDescent="0.3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  <c r="L1877" t="str">
        <f>IFERROR(VLOOKUP(D1877,Products!$A:$C,3,FALSE),"")</f>
        <v>Apparel</v>
      </c>
      <c r="M1877" t="str">
        <f>IFERROR(VLOOKUP(C1877,Customers!$A:$E,5,FALSE),"")</f>
        <v>Retail</v>
      </c>
      <c r="N1877">
        <f>IFERROR(VLOOKUP(C1877,Customers!$A:$E,3,FALSE),"")</f>
        <v>59</v>
      </c>
      <c r="O1877" s="33" t="str">
        <f>IFERROR(VLOOKUP(E1877,Sales_Reps!$A:$C,3,FALSE),"")</f>
        <v>West</v>
      </c>
      <c r="P1877" s="33">
        <f>IFERROR(VLOOKUP(D1877,Products!$A:$D,4,FALSE),"")</f>
        <v>2629</v>
      </c>
      <c r="Q1877" s="33">
        <f t="shared" si="29"/>
        <v>0.26151685393258428</v>
      </c>
    </row>
    <row r="1878" spans="1:17" x14ac:dyDescent="0.3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  <c r="L1878" t="str">
        <f>IFERROR(VLOOKUP(D1878,Products!$A:$C,3,FALSE),"")</f>
        <v>Home</v>
      </c>
      <c r="M1878" t="str">
        <f>IFERROR(VLOOKUP(C1878,Customers!$A:$E,5,FALSE),"")</f>
        <v>SMB</v>
      </c>
      <c r="N1878">
        <f>IFERROR(VLOOKUP(C1878,Customers!$A:$E,3,FALSE),"")</f>
        <v>64</v>
      </c>
      <c r="O1878" s="33" t="str">
        <f>IFERROR(VLOOKUP(E1878,Sales_Reps!$A:$C,3,FALSE),"")</f>
        <v>East</v>
      </c>
      <c r="P1878" s="33">
        <f>IFERROR(VLOOKUP(D1878,Products!$A:$D,4,FALSE),"")</f>
        <v>1143</v>
      </c>
      <c r="Q1878" s="33">
        <f t="shared" si="29"/>
        <v>0.43694581280788175</v>
      </c>
    </row>
    <row r="1879" spans="1:17" x14ac:dyDescent="0.3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  <c r="L1879" t="str">
        <f>IFERROR(VLOOKUP(D1879,Products!$A:$C,3,FALSE),"")</f>
        <v>Electronics</v>
      </c>
      <c r="M1879" t="str">
        <f>IFERROR(VLOOKUP(C1879,Customers!$A:$E,5,FALSE),"")</f>
        <v>Corporate</v>
      </c>
      <c r="N1879">
        <f>IFERROR(VLOOKUP(C1879,Customers!$A:$E,3,FALSE),"")</f>
        <v>35</v>
      </c>
      <c r="O1879" s="33" t="str">
        <f>IFERROR(VLOOKUP(E1879,Sales_Reps!$A:$C,3,FALSE),"")</f>
        <v>East</v>
      </c>
      <c r="P1879" s="33">
        <f>IFERROR(VLOOKUP(D1879,Products!$A:$D,4,FALSE),"")</f>
        <v>1149</v>
      </c>
      <c r="Q1879" s="33">
        <f t="shared" si="29"/>
        <v>0.56477272727272732</v>
      </c>
    </row>
    <row r="1880" spans="1:17" x14ac:dyDescent="0.3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  <c r="L1880" t="str">
        <f>IFERROR(VLOOKUP(D1880,Products!$A:$C,3,FALSE),"")</f>
        <v>Grocery</v>
      </c>
      <c r="M1880" t="str">
        <f>IFERROR(VLOOKUP(C1880,Customers!$A:$E,5,FALSE),"")</f>
        <v>Retail</v>
      </c>
      <c r="N1880">
        <f>IFERROR(VLOOKUP(C1880,Customers!$A:$E,3,FALSE),"")</f>
        <v>37</v>
      </c>
      <c r="O1880" s="33" t="str">
        <f>IFERROR(VLOOKUP(E1880,Sales_Reps!$A:$C,3,FALSE),"")</f>
        <v>North</v>
      </c>
      <c r="P1880" s="33">
        <f>IFERROR(VLOOKUP(D1880,Products!$A:$D,4,FALSE),"")</f>
        <v>1412</v>
      </c>
      <c r="Q1880" s="33">
        <f t="shared" si="29"/>
        <v>0.37797356828193834</v>
      </c>
    </row>
    <row r="1881" spans="1:17" x14ac:dyDescent="0.3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  <c r="L1881" t="str">
        <f>IFERROR(VLOOKUP(D1881,Products!$A:$C,3,FALSE),"")</f>
        <v>Home</v>
      </c>
      <c r="M1881" t="str">
        <f>IFERROR(VLOOKUP(C1881,Customers!$A:$E,5,FALSE),"")</f>
        <v>Retail</v>
      </c>
      <c r="N1881">
        <f>IFERROR(VLOOKUP(C1881,Customers!$A:$E,3,FALSE),"")</f>
        <v>44</v>
      </c>
      <c r="O1881" s="33" t="str">
        <f>IFERROR(VLOOKUP(E1881,Sales_Reps!$A:$C,3,FALSE),"")</f>
        <v>North</v>
      </c>
      <c r="P1881" s="33">
        <f>IFERROR(VLOOKUP(D1881,Products!$A:$D,4,FALSE),"")</f>
        <v>288</v>
      </c>
      <c r="Q1881" s="33">
        <f t="shared" si="29"/>
        <v>0.22162162162162163</v>
      </c>
    </row>
    <row r="1882" spans="1:17" x14ac:dyDescent="0.3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  <c r="L1882" t="str">
        <f>IFERROR(VLOOKUP(D1882,Products!$A:$C,3,FALSE),"")</f>
        <v>Beauty</v>
      </c>
      <c r="M1882" t="str">
        <f>IFERROR(VLOOKUP(C1882,Customers!$A:$E,5,FALSE),"")</f>
        <v>SMB</v>
      </c>
      <c r="N1882">
        <f>IFERROR(VLOOKUP(C1882,Customers!$A:$E,3,FALSE),"")</f>
        <v>55</v>
      </c>
      <c r="O1882" s="33" t="str">
        <f>IFERROR(VLOOKUP(E1882,Sales_Reps!$A:$C,3,FALSE),"")</f>
        <v>East</v>
      </c>
      <c r="P1882" s="33">
        <f>IFERROR(VLOOKUP(D1882,Products!$A:$D,4,FALSE),"")</f>
        <v>2237</v>
      </c>
      <c r="Q1882" s="33">
        <f t="shared" si="29"/>
        <v>0.56137254901960787</v>
      </c>
    </row>
    <row r="1883" spans="1:17" x14ac:dyDescent="0.3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  <c r="L1883" t="str">
        <f>IFERROR(VLOOKUP(D1883,Products!$A:$C,3,FALSE),"")</f>
        <v>Home</v>
      </c>
      <c r="M1883" t="str">
        <f>IFERROR(VLOOKUP(C1883,Customers!$A:$E,5,FALSE),"")</f>
        <v>Retail</v>
      </c>
      <c r="N1883">
        <f>IFERROR(VLOOKUP(C1883,Customers!$A:$E,3,FALSE),"")</f>
        <v>22</v>
      </c>
      <c r="O1883" s="33" t="str">
        <f>IFERROR(VLOOKUP(E1883,Sales_Reps!$A:$C,3,FALSE),"")</f>
        <v>East</v>
      </c>
      <c r="P1883" s="33">
        <f>IFERROR(VLOOKUP(D1883,Products!$A:$D,4,FALSE),"")</f>
        <v>288</v>
      </c>
      <c r="Q1883" s="33">
        <f t="shared" si="29"/>
        <v>0.22162162162162163</v>
      </c>
    </row>
    <row r="1884" spans="1:17" x14ac:dyDescent="0.3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  <c r="L1884" t="str">
        <f>IFERROR(VLOOKUP(D1884,Products!$A:$C,3,FALSE),"")</f>
        <v>Grocery</v>
      </c>
      <c r="M1884" t="str">
        <f>IFERROR(VLOOKUP(C1884,Customers!$A:$E,5,FALSE),"")</f>
        <v>SMB</v>
      </c>
      <c r="N1884">
        <f>IFERROR(VLOOKUP(C1884,Customers!$A:$E,3,FALSE),"")</f>
        <v>24</v>
      </c>
      <c r="O1884" s="33" t="str">
        <f>IFERROR(VLOOKUP(E1884,Sales_Reps!$A:$C,3,FALSE),"")</f>
        <v>North</v>
      </c>
      <c r="P1884" s="33">
        <f>IFERROR(VLOOKUP(D1884,Products!$A:$D,4,FALSE),"")</f>
        <v>434</v>
      </c>
      <c r="Q1884" s="33">
        <f t="shared" si="29"/>
        <v>0.5525773195876289</v>
      </c>
    </row>
    <row r="1885" spans="1:17" x14ac:dyDescent="0.3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  <c r="L1885" t="str">
        <f>IFERROR(VLOOKUP(D1885,Products!$A:$C,3,FALSE),"")</f>
        <v>Grocery</v>
      </c>
      <c r="M1885" t="str">
        <f>IFERROR(VLOOKUP(C1885,Customers!$A:$E,5,FALSE),"")</f>
        <v/>
      </c>
      <c r="N1885" t="str">
        <f>IFERROR(VLOOKUP(C1885,Customers!$A:$E,3,FALSE),"")</f>
        <v/>
      </c>
      <c r="O1885" s="33" t="str">
        <f>IFERROR(VLOOKUP(E1885,Sales_Reps!$A:$C,3,FALSE),"")</f>
        <v>West</v>
      </c>
      <c r="P1885" s="33">
        <f>IFERROR(VLOOKUP(D1885,Products!$A:$D,4,FALSE),"")</f>
        <v>1010</v>
      </c>
      <c r="Q1885" s="33">
        <f t="shared" si="29"/>
        <v>0.54298642533936647</v>
      </c>
    </row>
    <row r="1886" spans="1:17" x14ac:dyDescent="0.3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  <c r="L1886" t="str">
        <f>IFERROR(VLOOKUP(D1886,Products!$A:$C,3,FALSE),"")</f>
        <v>Beauty</v>
      </c>
      <c r="M1886" t="str">
        <f>IFERROR(VLOOKUP(C1886,Customers!$A:$E,5,FALSE),"")</f>
        <v>Corporate</v>
      </c>
      <c r="N1886">
        <f>IFERROR(VLOOKUP(C1886,Customers!$A:$E,3,FALSE),"")</f>
        <v>27</v>
      </c>
      <c r="O1886" s="33" t="str">
        <f>IFERROR(VLOOKUP(E1886,Sales_Reps!$A:$C,3,FALSE),"")</f>
        <v>North</v>
      </c>
      <c r="P1886" s="33">
        <f>IFERROR(VLOOKUP(D1886,Products!$A:$D,4,FALSE),"")</f>
        <v>1222</v>
      </c>
      <c r="Q1886" s="33">
        <f t="shared" si="29"/>
        <v>0.2593939393939394</v>
      </c>
    </row>
    <row r="1887" spans="1:17" x14ac:dyDescent="0.3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  <c r="L1887" t="str">
        <f>IFERROR(VLOOKUP(D1887,Products!$A:$C,3,FALSE),"")</f>
        <v>Sports</v>
      </c>
      <c r="M1887" t="str">
        <f>IFERROR(VLOOKUP(C1887,Customers!$A:$E,5,FALSE),"")</f>
        <v>Retail</v>
      </c>
      <c r="N1887">
        <f>IFERROR(VLOOKUP(C1887,Customers!$A:$E,3,FALSE),"")</f>
        <v>65</v>
      </c>
      <c r="O1887" s="33" t="str">
        <f>IFERROR(VLOOKUP(E1887,Sales_Reps!$A:$C,3,FALSE),"")</f>
        <v>North</v>
      </c>
      <c r="P1887" s="33">
        <f>IFERROR(VLOOKUP(D1887,Products!$A:$D,4,FALSE),"")</f>
        <v>2827</v>
      </c>
      <c r="Q1887" s="33">
        <f t="shared" si="29"/>
        <v>0.5926512968299712</v>
      </c>
    </row>
    <row r="1888" spans="1:17" x14ac:dyDescent="0.3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  <c r="L1888" t="str">
        <f>IFERROR(VLOOKUP(D1888,Products!$A:$C,3,FALSE),"")</f>
        <v>Grocery</v>
      </c>
      <c r="M1888" t="str">
        <f>IFERROR(VLOOKUP(C1888,Customers!$A:$E,5,FALSE),"")</f>
        <v>Corporate</v>
      </c>
      <c r="N1888">
        <f>IFERROR(VLOOKUP(C1888,Customers!$A:$E,3,FALSE),"")</f>
        <v>29</v>
      </c>
      <c r="O1888" s="33" t="str">
        <f>IFERROR(VLOOKUP(E1888,Sales_Reps!$A:$C,3,FALSE),"")</f>
        <v>East</v>
      </c>
      <c r="P1888" s="33">
        <f>IFERROR(VLOOKUP(D1888,Products!$A:$D,4,FALSE),"")</f>
        <v>1010</v>
      </c>
      <c r="Q1888" s="33">
        <f t="shared" si="29"/>
        <v>0.54298642533936647</v>
      </c>
    </row>
    <row r="1889" spans="1:17" x14ac:dyDescent="0.3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  <c r="L1889" t="str">
        <f>IFERROR(VLOOKUP(D1889,Products!$A:$C,3,FALSE),"")</f>
        <v>Electronics</v>
      </c>
      <c r="M1889" t="str">
        <f>IFERROR(VLOOKUP(C1889,Customers!$A:$E,5,FALSE),"")</f>
        <v>SMB</v>
      </c>
      <c r="N1889">
        <f>IFERROR(VLOOKUP(C1889,Customers!$A:$E,3,FALSE),"")</f>
        <v>60</v>
      </c>
      <c r="O1889" s="33" t="str">
        <f>IFERROR(VLOOKUP(E1889,Sales_Reps!$A:$C,3,FALSE),"")</f>
        <v>South</v>
      </c>
      <c r="P1889" s="33">
        <f>IFERROR(VLOOKUP(D1889,Products!$A:$D,4,FALSE),"")</f>
        <v>1052</v>
      </c>
      <c r="Q1889" s="33">
        <f t="shared" si="29"/>
        <v>0.5953846153846154</v>
      </c>
    </row>
    <row r="1890" spans="1:17" x14ac:dyDescent="0.3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  <c r="L1890" t="str">
        <f>IFERROR(VLOOKUP(D1890,Products!$A:$C,3,FALSE),"")</f>
        <v>Sports</v>
      </c>
      <c r="M1890" t="str">
        <f>IFERROR(VLOOKUP(C1890,Customers!$A:$E,5,FALSE),"")</f>
        <v>Retail</v>
      </c>
      <c r="N1890">
        <f>IFERROR(VLOOKUP(C1890,Customers!$A:$E,3,FALSE),"")</f>
        <v>35</v>
      </c>
      <c r="O1890" s="33" t="str">
        <f>IFERROR(VLOOKUP(E1890,Sales_Reps!$A:$C,3,FALSE),"")</f>
        <v>North</v>
      </c>
      <c r="P1890" s="33">
        <f>IFERROR(VLOOKUP(D1890,Products!$A:$D,4,FALSE),"")</f>
        <v>1860</v>
      </c>
      <c r="Q1890" s="33">
        <f t="shared" si="29"/>
        <v>0.50793650793650791</v>
      </c>
    </row>
    <row r="1891" spans="1:17" x14ac:dyDescent="0.3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  <c r="L1891" t="str">
        <f>IFERROR(VLOOKUP(D1891,Products!$A:$C,3,FALSE),"")</f>
        <v>Sports</v>
      </c>
      <c r="M1891" t="str">
        <f>IFERROR(VLOOKUP(C1891,Customers!$A:$E,5,FALSE),"")</f>
        <v>Corporate</v>
      </c>
      <c r="N1891">
        <f>IFERROR(VLOOKUP(C1891,Customers!$A:$E,3,FALSE),"")</f>
        <v>55</v>
      </c>
      <c r="O1891" s="33" t="str">
        <f>IFERROR(VLOOKUP(E1891,Sales_Reps!$A:$C,3,FALSE),"")</f>
        <v>South</v>
      </c>
      <c r="P1891" s="33">
        <f>IFERROR(VLOOKUP(D1891,Products!$A:$D,4,FALSE),"")</f>
        <v>974</v>
      </c>
      <c r="Q1891" s="33">
        <f t="shared" si="29"/>
        <v>0.59416666666666662</v>
      </c>
    </row>
    <row r="1892" spans="1:17" x14ac:dyDescent="0.3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  <c r="L1892" t="str">
        <f>IFERROR(VLOOKUP(D1892,Products!$A:$C,3,FALSE),"")</f>
        <v>Electronics</v>
      </c>
      <c r="M1892" t="str">
        <f>IFERROR(VLOOKUP(C1892,Customers!$A:$E,5,FALSE),"")</f>
        <v>Retail</v>
      </c>
      <c r="N1892">
        <f>IFERROR(VLOOKUP(C1892,Customers!$A:$E,3,FALSE),"")</f>
        <v>25</v>
      </c>
      <c r="O1892" s="33" t="str">
        <f>IFERROR(VLOOKUP(E1892,Sales_Reps!$A:$C,3,FALSE),"")</f>
        <v>North</v>
      </c>
      <c r="P1892" s="33">
        <f>IFERROR(VLOOKUP(D1892,Products!$A:$D,4,FALSE),"")</f>
        <v>128</v>
      </c>
      <c r="Q1892" s="33">
        <f t="shared" si="29"/>
        <v>0.57333333333333336</v>
      </c>
    </row>
    <row r="1893" spans="1:17" x14ac:dyDescent="0.3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  <c r="L1893" t="str">
        <f>IFERROR(VLOOKUP(D1893,Products!$A:$C,3,FALSE),"")</f>
        <v>Grocery</v>
      </c>
      <c r="M1893" t="str">
        <f>IFERROR(VLOOKUP(C1893,Customers!$A:$E,5,FALSE),"")</f>
        <v>Corporate</v>
      </c>
      <c r="N1893">
        <f>IFERROR(VLOOKUP(C1893,Customers!$A:$E,3,FALSE),"")</f>
        <v>55</v>
      </c>
      <c r="O1893" s="33" t="str">
        <f>IFERROR(VLOOKUP(E1893,Sales_Reps!$A:$C,3,FALSE),"")</f>
        <v>South</v>
      </c>
      <c r="P1893" s="33">
        <f>IFERROR(VLOOKUP(D1893,Products!$A:$D,4,FALSE),"")</f>
        <v>2214</v>
      </c>
      <c r="Q1893" s="33">
        <f t="shared" si="29"/>
        <v>0.39508196721311473</v>
      </c>
    </row>
    <row r="1894" spans="1:17" x14ac:dyDescent="0.3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  <c r="L1894" t="str">
        <f>IFERROR(VLOOKUP(D1894,Products!$A:$C,3,FALSE),"")</f>
        <v>Sports</v>
      </c>
      <c r="M1894" t="str">
        <f>IFERROR(VLOOKUP(C1894,Customers!$A:$E,5,FALSE),"")</f>
        <v>Retail</v>
      </c>
      <c r="N1894">
        <f>IFERROR(VLOOKUP(C1894,Customers!$A:$E,3,FALSE),"")</f>
        <v>42</v>
      </c>
      <c r="O1894" s="33" t="str">
        <f>IFERROR(VLOOKUP(E1894,Sales_Reps!$A:$C,3,FALSE),"")</f>
        <v>South</v>
      </c>
      <c r="P1894" s="33">
        <f>IFERROR(VLOOKUP(D1894,Products!$A:$D,4,FALSE),"")</f>
        <v>2467</v>
      </c>
      <c r="Q1894" s="33">
        <f t="shared" si="29"/>
        <v>0.28492753623188405</v>
      </c>
    </row>
    <row r="1895" spans="1:17" x14ac:dyDescent="0.3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  <c r="L1895" t="str">
        <f>IFERROR(VLOOKUP(D1895,Products!$A:$C,3,FALSE),"")</f>
        <v>Apparel</v>
      </c>
      <c r="M1895" t="str">
        <f>IFERROR(VLOOKUP(C1895,Customers!$A:$E,5,FALSE),"")</f>
        <v>SMB</v>
      </c>
      <c r="N1895">
        <f>IFERROR(VLOOKUP(C1895,Customers!$A:$E,3,FALSE),"")</f>
        <v>65</v>
      </c>
      <c r="O1895" s="33" t="str">
        <f>IFERROR(VLOOKUP(E1895,Sales_Reps!$A:$C,3,FALSE),"")</f>
        <v>North</v>
      </c>
      <c r="P1895" s="33">
        <f>IFERROR(VLOOKUP(D1895,Products!$A:$D,4,FALSE),"")</f>
        <v>1748</v>
      </c>
      <c r="Q1895" s="33">
        <f t="shared" si="29"/>
        <v>0.49333333333333335</v>
      </c>
    </row>
    <row r="1896" spans="1:17" x14ac:dyDescent="0.3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  <c r="L1896" t="str">
        <f>IFERROR(VLOOKUP(D1896,Products!$A:$C,3,FALSE),"")</f>
        <v>Grocery</v>
      </c>
      <c r="M1896" t="str">
        <f>IFERROR(VLOOKUP(C1896,Customers!$A:$E,5,FALSE),"")</f>
        <v>Corporate</v>
      </c>
      <c r="N1896">
        <f>IFERROR(VLOOKUP(C1896,Customers!$A:$E,3,FALSE),"")</f>
        <v>46</v>
      </c>
      <c r="O1896" s="33" t="str">
        <f>IFERROR(VLOOKUP(E1896,Sales_Reps!$A:$C,3,FALSE),"")</f>
        <v>North</v>
      </c>
      <c r="P1896" s="33">
        <f>IFERROR(VLOOKUP(D1896,Products!$A:$D,4,FALSE),"")</f>
        <v>2027</v>
      </c>
      <c r="Q1896" s="33">
        <f t="shared" si="29"/>
        <v>0.50196560196560192</v>
      </c>
    </row>
    <row r="1897" spans="1:17" x14ac:dyDescent="0.3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  <c r="L1897" t="str">
        <f>IFERROR(VLOOKUP(D1897,Products!$A:$C,3,FALSE),"")</f>
        <v>Sports</v>
      </c>
      <c r="M1897" t="str">
        <f>IFERROR(VLOOKUP(C1897,Customers!$A:$E,5,FALSE),"")</f>
        <v>SMB</v>
      </c>
      <c r="N1897">
        <f>IFERROR(VLOOKUP(C1897,Customers!$A:$E,3,FALSE),"")</f>
        <v>62</v>
      </c>
      <c r="O1897" s="33" t="str">
        <f>IFERROR(VLOOKUP(E1897,Sales_Reps!$A:$C,3,FALSE),"")</f>
        <v>East</v>
      </c>
      <c r="P1897" s="33">
        <f>IFERROR(VLOOKUP(D1897,Products!$A:$D,4,FALSE),"")</f>
        <v>1860</v>
      </c>
      <c r="Q1897" s="33">
        <f t="shared" si="29"/>
        <v>0.50793650793650791</v>
      </c>
    </row>
    <row r="1898" spans="1:17" x14ac:dyDescent="0.3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  <c r="L1898" t="str">
        <f>IFERROR(VLOOKUP(D1898,Products!$A:$C,3,FALSE),"")</f>
        <v>Grocery</v>
      </c>
      <c r="M1898" t="str">
        <f>IFERROR(VLOOKUP(C1898,Customers!$A:$E,5,FALSE),"")</f>
        <v>Retail</v>
      </c>
      <c r="N1898">
        <f>IFERROR(VLOOKUP(C1898,Customers!$A:$E,3,FALSE),"")</f>
        <v>35</v>
      </c>
      <c r="O1898" s="33" t="str">
        <f>IFERROR(VLOOKUP(E1898,Sales_Reps!$A:$C,3,FALSE),"")</f>
        <v>North</v>
      </c>
      <c r="P1898" s="33">
        <f>IFERROR(VLOOKUP(D1898,Products!$A:$D,4,FALSE),"")</f>
        <v>1435</v>
      </c>
      <c r="Q1898" s="33">
        <f t="shared" si="29"/>
        <v>0.48007246376811596</v>
      </c>
    </row>
    <row r="1899" spans="1:17" x14ac:dyDescent="0.3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  <c r="L1899" t="str">
        <f>IFERROR(VLOOKUP(D1899,Products!$A:$C,3,FALSE),"")</f>
        <v>Beauty</v>
      </c>
      <c r="M1899" t="str">
        <f>IFERROR(VLOOKUP(C1899,Customers!$A:$E,5,FALSE),"")</f>
        <v>Corporate</v>
      </c>
      <c r="N1899">
        <f>IFERROR(VLOOKUP(C1899,Customers!$A:$E,3,FALSE),"")</f>
        <v>32</v>
      </c>
      <c r="O1899" s="33" t="str">
        <f>IFERROR(VLOOKUP(E1899,Sales_Reps!$A:$C,3,FALSE),"")</f>
        <v>West</v>
      </c>
      <c r="P1899" s="33">
        <f>IFERROR(VLOOKUP(D1899,Products!$A:$D,4,FALSE),"")</f>
        <v>2768</v>
      </c>
      <c r="Q1899" s="33">
        <f t="shared" si="29"/>
        <v>0.43278688524590164</v>
      </c>
    </row>
    <row r="1900" spans="1:17" x14ac:dyDescent="0.3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  <c r="L1900" t="str">
        <f>IFERROR(VLOOKUP(D1900,Products!$A:$C,3,FALSE),"")</f>
        <v>Grocery</v>
      </c>
      <c r="M1900" t="str">
        <f>IFERROR(VLOOKUP(C1900,Customers!$A:$E,5,FALSE),"")</f>
        <v>Retail</v>
      </c>
      <c r="N1900">
        <f>IFERROR(VLOOKUP(C1900,Customers!$A:$E,3,FALSE),"")</f>
        <v>52</v>
      </c>
      <c r="O1900" s="33" t="str">
        <f>IFERROR(VLOOKUP(E1900,Sales_Reps!$A:$C,3,FALSE),"")</f>
        <v>East</v>
      </c>
      <c r="P1900" s="33">
        <f>IFERROR(VLOOKUP(D1900,Products!$A:$D,4,FALSE),"")</f>
        <v>1182</v>
      </c>
      <c r="Q1900" s="33">
        <f t="shared" si="29"/>
        <v>0.50336134453781511</v>
      </c>
    </row>
    <row r="1901" spans="1:17" x14ac:dyDescent="0.3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  <c r="L1901" t="str">
        <f>IFERROR(VLOOKUP(D1901,Products!$A:$C,3,FALSE),"")</f>
        <v>Beauty</v>
      </c>
      <c r="M1901" t="str">
        <f>IFERROR(VLOOKUP(C1901,Customers!$A:$E,5,FALSE),"")</f>
        <v>Corporate</v>
      </c>
      <c r="N1901">
        <f>IFERROR(VLOOKUP(C1901,Customers!$A:$E,3,FALSE),"")</f>
        <v>31</v>
      </c>
      <c r="O1901" s="33" t="str">
        <f>IFERROR(VLOOKUP(E1901,Sales_Reps!$A:$C,3,FALSE),"")</f>
        <v>North</v>
      </c>
      <c r="P1901" s="33">
        <f>IFERROR(VLOOKUP(D1901,Products!$A:$D,4,FALSE),"")</f>
        <v>1219</v>
      </c>
      <c r="Q1901" s="33">
        <f t="shared" si="29"/>
        <v>0.46768558951965067</v>
      </c>
    </row>
    <row r="1902" spans="1:17" x14ac:dyDescent="0.3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  <c r="L1902" t="str">
        <f>IFERROR(VLOOKUP(D1902,Products!$A:$C,3,FALSE),"")</f>
        <v>Grocery</v>
      </c>
      <c r="M1902" t="str">
        <f>IFERROR(VLOOKUP(C1902,Customers!$A:$E,5,FALSE),"")</f>
        <v>Corporate</v>
      </c>
      <c r="N1902">
        <f>IFERROR(VLOOKUP(C1902,Customers!$A:$E,3,FALSE),"")</f>
        <v>32</v>
      </c>
      <c r="O1902" s="33" t="str">
        <f>IFERROR(VLOOKUP(E1902,Sales_Reps!$A:$C,3,FALSE),"")</f>
        <v>North</v>
      </c>
      <c r="P1902" s="33">
        <f>IFERROR(VLOOKUP(D1902,Products!$A:$D,4,FALSE),"")</f>
        <v>1435</v>
      </c>
      <c r="Q1902" s="33">
        <f t="shared" si="29"/>
        <v>0.48007246376811596</v>
      </c>
    </row>
    <row r="1903" spans="1:17" x14ac:dyDescent="0.3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  <c r="L1903" t="str">
        <f>IFERROR(VLOOKUP(D1903,Products!$A:$C,3,FALSE),"")</f>
        <v>Grocery</v>
      </c>
      <c r="M1903" t="str">
        <f>IFERROR(VLOOKUP(C1903,Customers!$A:$E,5,FALSE),"")</f>
        <v>Retail</v>
      </c>
      <c r="N1903">
        <f>IFERROR(VLOOKUP(C1903,Customers!$A:$E,3,FALSE),"")</f>
        <v>49</v>
      </c>
      <c r="O1903" s="33" t="str">
        <f>IFERROR(VLOOKUP(E1903,Sales_Reps!$A:$C,3,FALSE),"")</f>
        <v>West</v>
      </c>
      <c r="P1903" s="33">
        <f>IFERROR(VLOOKUP(D1903,Products!$A:$D,4,FALSE),"")</f>
        <v>2911</v>
      </c>
      <c r="Q1903" s="33">
        <f t="shared" si="29"/>
        <v>0.28300492610837441</v>
      </c>
    </row>
    <row r="1904" spans="1:17" x14ac:dyDescent="0.3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  <c r="L1904" t="str">
        <f>IFERROR(VLOOKUP(D1904,Products!$A:$C,3,FALSE),"")</f>
        <v>Electronics</v>
      </c>
      <c r="M1904" t="str">
        <f>IFERROR(VLOOKUP(C1904,Customers!$A:$E,5,FALSE),"")</f>
        <v>Retail</v>
      </c>
      <c r="N1904">
        <f>IFERROR(VLOOKUP(C1904,Customers!$A:$E,3,FALSE),"")</f>
        <v>28</v>
      </c>
      <c r="O1904" s="33" t="str">
        <f>IFERROR(VLOOKUP(E1904,Sales_Reps!$A:$C,3,FALSE),"")</f>
        <v>North</v>
      </c>
      <c r="P1904" s="33">
        <f>IFERROR(VLOOKUP(D1904,Products!$A:$D,4,FALSE),"")</f>
        <v>1149</v>
      </c>
      <c r="Q1904" s="33">
        <f t="shared" si="29"/>
        <v>0.56477272727272732</v>
      </c>
    </row>
    <row r="1905" spans="1:17" x14ac:dyDescent="0.3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  <c r="L1905" t="str">
        <f>IFERROR(VLOOKUP(D1905,Products!$A:$C,3,FALSE),"")</f>
        <v>Home</v>
      </c>
      <c r="M1905" t="str">
        <f>IFERROR(VLOOKUP(C1905,Customers!$A:$E,5,FALSE),"")</f>
        <v>Retail</v>
      </c>
      <c r="N1905">
        <f>IFERROR(VLOOKUP(C1905,Customers!$A:$E,3,FALSE),"")</f>
        <v>36</v>
      </c>
      <c r="O1905" s="33" t="str">
        <f>IFERROR(VLOOKUP(E1905,Sales_Reps!$A:$C,3,FALSE),"")</f>
        <v>North</v>
      </c>
      <c r="P1905" s="33">
        <f>IFERROR(VLOOKUP(D1905,Products!$A:$D,4,FALSE),"")</f>
        <v>1850</v>
      </c>
      <c r="Q1905" s="33">
        <f t="shared" si="29"/>
        <v>0.59869848156182215</v>
      </c>
    </row>
    <row r="1906" spans="1:17" x14ac:dyDescent="0.3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  <c r="L1906" t="str">
        <f>IFERROR(VLOOKUP(D1906,Products!$A:$C,3,FALSE),"")</f>
        <v>Grocery</v>
      </c>
      <c r="M1906" t="str">
        <f>IFERROR(VLOOKUP(C1906,Customers!$A:$E,5,FALSE),"")</f>
        <v>Corporate</v>
      </c>
      <c r="N1906">
        <f>IFERROR(VLOOKUP(C1906,Customers!$A:$E,3,FALSE),"")</f>
        <v>29</v>
      </c>
      <c r="O1906" s="33" t="str">
        <f>IFERROR(VLOOKUP(E1906,Sales_Reps!$A:$C,3,FALSE),"")</f>
        <v>West</v>
      </c>
      <c r="P1906" s="33">
        <f>IFERROR(VLOOKUP(D1906,Products!$A:$D,4,FALSE),"")</f>
        <v>1010</v>
      </c>
      <c r="Q1906" s="33">
        <f t="shared" si="29"/>
        <v>0.54298642533936647</v>
      </c>
    </row>
    <row r="1907" spans="1:17" x14ac:dyDescent="0.3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  <c r="L1907" t="str">
        <f>IFERROR(VLOOKUP(D1907,Products!$A:$C,3,FALSE),"")</f>
        <v>Grocery</v>
      </c>
      <c r="M1907" t="str">
        <f>IFERROR(VLOOKUP(C1907,Customers!$A:$E,5,FALSE),"")</f>
        <v>SMB</v>
      </c>
      <c r="N1907">
        <f>IFERROR(VLOOKUP(C1907,Customers!$A:$E,3,FALSE),"")</f>
        <v>29</v>
      </c>
      <c r="O1907" s="33" t="str">
        <f>IFERROR(VLOOKUP(E1907,Sales_Reps!$A:$C,3,FALSE),"")</f>
        <v>South</v>
      </c>
      <c r="P1907" s="33">
        <f>IFERROR(VLOOKUP(D1907,Products!$A:$D,4,FALSE),"")</f>
        <v>1010</v>
      </c>
      <c r="Q1907" s="33">
        <f t="shared" si="29"/>
        <v>0.54298642533936647</v>
      </c>
    </row>
    <row r="1908" spans="1:17" x14ac:dyDescent="0.3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  <c r="L1908" t="str">
        <f>IFERROR(VLOOKUP(D1908,Products!$A:$C,3,FALSE),"")</f>
        <v>Home</v>
      </c>
      <c r="M1908" t="str">
        <f>IFERROR(VLOOKUP(C1908,Customers!$A:$E,5,FALSE),"")</f>
        <v>SMB</v>
      </c>
      <c r="N1908">
        <f>IFERROR(VLOOKUP(C1908,Customers!$A:$E,3,FALSE),"")</f>
        <v>44</v>
      </c>
      <c r="O1908" s="33" t="str">
        <f>IFERROR(VLOOKUP(E1908,Sales_Reps!$A:$C,3,FALSE),"")</f>
        <v>South</v>
      </c>
      <c r="P1908" s="33">
        <f>IFERROR(VLOOKUP(D1908,Products!$A:$D,4,FALSE),"")</f>
        <v>464</v>
      </c>
      <c r="Q1908" s="33">
        <f t="shared" si="29"/>
        <v>0.57431192660550456</v>
      </c>
    </row>
    <row r="1909" spans="1:17" x14ac:dyDescent="0.3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  <c r="L1909" t="str">
        <f>IFERROR(VLOOKUP(D1909,Products!$A:$C,3,FALSE),"")</f>
        <v>Home</v>
      </c>
      <c r="M1909" t="str">
        <f>IFERROR(VLOOKUP(C1909,Customers!$A:$E,5,FALSE),"")</f>
        <v>Retail</v>
      </c>
      <c r="N1909">
        <f>IFERROR(VLOOKUP(C1909,Customers!$A:$E,3,FALSE),"")</f>
        <v>44</v>
      </c>
      <c r="O1909" s="33" t="str">
        <f>IFERROR(VLOOKUP(E1909,Sales_Reps!$A:$C,3,FALSE),"")</f>
        <v>North</v>
      </c>
      <c r="P1909" s="33">
        <f>IFERROR(VLOOKUP(D1909,Products!$A:$D,4,FALSE),"")</f>
        <v>288</v>
      </c>
      <c r="Q1909" s="33">
        <f t="shared" si="29"/>
        <v>0.22162162162162163</v>
      </c>
    </row>
    <row r="1910" spans="1:17" x14ac:dyDescent="0.3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  <c r="L1910" t="str">
        <f>IFERROR(VLOOKUP(D1910,Products!$A:$C,3,FALSE),"")</f>
        <v>Electronics</v>
      </c>
      <c r="M1910" t="str">
        <f>IFERROR(VLOOKUP(C1910,Customers!$A:$E,5,FALSE),"")</f>
        <v>Retail</v>
      </c>
      <c r="N1910">
        <f>IFERROR(VLOOKUP(C1910,Customers!$A:$E,3,FALSE),"")</f>
        <v>57</v>
      </c>
      <c r="O1910" s="33" t="str">
        <f>IFERROR(VLOOKUP(E1910,Sales_Reps!$A:$C,3,FALSE),"")</f>
        <v>West</v>
      </c>
      <c r="P1910" s="33">
        <f>IFERROR(VLOOKUP(D1910,Products!$A:$D,4,FALSE),"")</f>
        <v>1665</v>
      </c>
      <c r="Q1910" s="33">
        <f t="shared" si="29"/>
        <v>0.53361344537815125</v>
      </c>
    </row>
    <row r="1911" spans="1:17" x14ac:dyDescent="0.3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  <c r="L1911" t="str">
        <f>IFERROR(VLOOKUP(D1911,Products!$A:$C,3,FALSE),"")</f>
        <v>Home</v>
      </c>
      <c r="M1911" t="str">
        <f>IFERROR(VLOOKUP(C1911,Customers!$A:$E,5,FALSE),"")</f>
        <v>Retail</v>
      </c>
      <c r="N1911">
        <f>IFERROR(VLOOKUP(C1911,Customers!$A:$E,3,FALSE),"")</f>
        <v>42</v>
      </c>
      <c r="O1911" s="33" t="str">
        <f>IFERROR(VLOOKUP(E1911,Sales_Reps!$A:$C,3,FALSE),"")</f>
        <v>South</v>
      </c>
      <c r="P1911" s="33">
        <f>IFERROR(VLOOKUP(D1911,Products!$A:$D,4,FALSE),"")</f>
        <v>1556</v>
      </c>
      <c r="Q1911" s="33">
        <f t="shared" si="29"/>
        <v>0.52123076923076928</v>
      </c>
    </row>
    <row r="1912" spans="1:17" x14ac:dyDescent="0.3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  <c r="L1912" t="str">
        <f>IFERROR(VLOOKUP(D1912,Products!$A:$C,3,FALSE),"")</f>
        <v>Home</v>
      </c>
      <c r="M1912" t="str">
        <f>IFERROR(VLOOKUP(C1912,Customers!$A:$E,5,FALSE),"")</f>
        <v>Corporate</v>
      </c>
      <c r="N1912">
        <f>IFERROR(VLOOKUP(C1912,Customers!$A:$E,3,FALSE),"")</f>
        <v>62</v>
      </c>
      <c r="O1912" s="33" t="str">
        <f>IFERROR(VLOOKUP(E1912,Sales_Reps!$A:$C,3,FALSE),"")</f>
        <v>West</v>
      </c>
      <c r="P1912" s="33">
        <f>IFERROR(VLOOKUP(D1912,Products!$A:$D,4,FALSE),"")</f>
        <v>1556</v>
      </c>
      <c r="Q1912" s="33">
        <f t="shared" si="29"/>
        <v>0.52123076923076928</v>
      </c>
    </row>
    <row r="1913" spans="1:17" x14ac:dyDescent="0.3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  <c r="L1913" t="str">
        <f>IFERROR(VLOOKUP(D1913,Products!$A:$C,3,FALSE),"")</f>
        <v>Sports</v>
      </c>
      <c r="M1913" t="str">
        <f>IFERROR(VLOOKUP(C1913,Customers!$A:$E,5,FALSE),"")</f>
        <v>Retail</v>
      </c>
      <c r="N1913">
        <f>IFERROR(VLOOKUP(C1913,Customers!$A:$E,3,FALSE),"")</f>
        <v>49</v>
      </c>
      <c r="O1913" s="33" t="str">
        <f>IFERROR(VLOOKUP(E1913,Sales_Reps!$A:$C,3,FALSE),"")</f>
        <v>West</v>
      </c>
      <c r="P1913" s="33">
        <f>IFERROR(VLOOKUP(D1913,Products!$A:$D,4,FALSE),"")</f>
        <v>705</v>
      </c>
      <c r="Q1913" s="33">
        <f t="shared" si="29"/>
        <v>0.265625</v>
      </c>
    </row>
    <row r="1914" spans="1:17" x14ac:dyDescent="0.3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  <c r="L1914" t="str">
        <f>IFERROR(VLOOKUP(D1914,Products!$A:$C,3,FALSE),"")</f>
        <v>Beauty</v>
      </c>
      <c r="M1914" t="str">
        <f>IFERROR(VLOOKUP(C1914,Customers!$A:$E,5,FALSE),"")</f>
        <v>SMB</v>
      </c>
      <c r="N1914">
        <f>IFERROR(VLOOKUP(C1914,Customers!$A:$E,3,FALSE),"")</f>
        <v>38</v>
      </c>
      <c r="O1914" s="33" t="str">
        <f>IFERROR(VLOOKUP(E1914,Sales_Reps!$A:$C,3,FALSE),"")</f>
        <v>South</v>
      </c>
      <c r="P1914" s="33">
        <f>IFERROR(VLOOKUP(D1914,Products!$A:$D,4,FALSE),"")</f>
        <v>2617</v>
      </c>
      <c r="Q1914" s="33">
        <f t="shared" si="29"/>
        <v>0.56957236842105263</v>
      </c>
    </row>
    <row r="1915" spans="1:17" x14ac:dyDescent="0.3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  <c r="L1915" t="str">
        <f>IFERROR(VLOOKUP(D1915,Products!$A:$C,3,FALSE),"")</f>
        <v>Home</v>
      </c>
      <c r="M1915" t="str">
        <f>IFERROR(VLOOKUP(C1915,Customers!$A:$E,5,FALSE),"")</f>
        <v>Retail</v>
      </c>
      <c r="N1915">
        <f>IFERROR(VLOOKUP(C1915,Customers!$A:$E,3,FALSE),"")</f>
        <v>34</v>
      </c>
      <c r="O1915" s="33" t="str">
        <f>IFERROR(VLOOKUP(E1915,Sales_Reps!$A:$C,3,FALSE),"")</f>
        <v>East</v>
      </c>
      <c r="P1915" s="33">
        <f>IFERROR(VLOOKUP(D1915,Products!$A:$D,4,FALSE),"")</f>
        <v>1850</v>
      </c>
      <c r="Q1915" s="33">
        <f t="shared" si="29"/>
        <v>0.59869848156182215</v>
      </c>
    </row>
    <row r="1916" spans="1:17" x14ac:dyDescent="0.3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  <c r="L1916" t="str">
        <f>IFERROR(VLOOKUP(D1916,Products!$A:$C,3,FALSE),"")</f>
        <v>Home</v>
      </c>
      <c r="M1916" t="str">
        <f>IFERROR(VLOOKUP(C1916,Customers!$A:$E,5,FALSE),"")</f>
        <v>Corporate</v>
      </c>
      <c r="N1916">
        <f>IFERROR(VLOOKUP(C1916,Customers!$A:$E,3,FALSE),"")</f>
        <v>34</v>
      </c>
      <c r="O1916" s="33" t="str">
        <f>IFERROR(VLOOKUP(E1916,Sales_Reps!$A:$C,3,FALSE),"")</f>
        <v>East</v>
      </c>
      <c r="P1916" s="33">
        <f>IFERROR(VLOOKUP(D1916,Products!$A:$D,4,FALSE),"")</f>
        <v>2459</v>
      </c>
      <c r="Q1916" s="33">
        <f t="shared" si="29"/>
        <v>0.51594488188976373</v>
      </c>
    </row>
    <row r="1917" spans="1:17" x14ac:dyDescent="0.3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  <c r="L1917" t="str">
        <f>IFERROR(VLOOKUP(D1917,Products!$A:$C,3,FALSE),"")</f>
        <v>Beauty</v>
      </c>
      <c r="M1917" t="str">
        <f>IFERROR(VLOOKUP(C1917,Customers!$A:$E,5,FALSE),"")</f>
        <v>Retail</v>
      </c>
      <c r="N1917">
        <f>IFERROR(VLOOKUP(C1917,Customers!$A:$E,3,FALSE),"")</f>
        <v>65</v>
      </c>
      <c r="O1917" s="33" t="str">
        <f>IFERROR(VLOOKUP(E1917,Sales_Reps!$A:$C,3,FALSE),"")</f>
        <v>East</v>
      </c>
      <c r="P1917" s="33">
        <f>IFERROR(VLOOKUP(D1917,Products!$A:$D,4,FALSE),"")</f>
        <v>1728</v>
      </c>
      <c r="Q1917" s="33">
        <f t="shared" si="29"/>
        <v>0.48417910447761192</v>
      </c>
    </row>
    <row r="1918" spans="1:17" x14ac:dyDescent="0.3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  <c r="L1918" t="str">
        <f>IFERROR(VLOOKUP(D1918,Products!$A:$C,3,FALSE),"")</f>
        <v>Grocery</v>
      </c>
      <c r="M1918" t="str">
        <f>IFERROR(VLOOKUP(C1918,Customers!$A:$E,5,FALSE),"")</f>
        <v>Retail</v>
      </c>
      <c r="N1918">
        <f>IFERROR(VLOOKUP(C1918,Customers!$A:$E,3,FALSE),"")</f>
        <v>55</v>
      </c>
      <c r="O1918" s="33" t="str">
        <f>IFERROR(VLOOKUP(E1918,Sales_Reps!$A:$C,3,FALSE),"")</f>
        <v>South</v>
      </c>
      <c r="P1918" s="33">
        <f>IFERROR(VLOOKUP(D1918,Products!$A:$D,4,FALSE),"")</f>
        <v>2436</v>
      </c>
      <c r="Q1918" s="33">
        <f t="shared" si="29"/>
        <v>0.35555555555555557</v>
      </c>
    </row>
    <row r="1919" spans="1:17" x14ac:dyDescent="0.3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  <c r="L1919" t="str">
        <f>IFERROR(VLOOKUP(D1919,Products!$A:$C,3,FALSE),"")</f>
        <v>Beauty</v>
      </c>
      <c r="M1919" t="str">
        <f>IFERROR(VLOOKUP(C1919,Customers!$A:$E,5,FALSE),"")</f>
        <v>Corporate</v>
      </c>
      <c r="N1919">
        <f>IFERROR(VLOOKUP(C1919,Customers!$A:$E,3,FALSE),"")</f>
        <v>55</v>
      </c>
      <c r="O1919" s="33" t="str">
        <f>IFERROR(VLOOKUP(E1919,Sales_Reps!$A:$C,3,FALSE),"")</f>
        <v>East</v>
      </c>
      <c r="P1919" s="33">
        <f>IFERROR(VLOOKUP(D1919,Products!$A:$D,4,FALSE),"")</f>
        <v>2768</v>
      </c>
      <c r="Q1919" s="33">
        <f t="shared" si="29"/>
        <v>0.43278688524590164</v>
      </c>
    </row>
    <row r="1920" spans="1:17" x14ac:dyDescent="0.3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  <c r="L1920" t="str">
        <f>IFERROR(VLOOKUP(D1920,Products!$A:$C,3,FALSE),"")</f>
        <v>Beauty</v>
      </c>
      <c r="M1920" t="str">
        <f>IFERROR(VLOOKUP(C1920,Customers!$A:$E,5,FALSE),"")</f>
        <v>Corporate</v>
      </c>
      <c r="N1920">
        <f>IFERROR(VLOOKUP(C1920,Customers!$A:$E,3,FALSE),"")</f>
        <v>41</v>
      </c>
      <c r="O1920" s="33" t="str">
        <f>IFERROR(VLOOKUP(E1920,Sales_Reps!$A:$C,3,FALSE),"")</f>
        <v>West</v>
      </c>
      <c r="P1920" s="33">
        <f>IFERROR(VLOOKUP(D1920,Products!$A:$D,4,FALSE),"")</f>
        <v>2237</v>
      </c>
      <c r="Q1920" s="33">
        <f t="shared" si="29"/>
        <v>0.56137254901960787</v>
      </c>
    </row>
    <row r="1921" spans="1:17" x14ac:dyDescent="0.3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  <c r="L1921" t="str">
        <f>IFERROR(VLOOKUP(D1921,Products!$A:$C,3,FALSE),"")</f>
        <v>Electronics</v>
      </c>
      <c r="M1921" t="str">
        <f>IFERROR(VLOOKUP(C1921,Customers!$A:$E,5,FALSE),"")</f>
        <v>Retail</v>
      </c>
      <c r="N1921">
        <f>IFERROR(VLOOKUP(C1921,Customers!$A:$E,3,FALSE),"")</f>
        <v>27</v>
      </c>
      <c r="O1921" s="33" t="str">
        <f>IFERROR(VLOOKUP(E1921,Sales_Reps!$A:$C,3,FALSE),"")</f>
        <v>East</v>
      </c>
      <c r="P1921" s="33">
        <f>IFERROR(VLOOKUP(D1921,Products!$A:$D,4,FALSE),"")</f>
        <v>1259</v>
      </c>
      <c r="Q1921" s="33">
        <f t="shared" si="29"/>
        <v>0.52669172932330832</v>
      </c>
    </row>
    <row r="1922" spans="1:17" x14ac:dyDescent="0.3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  <c r="L1922" t="str">
        <f>IFERROR(VLOOKUP(D1922,Products!$A:$C,3,FALSE),"")</f>
        <v>Grocery</v>
      </c>
      <c r="M1922" t="str">
        <f>IFERROR(VLOOKUP(C1922,Customers!$A:$E,5,FALSE),"")</f>
        <v>SMB</v>
      </c>
      <c r="N1922">
        <f>IFERROR(VLOOKUP(C1922,Customers!$A:$E,3,FALSE),"")</f>
        <v>28</v>
      </c>
      <c r="O1922" s="33" t="str">
        <f>IFERROR(VLOOKUP(E1922,Sales_Reps!$A:$C,3,FALSE),"")</f>
        <v>East</v>
      </c>
      <c r="P1922" s="33">
        <f>IFERROR(VLOOKUP(D1922,Products!$A:$D,4,FALSE),"")</f>
        <v>1182</v>
      </c>
      <c r="Q1922" s="33">
        <f t="shared" si="29"/>
        <v>0.50336134453781511</v>
      </c>
    </row>
    <row r="1923" spans="1:17" x14ac:dyDescent="0.3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  <c r="L1923" t="str">
        <f>IFERROR(VLOOKUP(D1923,Products!$A:$C,3,FALSE),"")</f>
        <v>Beauty</v>
      </c>
      <c r="M1923" t="str">
        <f>IFERROR(VLOOKUP(C1923,Customers!$A:$E,5,FALSE),"")</f>
        <v>Retail</v>
      </c>
      <c r="N1923">
        <f>IFERROR(VLOOKUP(C1923,Customers!$A:$E,3,FALSE),"")</f>
        <v>36</v>
      </c>
      <c r="O1923" s="33" t="str">
        <f>IFERROR(VLOOKUP(E1923,Sales_Reps!$A:$C,3,FALSE),"")</f>
        <v>North</v>
      </c>
      <c r="P1923" s="33">
        <f>IFERROR(VLOOKUP(D1923,Products!$A:$D,4,FALSE),"")</f>
        <v>2768</v>
      </c>
      <c r="Q1923" s="33">
        <f t="shared" ref="Q1923:Q1986" si="30">IFERROR((G1923-P1923)/G1923,"")</f>
        <v>0.43278688524590164</v>
      </c>
    </row>
    <row r="1924" spans="1:17" x14ac:dyDescent="0.3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  <c r="L1924" t="str">
        <f>IFERROR(VLOOKUP(D1924,Products!$A:$C,3,FALSE),"")</f>
        <v>Home</v>
      </c>
      <c r="M1924" t="str">
        <f>IFERROR(VLOOKUP(C1924,Customers!$A:$E,5,FALSE),"")</f>
        <v>SMB</v>
      </c>
      <c r="N1924">
        <f>IFERROR(VLOOKUP(C1924,Customers!$A:$E,3,FALSE),"")</f>
        <v>25</v>
      </c>
      <c r="O1924" s="33" t="str">
        <f>IFERROR(VLOOKUP(E1924,Sales_Reps!$A:$C,3,FALSE),"")</f>
        <v>South</v>
      </c>
      <c r="P1924" s="33">
        <f>IFERROR(VLOOKUP(D1924,Products!$A:$D,4,FALSE),"")</f>
        <v>2135</v>
      </c>
      <c r="Q1924" s="33">
        <f t="shared" si="30"/>
        <v>0.42761394101876676</v>
      </c>
    </row>
    <row r="1925" spans="1:17" x14ac:dyDescent="0.3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  <c r="L1925" t="str">
        <f>IFERROR(VLOOKUP(D1925,Products!$A:$C,3,FALSE),"")</f>
        <v>Sports</v>
      </c>
      <c r="M1925" t="str">
        <f>IFERROR(VLOOKUP(C1925,Customers!$A:$E,5,FALSE),"")</f>
        <v>Retail</v>
      </c>
      <c r="N1925">
        <f>IFERROR(VLOOKUP(C1925,Customers!$A:$E,3,FALSE),"")</f>
        <v>27</v>
      </c>
      <c r="O1925" s="33" t="str">
        <f>IFERROR(VLOOKUP(E1925,Sales_Reps!$A:$C,3,FALSE),"")</f>
        <v>North</v>
      </c>
      <c r="P1925" s="33">
        <f>IFERROR(VLOOKUP(D1925,Products!$A:$D,4,FALSE),"")</f>
        <v>1860</v>
      </c>
      <c r="Q1925" s="33">
        <f t="shared" si="30"/>
        <v>0.50793650793650791</v>
      </c>
    </row>
    <row r="1926" spans="1:17" x14ac:dyDescent="0.3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  <c r="L1926" t="str">
        <f>IFERROR(VLOOKUP(D1926,Products!$A:$C,3,FALSE),"")</f>
        <v>Apparel</v>
      </c>
      <c r="M1926" t="str">
        <f>IFERROR(VLOOKUP(C1926,Customers!$A:$E,5,FALSE),"")</f>
        <v>SMB</v>
      </c>
      <c r="N1926">
        <f>IFERROR(VLOOKUP(C1926,Customers!$A:$E,3,FALSE),"")</f>
        <v>51</v>
      </c>
      <c r="O1926" s="33" t="str">
        <f>IFERROR(VLOOKUP(E1926,Sales_Reps!$A:$C,3,FALSE),"")</f>
        <v>East</v>
      </c>
      <c r="P1926" s="33">
        <f>IFERROR(VLOOKUP(D1926,Products!$A:$D,4,FALSE),"")</f>
        <v>2509</v>
      </c>
      <c r="Q1926" s="33">
        <f t="shared" si="30"/>
        <v>0.3069060773480663</v>
      </c>
    </row>
    <row r="1927" spans="1:17" x14ac:dyDescent="0.3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  <c r="L1927" t="str">
        <f>IFERROR(VLOOKUP(D1927,Products!$A:$C,3,FALSE),"")</f>
        <v>Home</v>
      </c>
      <c r="M1927" t="str">
        <f>IFERROR(VLOOKUP(C1927,Customers!$A:$E,5,FALSE),"")</f>
        <v>Retail</v>
      </c>
      <c r="N1927">
        <f>IFERROR(VLOOKUP(C1927,Customers!$A:$E,3,FALSE),"")</f>
        <v>33</v>
      </c>
      <c r="O1927" s="33" t="str">
        <f>IFERROR(VLOOKUP(E1927,Sales_Reps!$A:$C,3,FALSE),"")</f>
        <v>East</v>
      </c>
      <c r="P1927" s="33">
        <f>IFERROR(VLOOKUP(D1927,Products!$A:$D,4,FALSE),"")</f>
        <v>2459</v>
      </c>
      <c r="Q1927" s="33">
        <f t="shared" si="30"/>
        <v>0.51594488188976373</v>
      </c>
    </row>
    <row r="1928" spans="1:17" x14ac:dyDescent="0.3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  <c r="L1928" t="str">
        <f>IFERROR(VLOOKUP(D1928,Products!$A:$C,3,FALSE),"")</f>
        <v>Apparel</v>
      </c>
      <c r="M1928" t="str">
        <f>IFERROR(VLOOKUP(C1928,Customers!$A:$E,5,FALSE),"")</f>
        <v>SMB</v>
      </c>
      <c r="N1928">
        <f>IFERROR(VLOOKUP(C1928,Customers!$A:$E,3,FALSE),"")</f>
        <v>28</v>
      </c>
      <c r="O1928" s="33" t="str">
        <f>IFERROR(VLOOKUP(E1928,Sales_Reps!$A:$C,3,FALSE),"")</f>
        <v>West</v>
      </c>
      <c r="P1928" s="33">
        <f>IFERROR(VLOOKUP(D1928,Products!$A:$D,4,FALSE),"")</f>
        <v>2629</v>
      </c>
      <c r="Q1928" s="33">
        <f t="shared" si="30"/>
        <v>0.26151685393258428</v>
      </c>
    </row>
    <row r="1929" spans="1:17" x14ac:dyDescent="0.3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  <c r="L1929" t="str">
        <f>IFERROR(VLOOKUP(D1929,Products!$A:$C,3,FALSE),"")</f>
        <v>Grocery</v>
      </c>
      <c r="M1929" t="str">
        <f>IFERROR(VLOOKUP(C1929,Customers!$A:$E,5,FALSE),"")</f>
        <v>Retail</v>
      </c>
      <c r="N1929">
        <f>IFERROR(VLOOKUP(C1929,Customers!$A:$E,3,FALSE),"")</f>
        <v>37</v>
      </c>
      <c r="O1929" s="33" t="str">
        <f>IFERROR(VLOOKUP(E1929,Sales_Reps!$A:$C,3,FALSE),"")</f>
        <v>North</v>
      </c>
      <c r="P1929" s="33">
        <f>IFERROR(VLOOKUP(D1929,Products!$A:$D,4,FALSE),"")</f>
        <v>434</v>
      </c>
      <c r="Q1929" s="33">
        <f t="shared" si="30"/>
        <v>0.5525773195876289</v>
      </c>
    </row>
    <row r="1930" spans="1:17" x14ac:dyDescent="0.3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  <c r="L1930" t="str">
        <f>IFERROR(VLOOKUP(D1930,Products!$A:$C,3,FALSE),"")</f>
        <v>Beauty</v>
      </c>
      <c r="M1930" t="str">
        <f>IFERROR(VLOOKUP(C1930,Customers!$A:$E,5,FALSE),"")</f>
        <v>Retail</v>
      </c>
      <c r="N1930">
        <f>IFERROR(VLOOKUP(C1930,Customers!$A:$E,3,FALSE),"")</f>
        <v>49</v>
      </c>
      <c r="O1930" s="33" t="str">
        <f>IFERROR(VLOOKUP(E1930,Sales_Reps!$A:$C,3,FALSE),"")</f>
        <v>South</v>
      </c>
      <c r="P1930" s="33">
        <f>IFERROR(VLOOKUP(D1930,Products!$A:$D,4,FALSE),"")</f>
        <v>1728</v>
      </c>
      <c r="Q1930" s="33">
        <f t="shared" si="30"/>
        <v>0.48417910447761192</v>
      </c>
    </row>
    <row r="1931" spans="1:17" x14ac:dyDescent="0.3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  <c r="L1931" t="str">
        <f>IFERROR(VLOOKUP(D1931,Products!$A:$C,3,FALSE),"")</f>
        <v>Home</v>
      </c>
      <c r="M1931" t="str">
        <f>IFERROR(VLOOKUP(C1931,Customers!$A:$E,5,FALSE),"")</f>
        <v/>
      </c>
      <c r="N1931" t="str">
        <f>IFERROR(VLOOKUP(C1931,Customers!$A:$E,3,FALSE),"")</f>
        <v/>
      </c>
      <c r="O1931" s="33" t="str">
        <f>IFERROR(VLOOKUP(E1931,Sales_Reps!$A:$C,3,FALSE),"")</f>
        <v>South</v>
      </c>
      <c r="P1931" s="33">
        <f>IFERROR(VLOOKUP(D1931,Products!$A:$D,4,FALSE),"")</f>
        <v>288</v>
      </c>
      <c r="Q1931" s="33">
        <f t="shared" si="30"/>
        <v>0.22162162162162163</v>
      </c>
    </row>
    <row r="1932" spans="1:17" x14ac:dyDescent="0.3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  <c r="L1932" t="str">
        <f>IFERROR(VLOOKUP(D1932,Products!$A:$C,3,FALSE),"")</f>
        <v>Grocery</v>
      </c>
      <c r="M1932" t="str">
        <f>IFERROR(VLOOKUP(C1932,Customers!$A:$E,5,FALSE),"")</f>
        <v>Corporate</v>
      </c>
      <c r="N1932">
        <f>IFERROR(VLOOKUP(C1932,Customers!$A:$E,3,FALSE),"")</f>
        <v>55</v>
      </c>
      <c r="O1932" s="33" t="str">
        <f>IFERROR(VLOOKUP(E1932,Sales_Reps!$A:$C,3,FALSE),"")</f>
        <v>South</v>
      </c>
      <c r="P1932" s="33">
        <f>IFERROR(VLOOKUP(D1932,Products!$A:$D,4,FALSE),"")</f>
        <v>1203</v>
      </c>
      <c r="Q1932" s="33">
        <f t="shared" si="30"/>
        <v>0.47004405286343615</v>
      </c>
    </row>
    <row r="1933" spans="1:17" x14ac:dyDescent="0.3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  <c r="L1933" t="str">
        <f>IFERROR(VLOOKUP(D1933,Products!$A:$C,3,FALSE),"")</f>
        <v>Sports</v>
      </c>
      <c r="M1933" t="str">
        <f>IFERROR(VLOOKUP(C1933,Customers!$A:$E,5,FALSE),"")</f>
        <v>Corporate</v>
      </c>
      <c r="N1933">
        <f>IFERROR(VLOOKUP(C1933,Customers!$A:$E,3,FALSE),"")</f>
        <v>41</v>
      </c>
      <c r="O1933" s="33" t="str">
        <f>IFERROR(VLOOKUP(E1933,Sales_Reps!$A:$C,3,FALSE),"")</f>
        <v>East</v>
      </c>
      <c r="P1933" s="33">
        <f>IFERROR(VLOOKUP(D1933,Products!$A:$D,4,FALSE),"")</f>
        <v>2467</v>
      </c>
      <c r="Q1933" s="33">
        <f t="shared" si="30"/>
        <v>0.28492753623188405</v>
      </c>
    </row>
    <row r="1934" spans="1:17" x14ac:dyDescent="0.3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  <c r="L1934" t="str">
        <f>IFERROR(VLOOKUP(D1934,Products!$A:$C,3,FALSE),"")</f>
        <v>Sports</v>
      </c>
      <c r="M1934" t="str">
        <f>IFERROR(VLOOKUP(C1934,Customers!$A:$E,5,FALSE),"")</f>
        <v>Retail</v>
      </c>
      <c r="N1934">
        <f>IFERROR(VLOOKUP(C1934,Customers!$A:$E,3,FALSE),"")</f>
        <v>29</v>
      </c>
      <c r="O1934" s="33" t="str">
        <f>IFERROR(VLOOKUP(E1934,Sales_Reps!$A:$C,3,FALSE),"")</f>
        <v>North</v>
      </c>
      <c r="P1934" s="33">
        <f>IFERROR(VLOOKUP(D1934,Products!$A:$D,4,FALSE),"")</f>
        <v>516</v>
      </c>
      <c r="Q1934" s="33">
        <f t="shared" si="30"/>
        <v>0.4891089108910891</v>
      </c>
    </row>
    <row r="1935" spans="1:17" x14ac:dyDescent="0.3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  <c r="L1935" t="str">
        <f>IFERROR(VLOOKUP(D1935,Products!$A:$C,3,FALSE),"")</f>
        <v>Home</v>
      </c>
      <c r="M1935" t="str">
        <f>IFERROR(VLOOKUP(C1935,Customers!$A:$E,5,FALSE),"")</f>
        <v>Retail</v>
      </c>
      <c r="N1935">
        <f>IFERROR(VLOOKUP(C1935,Customers!$A:$E,3,FALSE),"")</f>
        <v>33</v>
      </c>
      <c r="O1935" s="33" t="str">
        <f>IFERROR(VLOOKUP(E1935,Sales_Reps!$A:$C,3,FALSE),"")</f>
        <v>North</v>
      </c>
      <c r="P1935" s="33">
        <f>IFERROR(VLOOKUP(D1935,Products!$A:$D,4,FALSE),"")</f>
        <v>1850</v>
      </c>
      <c r="Q1935" s="33">
        <f t="shared" si="30"/>
        <v>0.59869848156182215</v>
      </c>
    </row>
    <row r="1936" spans="1:17" x14ac:dyDescent="0.3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  <c r="L1936" t="str">
        <f>IFERROR(VLOOKUP(D1936,Products!$A:$C,3,FALSE),"")</f>
        <v>Home</v>
      </c>
      <c r="M1936" t="str">
        <f>IFERROR(VLOOKUP(C1936,Customers!$A:$E,5,FALSE),"")</f>
        <v>Retail</v>
      </c>
      <c r="N1936">
        <f>IFERROR(VLOOKUP(C1936,Customers!$A:$E,3,FALSE),"")</f>
        <v>59</v>
      </c>
      <c r="O1936" s="33" t="str">
        <f>IFERROR(VLOOKUP(E1936,Sales_Reps!$A:$C,3,FALSE),"")</f>
        <v>North</v>
      </c>
      <c r="P1936" s="33">
        <f>IFERROR(VLOOKUP(D1936,Products!$A:$D,4,FALSE),"")</f>
        <v>288</v>
      </c>
      <c r="Q1936" s="33">
        <f t="shared" si="30"/>
        <v>0.22162162162162163</v>
      </c>
    </row>
    <row r="1937" spans="1:17" x14ac:dyDescent="0.3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  <c r="L1937" t="str">
        <f>IFERROR(VLOOKUP(D1937,Products!$A:$C,3,FALSE),"")</f>
        <v>Grocery</v>
      </c>
      <c r="M1937" t="str">
        <f>IFERROR(VLOOKUP(C1937,Customers!$A:$E,5,FALSE),"")</f>
        <v>Corporate</v>
      </c>
      <c r="N1937">
        <f>IFERROR(VLOOKUP(C1937,Customers!$A:$E,3,FALSE),"")</f>
        <v>24</v>
      </c>
      <c r="O1937" s="33" t="str">
        <f>IFERROR(VLOOKUP(E1937,Sales_Reps!$A:$C,3,FALSE),"")</f>
        <v>West</v>
      </c>
      <c r="P1937" s="33">
        <f>IFERROR(VLOOKUP(D1937,Products!$A:$D,4,FALSE),"")</f>
        <v>1182</v>
      </c>
      <c r="Q1937" s="33">
        <f t="shared" si="30"/>
        <v>0.50336134453781511</v>
      </c>
    </row>
    <row r="1938" spans="1:17" x14ac:dyDescent="0.3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  <c r="L1938" t="str">
        <f>IFERROR(VLOOKUP(D1938,Products!$A:$C,3,FALSE),"")</f>
        <v>Beauty</v>
      </c>
      <c r="M1938" t="str">
        <f>IFERROR(VLOOKUP(C1938,Customers!$A:$E,5,FALSE),"")</f>
        <v>SMB</v>
      </c>
      <c r="N1938">
        <f>IFERROR(VLOOKUP(C1938,Customers!$A:$E,3,FALSE),"")</f>
        <v>40</v>
      </c>
      <c r="O1938" s="33" t="str">
        <f>IFERROR(VLOOKUP(E1938,Sales_Reps!$A:$C,3,FALSE),"")</f>
        <v>East</v>
      </c>
      <c r="P1938" s="33">
        <f>IFERROR(VLOOKUP(D1938,Products!$A:$D,4,FALSE),"")</f>
        <v>675</v>
      </c>
      <c r="Q1938" s="33">
        <f t="shared" si="30"/>
        <v>0.296875</v>
      </c>
    </row>
    <row r="1939" spans="1:17" x14ac:dyDescent="0.3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  <c r="L1939" t="str">
        <f>IFERROR(VLOOKUP(D1939,Products!$A:$C,3,FALSE),"")</f>
        <v>Sports</v>
      </c>
      <c r="M1939" t="str">
        <f>IFERROR(VLOOKUP(C1939,Customers!$A:$E,5,FALSE),"")</f>
        <v>Retail</v>
      </c>
      <c r="N1939">
        <f>IFERROR(VLOOKUP(C1939,Customers!$A:$E,3,FALSE),"")</f>
        <v>48</v>
      </c>
      <c r="O1939" s="33" t="str">
        <f>IFERROR(VLOOKUP(E1939,Sales_Reps!$A:$C,3,FALSE),"")</f>
        <v>North</v>
      </c>
      <c r="P1939" s="33">
        <f>IFERROR(VLOOKUP(D1939,Products!$A:$D,4,FALSE),"")</f>
        <v>705</v>
      </c>
      <c r="Q1939" s="33">
        <f t="shared" si="30"/>
        <v>0.265625</v>
      </c>
    </row>
    <row r="1940" spans="1:17" x14ac:dyDescent="0.3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  <c r="L1940" t="str">
        <f>IFERROR(VLOOKUP(D1940,Products!$A:$C,3,FALSE),"")</f>
        <v>Apparel</v>
      </c>
      <c r="M1940" t="str">
        <f>IFERROR(VLOOKUP(C1940,Customers!$A:$E,5,FALSE),"")</f>
        <v>Retail</v>
      </c>
      <c r="N1940">
        <f>IFERROR(VLOOKUP(C1940,Customers!$A:$E,3,FALSE),"")</f>
        <v>65</v>
      </c>
      <c r="O1940" s="33" t="str">
        <f>IFERROR(VLOOKUP(E1940,Sales_Reps!$A:$C,3,FALSE),"")</f>
        <v>West</v>
      </c>
      <c r="P1940" s="33">
        <f>IFERROR(VLOOKUP(D1940,Products!$A:$D,4,FALSE),"")</f>
        <v>396</v>
      </c>
      <c r="Q1940" s="33">
        <f t="shared" si="30"/>
        <v>0.36129032258064514</v>
      </c>
    </row>
    <row r="1941" spans="1:17" x14ac:dyDescent="0.3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  <c r="L1941" t="str">
        <f>IFERROR(VLOOKUP(D1941,Products!$A:$C,3,FALSE),"")</f>
        <v>Sports</v>
      </c>
      <c r="M1941" t="str">
        <f>IFERROR(VLOOKUP(C1941,Customers!$A:$E,5,FALSE),"")</f>
        <v>Retail</v>
      </c>
      <c r="N1941">
        <f>IFERROR(VLOOKUP(C1941,Customers!$A:$E,3,FALSE),"")</f>
        <v>54</v>
      </c>
      <c r="O1941" s="33" t="str">
        <f>IFERROR(VLOOKUP(E1941,Sales_Reps!$A:$C,3,FALSE),"")</f>
        <v>East</v>
      </c>
      <c r="P1941" s="33">
        <f>IFERROR(VLOOKUP(D1941,Products!$A:$D,4,FALSE),"")</f>
        <v>705</v>
      </c>
      <c r="Q1941" s="33">
        <f t="shared" si="30"/>
        <v>0.265625</v>
      </c>
    </row>
    <row r="1942" spans="1:17" x14ac:dyDescent="0.3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  <c r="L1942" t="str">
        <f>IFERROR(VLOOKUP(D1942,Products!$A:$C,3,FALSE),"")</f>
        <v>Beauty</v>
      </c>
      <c r="M1942" t="str">
        <f>IFERROR(VLOOKUP(C1942,Customers!$A:$E,5,FALSE),"")</f>
        <v>Retail</v>
      </c>
      <c r="N1942">
        <f>IFERROR(VLOOKUP(C1942,Customers!$A:$E,3,FALSE),"")</f>
        <v>57</v>
      </c>
      <c r="O1942" s="33" t="str">
        <f>IFERROR(VLOOKUP(E1942,Sales_Reps!$A:$C,3,FALSE),"")</f>
        <v>West</v>
      </c>
      <c r="P1942" s="33">
        <f>IFERROR(VLOOKUP(D1942,Products!$A:$D,4,FALSE),"")</f>
        <v>2420</v>
      </c>
      <c r="Q1942" s="33">
        <f t="shared" si="30"/>
        <v>0.29855072463768118</v>
      </c>
    </row>
    <row r="1943" spans="1:17" x14ac:dyDescent="0.3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  <c r="L1943" t="str">
        <f>IFERROR(VLOOKUP(D1943,Products!$A:$C,3,FALSE),"")</f>
        <v>Apparel</v>
      </c>
      <c r="M1943" t="str">
        <f>IFERROR(VLOOKUP(C1943,Customers!$A:$E,5,FALSE),"")</f>
        <v>SMB</v>
      </c>
      <c r="N1943">
        <f>IFERROR(VLOOKUP(C1943,Customers!$A:$E,3,FALSE),"")</f>
        <v>43</v>
      </c>
      <c r="O1943" s="33" t="str">
        <f>IFERROR(VLOOKUP(E1943,Sales_Reps!$A:$C,3,FALSE),"")</f>
        <v>East</v>
      </c>
      <c r="P1943" s="33">
        <f>IFERROR(VLOOKUP(D1943,Products!$A:$D,4,FALSE),"")</f>
        <v>1962</v>
      </c>
      <c r="Q1943" s="33">
        <f t="shared" si="30"/>
        <v>0.2786764705882353</v>
      </c>
    </row>
    <row r="1944" spans="1:17" x14ac:dyDescent="0.3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  <c r="L1944" t="str">
        <f>IFERROR(VLOOKUP(D1944,Products!$A:$C,3,FALSE),"")</f>
        <v>Beauty</v>
      </c>
      <c r="M1944" t="str">
        <f>IFERROR(VLOOKUP(C1944,Customers!$A:$E,5,FALSE),"")</f>
        <v>SMB</v>
      </c>
      <c r="N1944">
        <f>IFERROR(VLOOKUP(C1944,Customers!$A:$E,3,FALSE),"")</f>
        <v>65</v>
      </c>
      <c r="O1944" s="33" t="str">
        <f>IFERROR(VLOOKUP(E1944,Sales_Reps!$A:$C,3,FALSE),"")</f>
        <v>East</v>
      </c>
      <c r="P1944" s="33">
        <f>IFERROR(VLOOKUP(D1944,Products!$A:$D,4,FALSE),"")</f>
        <v>2420</v>
      </c>
      <c r="Q1944" s="33">
        <f t="shared" si="30"/>
        <v>0.29855072463768118</v>
      </c>
    </row>
    <row r="1945" spans="1:17" x14ac:dyDescent="0.3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  <c r="L1945" t="str">
        <f>IFERROR(VLOOKUP(D1945,Products!$A:$C,3,FALSE),"")</f>
        <v>Beauty</v>
      </c>
      <c r="M1945" t="str">
        <f>IFERROR(VLOOKUP(C1945,Customers!$A:$E,5,FALSE),"")</f>
        <v>Retail</v>
      </c>
      <c r="N1945">
        <f>IFERROR(VLOOKUP(C1945,Customers!$A:$E,3,FALSE),"")</f>
        <v>65</v>
      </c>
      <c r="O1945" s="33" t="str">
        <f>IFERROR(VLOOKUP(E1945,Sales_Reps!$A:$C,3,FALSE),"")</f>
        <v>West</v>
      </c>
      <c r="P1945" s="33">
        <f>IFERROR(VLOOKUP(D1945,Products!$A:$D,4,FALSE),"")</f>
        <v>1222</v>
      </c>
      <c r="Q1945" s="33">
        <f t="shared" si="30"/>
        <v>0.2593939393939394</v>
      </c>
    </row>
    <row r="1946" spans="1:17" x14ac:dyDescent="0.3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  <c r="L1946" t="str">
        <f>IFERROR(VLOOKUP(D1946,Products!$A:$C,3,FALSE),"")</f>
        <v>Apparel</v>
      </c>
      <c r="M1946" t="str">
        <f>IFERROR(VLOOKUP(C1946,Customers!$A:$E,5,FALSE),"")</f>
        <v>SMB</v>
      </c>
      <c r="N1946">
        <f>IFERROR(VLOOKUP(C1946,Customers!$A:$E,3,FALSE),"")</f>
        <v>29</v>
      </c>
      <c r="O1946" s="33" t="str">
        <f>IFERROR(VLOOKUP(E1946,Sales_Reps!$A:$C,3,FALSE),"")</f>
        <v>South</v>
      </c>
      <c r="P1946" s="33">
        <f>IFERROR(VLOOKUP(D1946,Products!$A:$D,4,FALSE),"")</f>
        <v>2509</v>
      </c>
      <c r="Q1946" s="33">
        <f t="shared" si="30"/>
        <v>0.3069060773480663</v>
      </c>
    </row>
    <row r="1947" spans="1:17" x14ac:dyDescent="0.3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  <c r="L1947" t="str">
        <f>IFERROR(VLOOKUP(D1947,Products!$A:$C,3,FALSE),"")</f>
        <v>Electronics</v>
      </c>
      <c r="M1947" t="str">
        <f>IFERROR(VLOOKUP(C1947,Customers!$A:$E,5,FALSE),"")</f>
        <v>Retail</v>
      </c>
      <c r="N1947">
        <f>IFERROR(VLOOKUP(C1947,Customers!$A:$E,3,FALSE),"")</f>
        <v>52</v>
      </c>
      <c r="O1947" s="33" t="str">
        <f>IFERROR(VLOOKUP(E1947,Sales_Reps!$A:$C,3,FALSE),"")</f>
        <v>South</v>
      </c>
      <c r="P1947" s="33">
        <f>IFERROR(VLOOKUP(D1947,Products!$A:$D,4,FALSE),"")</f>
        <v>128</v>
      </c>
      <c r="Q1947" s="33">
        <f t="shared" si="30"/>
        <v>0.57333333333333336</v>
      </c>
    </row>
    <row r="1948" spans="1:17" x14ac:dyDescent="0.3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  <c r="L1948" t="str">
        <f>IFERROR(VLOOKUP(D1948,Products!$A:$C,3,FALSE),"")</f>
        <v>Beauty</v>
      </c>
      <c r="M1948" t="str">
        <f>IFERROR(VLOOKUP(C1948,Customers!$A:$E,5,FALSE),"")</f>
        <v>SMB</v>
      </c>
      <c r="N1948">
        <f>IFERROR(VLOOKUP(C1948,Customers!$A:$E,3,FALSE),"")</f>
        <v>55</v>
      </c>
      <c r="O1948" s="33" t="str">
        <f>IFERROR(VLOOKUP(E1948,Sales_Reps!$A:$C,3,FALSE),"")</f>
        <v>North</v>
      </c>
      <c r="P1948" s="33">
        <f>IFERROR(VLOOKUP(D1948,Products!$A:$D,4,FALSE),"")</f>
        <v>647</v>
      </c>
      <c r="Q1948" s="33">
        <f t="shared" si="30"/>
        <v>0.57987012987012987</v>
      </c>
    </row>
    <row r="1949" spans="1:17" x14ac:dyDescent="0.3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  <c r="L1949" t="str">
        <f>IFERROR(VLOOKUP(D1949,Products!$A:$C,3,FALSE),"")</f>
        <v>Grocery</v>
      </c>
      <c r="M1949" t="str">
        <f>IFERROR(VLOOKUP(C1949,Customers!$A:$E,5,FALSE),"")</f>
        <v>Retail</v>
      </c>
      <c r="N1949">
        <f>IFERROR(VLOOKUP(C1949,Customers!$A:$E,3,FALSE),"")</f>
        <v>27</v>
      </c>
      <c r="O1949" s="33" t="str">
        <f>IFERROR(VLOOKUP(E1949,Sales_Reps!$A:$C,3,FALSE),"")</f>
        <v>East</v>
      </c>
      <c r="P1949" s="33">
        <f>IFERROR(VLOOKUP(D1949,Products!$A:$D,4,FALSE),"")</f>
        <v>1203</v>
      </c>
      <c r="Q1949" s="33">
        <f t="shared" si="30"/>
        <v>0.47004405286343615</v>
      </c>
    </row>
    <row r="1950" spans="1:17" x14ac:dyDescent="0.3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  <c r="L1950" t="str">
        <f>IFERROR(VLOOKUP(D1950,Products!$A:$C,3,FALSE),"")</f>
        <v>Electronics</v>
      </c>
      <c r="M1950" t="str">
        <f>IFERROR(VLOOKUP(C1950,Customers!$A:$E,5,FALSE),"")</f>
        <v>SMB</v>
      </c>
      <c r="N1950">
        <f>IFERROR(VLOOKUP(C1950,Customers!$A:$E,3,FALSE),"")</f>
        <v>59</v>
      </c>
      <c r="O1950" s="33" t="str">
        <f>IFERROR(VLOOKUP(E1950,Sales_Reps!$A:$C,3,FALSE),"")</f>
        <v>North</v>
      </c>
      <c r="P1950" s="33">
        <f>IFERROR(VLOOKUP(D1950,Products!$A:$D,4,FALSE),"")</f>
        <v>1149</v>
      </c>
      <c r="Q1950" s="33">
        <f t="shared" si="30"/>
        <v>0.56477272727272732</v>
      </c>
    </row>
    <row r="1951" spans="1:17" x14ac:dyDescent="0.3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  <c r="L1951" t="str">
        <f>IFERROR(VLOOKUP(D1951,Products!$A:$C,3,FALSE),"")</f>
        <v>Electronics</v>
      </c>
      <c r="M1951" t="str">
        <f>IFERROR(VLOOKUP(C1951,Customers!$A:$E,5,FALSE),"")</f>
        <v>Retail</v>
      </c>
      <c r="N1951">
        <f>IFERROR(VLOOKUP(C1951,Customers!$A:$E,3,FALSE),"")</f>
        <v>44</v>
      </c>
      <c r="O1951" s="33" t="str">
        <f>IFERROR(VLOOKUP(E1951,Sales_Reps!$A:$C,3,FALSE),"")</f>
        <v>South</v>
      </c>
      <c r="P1951" s="33">
        <f>IFERROR(VLOOKUP(D1951,Products!$A:$D,4,FALSE),"")</f>
        <v>1149</v>
      </c>
      <c r="Q1951" s="33">
        <f t="shared" si="30"/>
        <v>0.56477272727272732</v>
      </c>
    </row>
    <row r="1952" spans="1:17" x14ac:dyDescent="0.3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  <c r="L1952" t="str">
        <f>IFERROR(VLOOKUP(D1952,Products!$A:$C,3,FALSE),"")</f>
        <v>Electronics</v>
      </c>
      <c r="M1952" t="str">
        <f>IFERROR(VLOOKUP(C1952,Customers!$A:$E,5,FALSE),"")</f>
        <v>Retail</v>
      </c>
      <c r="N1952">
        <f>IFERROR(VLOOKUP(C1952,Customers!$A:$E,3,FALSE),"")</f>
        <v>53</v>
      </c>
      <c r="O1952" s="33" t="str">
        <f>IFERROR(VLOOKUP(E1952,Sales_Reps!$A:$C,3,FALSE),"")</f>
        <v>West</v>
      </c>
      <c r="P1952" s="33">
        <f>IFERROR(VLOOKUP(D1952,Products!$A:$D,4,FALSE),"")</f>
        <v>861</v>
      </c>
      <c r="Q1952" s="33">
        <f t="shared" si="30"/>
        <v>0.39790209790209791</v>
      </c>
    </row>
    <row r="1953" spans="1:17" x14ac:dyDescent="0.3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  <c r="L1953" t="str">
        <f>IFERROR(VLOOKUP(D1953,Products!$A:$C,3,FALSE),"")</f>
        <v>Electronics</v>
      </c>
      <c r="M1953" t="str">
        <f>IFERROR(VLOOKUP(C1953,Customers!$A:$E,5,FALSE),"")</f>
        <v>SMB</v>
      </c>
      <c r="N1953">
        <f>IFERROR(VLOOKUP(C1953,Customers!$A:$E,3,FALSE),"")</f>
        <v>30</v>
      </c>
      <c r="O1953" s="33" t="str">
        <f>IFERROR(VLOOKUP(E1953,Sales_Reps!$A:$C,3,FALSE),"")</f>
        <v>East</v>
      </c>
      <c r="P1953" s="33">
        <f>IFERROR(VLOOKUP(D1953,Products!$A:$D,4,FALSE),"")</f>
        <v>1665</v>
      </c>
      <c r="Q1953" s="33">
        <f t="shared" si="30"/>
        <v>0.53361344537815125</v>
      </c>
    </row>
    <row r="1954" spans="1:17" x14ac:dyDescent="0.3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  <c r="L1954" t="str">
        <f>IFERROR(VLOOKUP(D1954,Products!$A:$C,3,FALSE),"")</f>
        <v>Electronics</v>
      </c>
      <c r="M1954" t="str">
        <f>IFERROR(VLOOKUP(C1954,Customers!$A:$E,5,FALSE),"")</f>
        <v>Retail</v>
      </c>
      <c r="N1954">
        <f>IFERROR(VLOOKUP(C1954,Customers!$A:$E,3,FALSE),"")</f>
        <v>30</v>
      </c>
      <c r="O1954" s="33" t="str">
        <f>IFERROR(VLOOKUP(E1954,Sales_Reps!$A:$C,3,FALSE),"")</f>
        <v>West</v>
      </c>
      <c r="P1954" s="33">
        <f>IFERROR(VLOOKUP(D1954,Products!$A:$D,4,FALSE),"")</f>
        <v>1665</v>
      </c>
      <c r="Q1954" s="33">
        <f t="shared" si="30"/>
        <v>0.53361344537815125</v>
      </c>
    </row>
    <row r="1955" spans="1:17" x14ac:dyDescent="0.3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  <c r="L1955" t="str">
        <f>IFERROR(VLOOKUP(D1955,Products!$A:$C,3,FALSE),"")</f>
        <v>Electronics</v>
      </c>
      <c r="M1955" t="str">
        <f>IFERROR(VLOOKUP(C1955,Customers!$A:$E,5,FALSE),"")</f>
        <v>SMB</v>
      </c>
      <c r="N1955">
        <f>IFERROR(VLOOKUP(C1955,Customers!$A:$E,3,FALSE),"")</f>
        <v>43</v>
      </c>
      <c r="O1955" s="33" t="str">
        <f>IFERROR(VLOOKUP(E1955,Sales_Reps!$A:$C,3,FALSE),"")</f>
        <v>West</v>
      </c>
      <c r="P1955" s="33">
        <f>IFERROR(VLOOKUP(D1955,Products!$A:$D,4,FALSE),"")</f>
        <v>1559</v>
      </c>
      <c r="Q1955" s="33">
        <f t="shared" si="30"/>
        <v>0.59715762273901807</v>
      </c>
    </row>
    <row r="1956" spans="1:17" x14ac:dyDescent="0.3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  <c r="L1956" t="str">
        <f>IFERROR(VLOOKUP(D1956,Products!$A:$C,3,FALSE),"")</f>
        <v>Sports</v>
      </c>
      <c r="M1956" t="str">
        <f>IFERROR(VLOOKUP(C1956,Customers!$A:$E,5,FALSE),"")</f>
        <v>SMB</v>
      </c>
      <c r="N1956">
        <f>IFERROR(VLOOKUP(C1956,Customers!$A:$E,3,FALSE),"")</f>
        <v>26</v>
      </c>
      <c r="O1956" s="33" t="str">
        <f>IFERROR(VLOOKUP(E1956,Sales_Reps!$A:$C,3,FALSE),"")</f>
        <v>South</v>
      </c>
      <c r="P1956" s="33">
        <f>IFERROR(VLOOKUP(D1956,Products!$A:$D,4,FALSE),"")</f>
        <v>2827</v>
      </c>
      <c r="Q1956" s="33">
        <f t="shared" si="30"/>
        <v>0.5926512968299712</v>
      </c>
    </row>
    <row r="1957" spans="1:17" x14ac:dyDescent="0.3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  <c r="L1957" t="str">
        <f>IFERROR(VLOOKUP(D1957,Products!$A:$C,3,FALSE),"")</f>
        <v>Home</v>
      </c>
      <c r="M1957" t="str">
        <f>IFERROR(VLOOKUP(C1957,Customers!$A:$E,5,FALSE),"")</f>
        <v>Retail</v>
      </c>
      <c r="N1957">
        <f>IFERROR(VLOOKUP(C1957,Customers!$A:$E,3,FALSE),"")</f>
        <v>53</v>
      </c>
      <c r="O1957" s="33" t="str">
        <f>IFERROR(VLOOKUP(E1957,Sales_Reps!$A:$C,3,FALSE),"")</f>
        <v>West</v>
      </c>
      <c r="P1957" s="33">
        <f>IFERROR(VLOOKUP(D1957,Products!$A:$D,4,FALSE),"")</f>
        <v>288</v>
      </c>
      <c r="Q1957" s="33">
        <f t="shared" si="30"/>
        <v>0.22162162162162163</v>
      </c>
    </row>
    <row r="1958" spans="1:17" x14ac:dyDescent="0.3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  <c r="L1958" t="str">
        <f>IFERROR(VLOOKUP(D1958,Products!$A:$C,3,FALSE),"")</f>
        <v>Apparel</v>
      </c>
      <c r="M1958" t="str">
        <f>IFERROR(VLOOKUP(C1958,Customers!$A:$E,5,FALSE),"")</f>
        <v>Corporate</v>
      </c>
      <c r="N1958">
        <f>IFERROR(VLOOKUP(C1958,Customers!$A:$E,3,FALSE),"")</f>
        <v>55</v>
      </c>
      <c r="O1958" s="33" t="str">
        <f>IFERROR(VLOOKUP(E1958,Sales_Reps!$A:$C,3,FALSE),"")</f>
        <v>West</v>
      </c>
      <c r="P1958" s="33">
        <f>IFERROR(VLOOKUP(D1958,Products!$A:$D,4,FALSE),"")</f>
        <v>2629</v>
      </c>
      <c r="Q1958" s="33">
        <f t="shared" si="30"/>
        <v>0.26151685393258428</v>
      </c>
    </row>
    <row r="1959" spans="1:17" x14ac:dyDescent="0.3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  <c r="L1959" t="str">
        <f>IFERROR(VLOOKUP(D1959,Products!$A:$C,3,FALSE),"")</f>
        <v>Electronics</v>
      </c>
      <c r="M1959" t="str">
        <f>IFERROR(VLOOKUP(C1959,Customers!$A:$E,5,FALSE),"")</f>
        <v>Retail</v>
      </c>
      <c r="N1959">
        <f>IFERROR(VLOOKUP(C1959,Customers!$A:$E,3,FALSE),"")</f>
        <v>44</v>
      </c>
      <c r="O1959" s="33" t="str">
        <f>IFERROR(VLOOKUP(E1959,Sales_Reps!$A:$C,3,FALSE),"")</f>
        <v>West</v>
      </c>
      <c r="P1959" s="33">
        <f>IFERROR(VLOOKUP(D1959,Products!$A:$D,4,FALSE),"")</f>
        <v>517</v>
      </c>
      <c r="Q1959" s="33">
        <f t="shared" si="30"/>
        <v>0.57622950819672136</v>
      </c>
    </row>
    <row r="1960" spans="1:17" x14ac:dyDescent="0.3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  <c r="L1960" t="str">
        <f>IFERROR(VLOOKUP(D1960,Products!$A:$C,3,FALSE),"")</f>
        <v>Grocery</v>
      </c>
      <c r="M1960" t="str">
        <f>IFERROR(VLOOKUP(C1960,Customers!$A:$E,5,FALSE),"")</f>
        <v>Retail</v>
      </c>
      <c r="N1960">
        <f>IFERROR(VLOOKUP(C1960,Customers!$A:$E,3,FALSE),"")</f>
        <v>24</v>
      </c>
      <c r="O1960" s="33" t="str">
        <f>IFERROR(VLOOKUP(E1960,Sales_Reps!$A:$C,3,FALSE),"")</f>
        <v>East</v>
      </c>
      <c r="P1960" s="33">
        <f>IFERROR(VLOOKUP(D1960,Products!$A:$D,4,FALSE),"")</f>
        <v>2027</v>
      </c>
      <c r="Q1960" s="33">
        <f t="shared" si="30"/>
        <v>0.50196560196560192</v>
      </c>
    </row>
    <row r="1961" spans="1:17" x14ac:dyDescent="0.3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  <c r="L1961" t="str">
        <f>IFERROR(VLOOKUP(D1961,Products!$A:$C,3,FALSE),"")</f>
        <v>Grocery</v>
      </c>
      <c r="M1961" t="str">
        <f>IFERROR(VLOOKUP(C1961,Customers!$A:$E,5,FALSE),"")</f>
        <v>Retail</v>
      </c>
      <c r="N1961">
        <f>IFERROR(VLOOKUP(C1961,Customers!$A:$E,3,FALSE),"")</f>
        <v>63</v>
      </c>
      <c r="O1961" s="33" t="str">
        <f>IFERROR(VLOOKUP(E1961,Sales_Reps!$A:$C,3,FALSE),"")</f>
        <v>East</v>
      </c>
      <c r="P1961" s="33">
        <f>IFERROR(VLOOKUP(D1961,Products!$A:$D,4,FALSE),"")</f>
        <v>2214</v>
      </c>
      <c r="Q1961" s="33">
        <f t="shared" si="30"/>
        <v>0.39508196721311473</v>
      </c>
    </row>
    <row r="1962" spans="1:17" x14ac:dyDescent="0.3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  <c r="L1962" t="str">
        <f>IFERROR(VLOOKUP(D1962,Products!$A:$C,3,FALSE),"")</f>
        <v>Home</v>
      </c>
      <c r="M1962" t="str">
        <f>IFERROR(VLOOKUP(C1962,Customers!$A:$E,5,FALSE),"")</f>
        <v>Retail</v>
      </c>
      <c r="N1962">
        <f>IFERROR(VLOOKUP(C1962,Customers!$A:$E,3,FALSE),"")</f>
        <v>53</v>
      </c>
      <c r="O1962" s="33" t="str">
        <f>IFERROR(VLOOKUP(E1962,Sales_Reps!$A:$C,3,FALSE),"")</f>
        <v>East</v>
      </c>
      <c r="P1962" s="33">
        <f>IFERROR(VLOOKUP(D1962,Products!$A:$D,4,FALSE),"")</f>
        <v>2459</v>
      </c>
      <c r="Q1962" s="33">
        <f t="shared" si="30"/>
        <v>0.51594488188976373</v>
      </c>
    </row>
    <row r="1963" spans="1:17" x14ac:dyDescent="0.3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  <c r="L1963" t="str">
        <f>IFERROR(VLOOKUP(D1963,Products!$A:$C,3,FALSE),"")</f>
        <v>Home</v>
      </c>
      <c r="M1963" t="str">
        <f>IFERROR(VLOOKUP(C1963,Customers!$A:$E,5,FALSE),"")</f>
        <v>Retail</v>
      </c>
      <c r="N1963">
        <f>IFERROR(VLOOKUP(C1963,Customers!$A:$E,3,FALSE),"")</f>
        <v>63</v>
      </c>
      <c r="O1963" s="33" t="str">
        <f>IFERROR(VLOOKUP(E1963,Sales_Reps!$A:$C,3,FALSE),"")</f>
        <v>South</v>
      </c>
      <c r="P1963" s="33">
        <f>IFERROR(VLOOKUP(D1963,Products!$A:$D,4,FALSE),"")</f>
        <v>1850</v>
      </c>
      <c r="Q1963" s="33">
        <f t="shared" si="30"/>
        <v>0.59869848156182215</v>
      </c>
    </row>
    <row r="1964" spans="1:17" x14ac:dyDescent="0.3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  <c r="L1964" t="str">
        <f>IFERROR(VLOOKUP(D1964,Products!$A:$C,3,FALSE),"")</f>
        <v>Electronics</v>
      </c>
      <c r="M1964" t="str">
        <f>IFERROR(VLOOKUP(C1964,Customers!$A:$E,5,FALSE),"")</f>
        <v>Retail</v>
      </c>
      <c r="N1964">
        <f>IFERROR(VLOOKUP(C1964,Customers!$A:$E,3,FALSE),"")</f>
        <v>27</v>
      </c>
      <c r="O1964" s="33" t="str">
        <f>IFERROR(VLOOKUP(E1964,Sales_Reps!$A:$C,3,FALSE),"")</f>
        <v>North</v>
      </c>
      <c r="P1964" s="33">
        <f>IFERROR(VLOOKUP(D1964,Products!$A:$D,4,FALSE),"")</f>
        <v>1259</v>
      </c>
      <c r="Q1964" s="33">
        <f t="shared" si="30"/>
        <v>0.52669172932330832</v>
      </c>
    </row>
    <row r="1965" spans="1:17" x14ac:dyDescent="0.3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  <c r="L1965" t="str">
        <f>IFERROR(VLOOKUP(D1965,Products!$A:$C,3,FALSE),"")</f>
        <v>Apparel</v>
      </c>
      <c r="M1965" t="str">
        <f>IFERROR(VLOOKUP(C1965,Customers!$A:$E,5,FALSE),"")</f>
        <v>SMB</v>
      </c>
      <c r="N1965">
        <f>IFERROR(VLOOKUP(C1965,Customers!$A:$E,3,FALSE),"")</f>
        <v>48</v>
      </c>
      <c r="O1965" s="33" t="str">
        <f>IFERROR(VLOOKUP(E1965,Sales_Reps!$A:$C,3,FALSE),"")</f>
        <v>North</v>
      </c>
      <c r="P1965" s="33">
        <f>IFERROR(VLOOKUP(D1965,Products!$A:$D,4,FALSE),"")</f>
        <v>1886</v>
      </c>
      <c r="Q1965" s="33">
        <f t="shared" si="30"/>
        <v>0.4031645569620253</v>
      </c>
    </row>
    <row r="1966" spans="1:17" x14ac:dyDescent="0.3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  <c r="L1966" t="str">
        <f>IFERROR(VLOOKUP(D1966,Products!$A:$C,3,FALSE),"")</f>
        <v>Home</v>
      </c>
      <c r="M1966" t="str">
        <f>IFERROR(VLOOKUP(C1966,Customers!$A:$E,5,FALSE),"")</f>
        <v>Retail</v>
      </c>
      <c r="N1966">
        <f>IFERROR(VLOOKUP(C1966,Customers!$A:$E,3,FALSE),"")</f>
        <v>41</v>
      </c>
      <c r="O1966" s="33" t="str">
        <f>IFERROR(VLOOKUP(E1966,Sales_Reps!$A:$C,3,FALSE),"")</f>
        <v>North</v>
      </c>
      <c r="P1966" s="33">
        <f>IFERROR(VLOOKUP(D1966,Products!$A:$D,4,FALSE),"")</f>
        <v>288</v>
      </c>
      <c r="Q1966" s="33">
        <f t="shared" si="30"/>
        <v>0.22162162162162163</v>
      </c>
    </row>
    <row r="1967" spans="1:17" x14ac:dyDescent="0.3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  <c r="L1967" t="str">
        <f>IFERROR(VLOOKUP(D1967,Products!$A:$C,3,FALSE),"")</f>
        <v>Sports</v>
      </c>
      <c r="M1967" t="str">
        <f>IFERROR(VLOOKUP(C1967,Customers!$A:$E,5,FALSE),"")</f>
        <v>Retail</v>
      </c>
      <c r="N1967">
        <f>IFERROR(VLOOKUP(C1967,Customers!$A:$E,3,FALSE),"")</f>
        <v>54</v>
      </c>
      <c r="O1967" s="33" t="str">
        <f>IFERROR(VLOOKUP(E1967,Sales_Reps!$A:$C,3,FALSE),"")</f>
        <v>North</v>
      </c>
      <c r="P1967" s="33">
        <f>IFERROR(VLOOKUP(D1967,Products!$A:$D,4,FALSE),"")</f>
        <v>516</v>
      </c>
      <c r="Q1967" s="33">
        <f t="shared" si="30"/>
        <v>0.4891089108910891</v>
      </c>
    </row>
    <row r="1968" spans="1:17" x14ac:dyDescent="0.3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  <c r="L1968" t="str">
        <f>IFERROR(VLOOKUP(D1968,Products!$A:$C,3,FALSE),"")</f>
        <v>Apparel</v>
      </c>
      <c r="M1968" t="str">
        <f>IFERROR(VLOOKUP(C1968,Customers!$A:$E,5,FALSE),"")</f>
        <v>SMB</v>
      </c>
      <c r="N1968">
        <f>IFERROR(VLOOKUP(C1968,Customers!$A:$E,3,FALSE),"")</f>
        <v>65</v>
      </c>
      <c r="O1968" s="33" t="str">
        <f>IFERROR(VLOOKUP(E1968,Sales_Reps!$A:$C,3,FALSE),"")</f>
        <v>West</v>
      </c>
      <c r="P1968" s="33">
        <f>IFERROR(VLOOKUP(D1968,Products!$A:$D,4,FALSE),"")</f>
        <v>2629</v>
      </c>
      <c r="Q1968" s="33">
        <f t="shared" si="30"/>
        <v>0.26151685393258428</v>
      </c>
    </row>
    <row r="1969" spans="1:17" x14ac:dyDescent="0.3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  <c r="L1969" t="str">
        <f>IFERROR(VLOOKUP(D1969,Products!$A:$C,3,FALSE),"")</f>
        <v>Electronics</v>
      </c>
      <c r="M1969" t="str">
        <f>IFERROR(VLOOKUP(C1969,Customers!$A:$E,5,FALSE),"")</f>
        <v>Retail</v>
      </c>
      <c r="N1969">
        <f>IFERROR(VLOOKUP(C1969,Customers!$A:$E,3,FALSE),"")</f>
        <v>28</v>
      </c>
      <c r="O1969" s="33" t="str">
        <f>IFERROR(VLOOKUP(E1969,Sales_Reps!$A:$C,3,FALSE),"")</f>
        <v>West</v>
      </c>
      <c r="P1969" s="33">
        <f>IFERROR(VLOOKUP(D1969,Products!$A:$D,4,FALSE),"")</f>
        <v>517</v>
      </c>
      <c r="Q1969" s="33">
        <f t="shared" si="30"/>
        <v>0.57622950819672136</v>
      </c>
    </row>
    <row r="1970" spans="1:17" x14ac:dyDescent="0.3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  <c r="L1970" t="str">
        <f>IFERROR(VLOOKUP(D1970,Products!$A:$C,3,FALSE),"")</f>
        <v>Sports</v>
      </c>
      <c r="M1970" t="str">
        <f>IFERROR(VLOOKUP(C1970,Customers!$A:$E,5,FALSE),"")</f>
        <v>Retail</v>
      </c>
      <c r="N1970">
        <f>IFERROR(VLOOKUP(C1970,Customers!$A:$E,3,FALSE),"")</f>
        <v>42</v>
      </c>
      <c r="O1970" s="33" t="str">
        <f>IFERROR(VLOOKUP(E1970,Sales_Reps!$A:$C,3,FALSE),"")</f>
        <v>North</v>
      </c>
      <c r="P1970" s="33">
        <f>IFERROR(VLOOKUP(D1970,Products!$A:$D,4,FALSE),"")</f>
        <v>147</v>
      </c>
      <c r="Q1970" s="33">
        <f t="shared" si="30"/>
        <v>0.22631578947368422</v>
      </c>
    </row>
    <row r="1971" spans="1:17" x14ac:dyDescent="0.3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  <c r="L1971" t="str">
        <f>IFERROR(VLOOKUP(D1971,Products!$A:$C,3,FALSE),"")</f>
        <v>Sports</v>
      </c>
      <c r="M1971" t="str">
        <f>IFERROR(VLOOKUP(C1971,Customers!$A:$E,5,FALSE),"")</f>
        <v>Corporate</v>
      </c>
      <c r="N1971">
        <f>IFERROR(VLOOKUP(C1971,Customers!$A:$E,3,FALSE),"")</f>
        <v>24</v>
      </c>
      <c r="O1971" s="33" t="str">
        <f>IFERROR(VLOOKUP(E1971,Sales_Reps!$A:$C,3,FALSE),"")</f>
        <v>North</v>
      </c>
      <c r="P1971" s="33">
        <f>IFERROR(VLOOKUP(D1971,Products!$A:$D,4,FALSE),"")</f>
        <v>516</v>
      </c>
      <c r="Q1971" s="33">
        <f t="shared" si="30"/>
        <v>0.4891089108910891</v>
      </c>
    </row>
    <row r="1972" spans="1:17" x14ac:dyDescent="0.3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  <c r="L1972" t="str">
        <f>IFERROR(VLOOKUP(D1972,Products!$A:$C,3,FALSE),"")</f>
        <v>Electronics</v>
      </c>
      <c r="M1972" t="str">
        <f>IFERROR(VLOOKUP(C1972,Customers!$A:$E,5,FALSE),"")</f>
        <v>Retail</v>
      </c>
      <c r="N1972">
        <f>IFERROR(VLOOKUP(C1972,Customers!$A:$E,3,FALSE),"")</f>
        <v>57</v>
      </c>
      <c r="O1972" s="33" t="str">
        <f>IFERROR(VLOOKUP(E1972,Sales_Reps!$A:$C,3,FALSE),"")</f>
        <v>South</v>
      </c>
      <c r="P1972" s="33">
        <f>IFERROR(VLOOKUP(D1972,Products!$A:$D,4,FALSE),"")</f>
        <v>1052</v>
      </c>
      <c r="Q1972" s="33">
        <f t="shared" si="30"/>
        <v>0.5953846153846154</v>
      </c>
    </row>
    <row r="1973" spans="1:17" x14ac:dyDescent="0.3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  <c r="L1973" t="str">
        <f>IFERROR(VLOOKUP(D1973,Products!$A:$C,3,FALSE),"")</f>
        <v>Apparel</v>
      </c>
      <c r="M1973" t="str">
        <f>IFERROR(VLOOKUP(C1973,Customers!$A:$E,5,FALSE),"")</f>
        <v>Retail</v>
      </c>
      <c r="N1973">
        <f>IFERROR(VLOOKUP(C1973,Customers!$A:$E,3,FALSE),"")</f>
        <v>41</v>
      </c>
      <c r="O1973" s="33" t="str">
        <f>IFERROR(VLOOKUP(E1973,Sales_Reps!$A:$C,3,FALSE),"")</f>
        <v>West</v>
      </c>
      <c r="P1973" s="33">
        <f>IFERROR(VLOOKUP(D1973,Products!$A:$D,4,FALSE),"")</f>
        <v>1748</v>
      </c>
      <c r="Q1973" s="33">
        <f t="shared" si="30"/>
        <v>0.49333333333333335</v>
      </c>
    </row>
    <row r="1974" spans="1:17" x14ac:dyDescent="0.3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  <c r="L1974" t="str">
        <f>IFERROR(VLOOKUP(D1974,Products!$A:$C,3,FALSE),"")</f>
        <v>Apparel</v>
      </c>
      <c r="M1974" t="str">
        <f>IFERROR(VLOOKUP(C1974,Customers!$A:$E,5,FALSE),"")</f>
        <v>Corporate</v>
      </c>
      <c r="N1974">
        <f>IFERROR(VLOOKUP(C1974,Customers!$A:$E,3,FALSE),"")</f>
        <v>52</v>
      </c>
      <c r="O1974" s="33" t="str">
        <f>IFERROR(VLOOKUP(E1974,Sales_Reps!$A:$C,3,FALSE),"")</f>
        <v>East</v>
      </c>
      <c r="P1974" s="33">
        <f>IFERROR(VLOOKUP(D1974,Products!$A:$D,4,FALSE),"")</f>
        <v>1075</v>
      </c>
      <c r="Q1974" s="33">
        <f t="shared" si="30"/>
        <v>0.57171314741035861</v>
      </c>
    </row>
    <row r="1975" spans="1:17" x14ac:dyDescent="0.3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  <c r="L1975" t="str">
        <f>IFERROR(VLOOKUP(D1975,Products!$A:$C,3,FALSE),"")</f>
        <v>Sports</v>
      </c>
      <c r="M1975" t="str">
        <f>IFERROR(VLOOKUP(C1975,Customers!$A:$E,5,FALSE),"")</f>
        <v>Retail</v>
      </c>
      <c r="N1975">
        <f>IFERROR(VLOOKUP(C1975,Customers!$A:$E,3,FALSE),"")</f>
        <v>36</v>
      </c>
      <c r="O1975" s="33" t="str">
        <f>IFERROR(VLOOKUP(E1975,Sales_Reps!$A:$C,3,FALSE),"")</f>
        <v>West</v>
      </c>
      <c r="P1975" s="33">
        <f>IFERROR(VLOOKUP(D1975,Products!$A:$D,4,FALSE),"")</f>
        <v>147</v>
      </c>
      <c r="Q1975" s="33">
        <f t="shared" si="30"/>
        <v>0.22631578947368422</v>
      </c>
    </row>
    <row r="1976" spans="1:17" x14ac:dyDescent="0.3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  <c r="L1976" t="str">
        <f>IFERROR(VLOOKUP(D1976,Products!$A:$C,3,FALSE),"")</f>
        <v>Beauty</v>
      </c>
      <c r="M1976" t="str">
        <f>IFERROR(VLOOKUP(C1976,Customers!$A:$E,5,FALSE),"")</f>
        <v>Retail</v>
      </c>
      <c r="N1976">
        <f>IFERROR(VLOOKUP(C1976,Customers!$A:$E,3,FALSE),"")</f>
        <v>42</v>
      </c>
      <c r="O1976" s="33" t="str">
        <f>IFERROR(VLOOKUP(E1976,Sales_Reps!$A:$C,3,FALSE),"")</f>
        <v>West</v>
      </c>
      <c r="P1976" s="33">
        <f>IFERROR(VLOOKUP(D1976,Products!$A:$D,4,FALSE),"")</f>
        <v>1222</v>
      </c>
      <c r="Q1976" s="33">
        <f t="shared" si="30"/>
        <v>0.2593939393939394</v>
      </c>
    </row>
    <row r="1977" spans="1:17" x14ac:dyDescent="0.3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  <c r="L1977" t="str">
        <f>IFERROR(VLOOKUP(D1977,Products!$A:$C,3,FALSE),"")</f>
        <v>Sports</v>
      </c>
      <c r="M1977" t="str">
        <f>IFERROR(VLOOKUP(C1977,Customers!$A:$E,5,FALSE),"")</f>
        <v>Corporate</v>
      </c>
      <c r="N1977">
        <f>IFERROR(VLOOKUP(C1977,Customers!$A:$E,3,FALSE),"")</f>
        <v>57</v>
      </c>
      <c r="O1977" s="33" t="str">
        <f>IFERROR(VLOOKUP(E1977,Sales_Reps!$A:$C,3,FALSE),"")</f>
        <v>South</v>
      </c>
      <c r="P1977" s="33">
        <f>IFERROR(VLOOKUP(D1977,Products!$A:$D,4,FALSE),"")</f>
        <v>2028</v>
      </c>
      <c r="Q1977" s="33">
        <f t="shared" si="30"/>
        <v>0.29090909090909089</v>
      </c>
    </row>
    <row r="1978" spans="1:17" x14ac:dyDescent="0.3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  <c r="L1978" t="str">
        <f>IFERROR(VLOOKUP(D1978,Products!$A:$C,3,FALSE),"")</f>
        <v>Sports</v>
      </c>
      <c r="M1978" t="str">
        <f>IFERROR(VLOOKUP(C1978,Customers!$A:$E,5,FALSE),"")</f>
        <v>Retail</v>
      </c>
      <c r="N1978">
        <f>IFERROR(VLOOKUP(C1978,Customers!$A:$E,3,FALSE),"")</f>
        <v>54</v>
      </c>
      <c r="O1978" s="33" t="str">
        <f>IFERROR(VLOOKUP(E1978,Sales_Reps!$A:$C,3,FALSE),"")</f>
        <v>West</v>
      </c>
      <c r="P1978" s="33">
        <f>IFERROR(VLOOKUP(D1978,Products!$A:$D,4,FALSE),"")</f>
        <v>302</v>
      </c>
      <c r="Q1978" s="33">
        <f t="shared" si="30"/>
        <v>0.35744680851063831</v>
      </c>
    </row>
    <row r="1979" spans="1:17" x14ac:dyDescent="0.3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  <c r="L1979" t="str">
        <f>IFERROR(VLOOKUP(D1979,Products!$A:$C,3,FALSE),"")</f>
        <v>Sports</v>
      </c>
      <c r="M1979" t="str">
        <f>IFERROR(VLOOKUP(C1979,Customers!$A:$E,5,FALSE),"")</f>
        <v>Corporate</v>
      </c>
      <c r="N1979">
        <f>IFERROR(VLOOKUP(C1979,Customers!$A:$E,3,FALSE),"")</f>
        <v>54</v>
      </c>
      <c r="O1979" s="33" t="str">
        <f>IFERROR(VLOOKUP(E1979,Sales_Reps!$A:$C,3,FALSE),"")</f>
        <v>West</v>
      </c>
      <c r="P1979" s="33">
        <f>IFERROR(VLOOKUP(D1979,Products!$A:$D,4,FALSE),"")</f>
        <v>2028</v>
      </c>
      <c r="Q1979" s="33">
        <f t="shared" si="30"/>
        <v>0.29090909090909089</v>
      </c>
    </row>
    <row r="1980" spans="1:17" x14ac:dyDescent="0.3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  <c r="L1980" t="str">
        <f>IFERROR(VLOOKUP(D1980,Products!$A:$C,3,FALSE),"")</f>
        <v>Apparel</v>
      </c>
      <c r="M1980" t="str">
        <f>IFERROR(VLOOKUP(C1980,Customers!$A:$E,5,FALSE),"")</f>
        <v>Retail</v>
      </c>
      <c r="N1980">
        <f>IFERROR(VLOOKUP(C1980,Customers!$A:$E,3,FALSE),"")</f>
        <v>38</v>
      </c>
      <c r="O1980" s="33" t="str">
        <f>IFERROR(VLOOKUP(E1980,Sales_Reps!$A:$C,3,FALSE),"")</f>
        <v>East</v>
      </c>
      <c r="P1980" s="33">
        <f>IFERROR(VLOOKUP(D1980,Products!$A:$D,4,FALSE),"")</f>
        <v>1173</v>
      </c>
      <c r="Q1980" s="33">
        <f t="shared" si="30"/>
        <v>0.52701612903225803</v>
      </c>
    </row>
    <row r="1981" spans="1:17" x14ac:dyDescent="0.3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  <c r="L1981" t="str">
        <f>IFERROR(VLOOKUP(D1981,Products!$A:$C,3,FALSE),"")</f>
        <v>Home</v>
      </c>
      <c r="M1981" t="str">
        <f>IFERROR(VLOOKUP(C1981,Customers!$A:$E,5,FALSE),"")</f>
        <v>SMB</v>
      </c>
      <c r="N1981">
        <f>IFERROR(VLOOKUP(C1981,Customers!$A:$E,3,FALSE),"")</f>
        <v>44</v>
      </c>
      <c r="O1981" s="33" t="str">
        <f>IFERROR(VLOOKUP(E1981,Sales_Reps!$A:$C,3,FALSE),"")</f>
        <v>North</v>
      </c>
      <c r="P1981" s="33">
        <f>IFERROR(VLOOKUP(D1981,Products!$A:$D,4,FALSE),"")</f>
        <v>1143</v>
      </c>
      <c r="Q1981" s="33">
        <f t="shared" si="30"/>
        <v>0.43694581280788175</v>
      </c>
    </row>
    <row r="1982" spans="1:17" x14ac:dyDescent="0.3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  <c r="L1982" t="str">
        <f>IFERROR(VLOOKUP(D1982,Products!$A:$C,3,FALSE),"")</f>
        <v>Beauty</v>
      </c>
      <c r="M1982" t="str">
        <f>IFERROR(VLOOKUP(C1982,Customers!$A:$E,5,FALSE),"")</f>
        <v>SMB</v>
      </c>
      <c r="N1982">
        <f>IFERROR(VLOOKUP(C1982,Customers!$A:$E,3,FALSE),"")</f>
        <v>44</v>
      </c>
      <c r="O1982" s="33" t="str">
        <f>IFERROR(VLOOKUP(E1982,Sales_Reps!$A:$C,3,FALSE),"")</f>
        <v>South</v>
      </c>
      <c r="P1982" s="33">
        <f>IFERROR(VLOOKUP(D1982,Products!$A:$D,4,FALSE),"")</f>
        <v>2420</v>
      </c>
      <c r="Q1982" s="33">
        <f t="shared" si="30"/>
        <v>0.29855072463768118</v>
      </c>
    </row>
    <row r="1983" spans="1:17" x14ac:dyDescent="0.3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  <c r="L1983" t="str">
        <f>IFERROR(VLOOKUP(D1983,Products!$A:$C,3,FALSE),"")</f>
        <v>Electronics</v>
      </c>
      <c r="M1983" t="str">
        <f>IFERROR(VLOOKUP(C1983,Customers!$A:$E,5,FALSE),"")</f>
        <v>Retail</v>
      </c>
      <c r="N1983">
        <f>IFERROR(VLOOKUP(C1983,Customers!$A:$E,3,FALSE),"")</f>
        <v>61</v>
      </c>
      <c r="O1983" s="33" t="str">
        <f>IFERROR(VLOOKUP(E1983,Sales_Reps!$A:$C,3,FALSE),"")</f>
        <v>South</v>
      </c>
      <c r="P1983" s="33">
        <f>IFERROR(VLOOKUP(D1983,Products!$A:$D,4,FALSE),"")</f>
        <v>861</v>
      </c>
      <c r="Q1983" s="33">
        <f t="shared" si="30"/>
        <v>0.39790209790209791</v>
      </c>
    </row>
    <row r="1984" spans="1:17" x14ac:dyDescent="0.3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  <c r="L1984" t="str">
        <f>IFERROR(VLOOKUP(D1984,Products!$A:$C,3,FALSE),"")</f>
        <v>Apparel</v>
      </c>
      <c r="M1984" t="str">
        <f>IFERROR(VLOOKUP(C1984,Customers!$A:$E,5,FALSE),"")</f>
        <v>Retail</v>
      </c>
      <c r="N1984">
        <f>IFERROR(VLOOKUP(C1984,Customers!$A:$E,3,FALSE),"")</f>
        <v>26</v>
      </c>
      <c r="O1984" s="33" t="str">
        <f>IFERROR(VLOOKUP(E1984,Sales_Reps!$A:$C,3,FALSE),"")</f>
        <v>East</v>
      </c>
      <c r="P1984" s="33">
        <f>IFERROR(VLOOKUP(D1984,Products!$A:$D,4,FALSE),"")</f>
        <v>391</v>
      </c>
      <c r="Q1984" s="33">
        <f t="shared" si="30"/>
        <v>0.52317073170731709</v>
      </c>
    </row>
    <row r="1985" spans="1:17" x14ac:dyDescent="0.3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  <c r="L1985" t="str">
        <f>IFERROR(VLOOKUP(D1985,Products!$A:$C,3,FALSE),"")</f>
        <v>Beauty</v>
      </c>
      <c r="M1985" t="str">
        <f>IFERROR(VLOOKUP(C1985,Customers!$A:$E,5,FALSE),"")</f>
        <v>Corporate</v>
      </c>
      <c r="N1985">
        <f>IFERROR(VLOOKUP(C1985,Customers!$A:$E,3,FALSE),"")</f>
        <v>55</v>
      </c>
      <c r="O1985" s="33" t="str">
        <f>IFERROR(VLOOKUP(E1985,Sales_Reps!$A:$C,3,FALSE),"")</f>
        <v>East</v>
      </c>
      <c r="P1985" s="33">
        <f>IFERROR(VLOOKUP(D1985,Products!$A:$D,4,FALSE),"")</f>
        <v>2768</v>
      </c>
      <c r="Q1985" s="33">
        <f t="shared" si="30"/>
        <v>0.43278688524590164</v>
      </c>
    </row>
    <row r="1986" spans="1:17" x14ac:dyDescent="0.3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  <c r="L1986" t="str">
        <f>IFERROR(VLOOKUP(D1986,Products!$A:$C,3,FALSE),"")</f>
        <v>Beauty</v>
      </c>
      <c r="M1986" t="str">
        <f>IFERROR(VLOOKUP(C1986,Customers!$A:$E,5,FALSE),"")</f>
        <v>Retail</v>
      </c>
      <c r="N1986">
        <f>IFERROR(VLOOKUP(C1986,Customers!$A:$E,3,FALSE),"")</f>
        <v>36</v>
      </c>
      <c r="O1986" s="33" t="str">
        <f>IFERROR(VLOOKUP(E1986,Sales_Reps!$A:$C,3,FALSE),"")</f>
        <v>South</v>
      </c>
      <c r="P1986" s="33">
        <f>IFERROR(VLOOKUP(D1986,Products!$A:$D,4,FALSE),"")</f>
        <v>1728</v>
      </c>
      <c r="Q1986" s="33">
        <f t="shared" si="30"/>
        <v>0.48417910447761192</v>
      </c>
    </row>
    <row r="1987" spans="1:17" x14ac:dyDescent="0.3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  <c r="L1987" t="str">
        <f>IFERROR(VLOOKUP(D1987,Products!$A:$C,3,FALSE),"")</f>
        <v>Apparel</v>
      </c>
      <c r="M1987" t="str">
        <f>IFERROR(VLOOKUP(C1987,Customers!$A:$E,5,FALSE),"")</f>
        <v>Retail</v>
      </c>
      <c r="N1987">
        <f>IFERROR(VLOOKUP(C1987,Customers!$A:$E,3,FALSE),"")</f>
        <v>32</v>
      </c>
      <c r="O1987" s="33" t="str">
        <f>IFERROR(VLOOKUP(E1987,Sales_Reps!$A:$C,3,FALSE),"")</f>
        <v>East</v>
      </c>
      <c r="P1987" s="33">
        <f>IFERROR(VLOOKUP(D1987,Products!$A:$D,4,FALSE),"")</f>
        <v>1173</v>
      </c>
      <c r="Q1987" s="33">
        <f t="shared" ref="Q1987:Q2001" si="31">IFERROR((G1987-P1987)/G1987,"")</f>
        <v>0.52701612903225803</v>
      </c>
    </row>
    <row r="1988" spans="1:17" x14ac:dyDescent="0.3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  <c r="L1988" t="str">
        <f>IFERROR(VLOOKUP(D1988,Products!$A:$C,3,FALSE),"")</f>
        <v>Home</v>
      </c>
      <c r="M1988" t="str">
        <f>IFERROR(VLOOKUP(C1988,Customers!$A:$E,5,FALSE),"")</f>
        <v>SMB</v>
      </c>
      <c r="N1988">
        <f>IFERROR(VLOOKUP(C1988,Customers!$A:$E,3,FALSE),"")</f>
        <v>64</v>
      </c>
      <c r="O1988" s="33" t="str">
        <f>IFERROR(VLOOKUP(E1988,Sales_Reps!$A:$C,3,FALSE),"")</f>
        <v>West</v>
      </c>
      <c r="P1988" s="33">
        <f>IFERROR(VLOOKUP(D1988,Products!$A:$D,4,FALSE),"")</f>
        <v>1850</v>
      </c>
      <c r="Q1988" s="33">
        <f t="shared" si="31"/>
        <v>0.59869848156182215</v>
      </c>
    </row>
    <row r="1989" spans="1:17" x14ac:dyDescent="0.3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  <c r="L1989" t="str">
        <f>IFERROR(VLOOKUP(D1989,Products!$A:$C,3,FALSE),"")</f>
        <v>Grocery</v>
      </c>
      <c r="M1989" t="str">
        <f>IFERROR(VLOOKUP(C1989,Customers!$A:$E,5,FALSE),"")</f>
        <v>Retail</v>
      </c>
      <c r="N1989">
        <f>IFERROR(VLOOKUP(C1989,Customers!$A:$E,3,FALSE),"")</f>
        <v>54</v>
      </c>
      <c r="O1989" s="33" t="str">
        <f>IFERROR(VLOOKUP(E1989,Sales_Reps!$A:$C,3,FALSE),"")</f>
        <v>North</v>
      </c>
      <c r="P1989" s="33">
        <f>IFERROR(VLOOKUP(D1989,Products!$A:$D,4,FALSE),"")</f>
        <v>2436</v>
      </c>
      <c r="Q1989" s="33">
        <f t="shared" si="31"/>
        <v>0.35555555555555557</v>
      </c>
    </row>
    <row r="1990" spans="1:17" x14ac:dyDescent="0.3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  <c r="L1990" t="str">
        <f>IFERROR(VLOOKUP(D1990,Products!$A:$C,3,FALSE),"")</f>
        <v>Beauty</v>
      </c>
      <c r="M1990" t="str">
        <f>IFERROR(VLOOKUP(C1990,Customers!$A:$E,5,FALSE),"")</f>
        <v>Retail</v>
      </c>
      <c r="N1990">
        <f>IFERROR(VLOOKUP(C1990,Customers!$A:$E,3,FALSE),"")</f>
        <v>53</v>
      </c>
      <c r="O1990" s="33" t="str">
        <f>IFERROR(VLOOKUP(E1990,Sales_Reps!$A:$C,3,FALSE),"")</f>
        <v>West</v>
      </c>
      <c r="P1990" s="33">
        <f>IFERROR(VLOOKUP(D1990,Products!$A:$D,4,FALSE),"")</f>
        <v>1626</v>
      </c>
      <c r="Q1990" s="33">
        <f t="shared" si="31"/>
        <v>0.46158940397350995</v>
      </c>
    </row>
    <row r="1991" spans="1:17" x14ac:dyDescent="0.3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  <c r="L1991" t="str">
        <f>IFERROR(VLOOKUP(D1991,Products!$A:$C,3,FALSE),"")</f>
        <v>Home</v>
      </c>
      <c r="M1991" t="str">
        <f>IFERROR(VLOOKUP(C1991,Customers!$A:$E,5,FALSE),"")</f>
        <v>Retail</v>
      </c>
      <c r="N1991">
        <f>IFERROR(VLOOKUP(C1991,Customers!$A:$E,3,FALSE),"")</f>
        <v>32</v>
      </c>
      <c r="O1991" s="33" t="str">
        <f>IFERROR(VLOOKUP(E1991,Sales_Reps!$A:$C,3,FALSE),"")</f>
        <v>North</v>
      </c>
      <c r="P1991" s="33">
        <f>IFERROR(VLOOKUP(D1991,Products!$A:$D,4,FALSE),"")</f>
        <v>464</v>
      </c>
      <c r="Q1991" s="33">
        <f t="shared" si="31"/>
        <v>0.57431192660550456</v>
      </c>
    </row>
    <row r="1992" spans="1:17" x14ac:dyDescent="0.3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  <c r="L1992" t="str">
        <f>IFERROR(VLOOKUP(D1992,Products!$A:$C,3,FALSE),"")</f>
        <v>Beauty</v>
      </c>
      <c r="M1992" t="str">
        <f>IFERROR(VLOOKUP(C1992,Customers!$A:$E,5,FALSE),"")</f>
        <v>Corporate</v>
      </c>
      <c r="N1992">
        <f>IFERROR(VLOOKUP(C1992,Customers!$A:$E,3,FALSE),"")</f>
        <v>31</v>
      </c>
      <c r="O1992" s="33" t="str">
        <f>IFERROR(VLOOKUP(E1992,Sales_Reps!$A:$C,3,FALSE),"")</f>
        <v>South</v>
      </c>
      <c r="P1992" s="33">
        <f>IFERROR(VLOOKUP(D1992,Products!$A:$D,4,FALSE),"")</f>
        <v>2237</v>
      </c>
      <c r="Q1992" s="33">
        <f t="shared" si="31"/>
        <v>0.56137254901960787</v>
      </c>
    </row>
    <row r="1993" spans="1:17" x14ac:dyDescent="0.3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  <c r="L1993" t="str">
        <f>IFERROR(VLOOKUP(D1993,Products!$A:$C,3,FALSE),"")</f>
        <v>Beauty</v>
      </c>
      <c r="M1993" t="str">
        <f>IFERROR(VLOOKUP(C1993,Customers!$A:$E,5,FALSE),"")</f>
        <v>SMB</v>
      </c>
      <c r="N1993">
        <f>IFERROR(VLOOKUP(C1993,Customers!$A:$E,3,FALSE),"")</f>
        <v>59</v>
      </c>
      <c r="O1993" s="33" t="str">
        <f>IFERROR(VLOOKUP(E1993,Sales_Reps!$A:$C,3,FALSE),"")</f>
        <v>North</v>
      </c>
      <c r="P1993" s="33">
        <f>IFERROR(VLOOKUP(D1993,Products!$A:$D,4,FALSE),"")</f>
        <v>2768</v>
      </c>
      <c r="Q1993" s="33">
        <f t="shared" si="31"/>
        <v>0.43278688524590164</v>
      </c>
    </row>
    <row r="1994" spans="1:17" x14ac:dyDescent="0.3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  <c r="L1994" t="str">
        <f>IFERROR(VLOOKUP(D1994,Products!$A:$C,3,FALSE),"")</f>
        <v>Electronics</v>
      </c>
      <c r="M1994" t="str">
        <f>IFERROR(VLOOKUP(C1994,Customers!$A:$E,5,FALSE),"")</f>
        <v>Retail</v>
      </c>
      <c r="N1994">
        <f>IFERROR(VLOOKUP(C1994,Customers!$A:$E,3,FALSE),"")</f>
        <v>65</v>
      </c>
      <c r="O1994" s="33" t="str">
        <f>IFERROR(VLOOKUP(E1994,Sales_Reps!$A:$C,3,FALSE),"")</f>
        <v>West</v>
      </c>
      <c r="P1994" s="33">
        <f>IFERROR(VLOOKUP(D1994,Products!$A:$D,4,FALSE),"")</f>
        <v>2405</v>
      </c>
      <c r="Q1994" s="33">
        <f t="shared" si="31"/>
        <v>0.54878048780487809</v>
      </c>
    </row>
    <row r="1995" spans="1:17" x14ac:dyDescent="0.3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  <c r="L1995" t="str">
        <f>IFERROR(VLOOKUP(D1995,Products!$A:$C,3,FALSE),"")</f>
        <v>Home</v>
      </c>
      <c r="M1995" t="str">
        <f>IFERROR(VLOOKUP(C1995,Customers!$A:$E,5,FALSE),"")</f>
        <v>SMB</v>
      </c>
      <c r="N1995">
        <f>IFERROR(VLOOKUP(C1995,Customers!$A:$E,3,FALSE),"")</f>
        <v>39</v>
      </c>
      <c r="O1995" s="33" t="str">
        <f>IFERROR(VLOOKUP(E1995,Sales_Reps!$A:$C,3,FALSE),"")</f>
        <v>West</v>
      </c>
      <c r="P1995" s="33">
        <f>IFERROR(VLOOKUP(D1995,Products!$A:$D,4,FALSE),"")</f>
        <v>1143</v>
      </c>
      <c r="Q1995" s="33">
        <f t="shared" si="31"/>
        <v>0.43694581280788175</v>
      </c>
    </row>
    <row r="1996" spans="1:17" x14ac:dyDescent="0.3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  <c r="L1996" t="str">
        <f>IFERROR(VLOOKUP(D1996,Products!$A:$C,3,FALSE),"")</f>
        <v>Beauty</v>
      </c>
      <c r="M1996" t="str">
        <f>IFERROR(VLOOKUP(C1996,Customers!$A:$E,5,FALSE),"")</f>
        <v>Retail</v>
      </c>
      <c r="N1996">
        <f>IFERROR(VLOOKUP(C1996,Customers!$A:$E,3,FALSE),"")</f>
        <v>42</v>
      </c>
      <c r="O1996" s="33" t="str">
        <f>IFERROR(VLOOKUP(E1996,Sales_Reps!$A:$C,3,FALSE),"")</f>
        <v>West</v>
      </c>
      <c r="P1996" s="33">
        <f>IFERROR(VLOOKUP(D1996,Products!$A:$D,4,FALSE),"")</f>
        <v>1728</v>
      </c>
      <c r="Q1996" s="33">
        <f t="shared" si="31"/>
        <v>0.48417910447761192</v>
      </c>
    </row>
    <row r="1997" spans="1:17" x14ac:dyDescent="0.3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  <c r="L1997" t="str">
        <f>IFERROR(VLOOKUP(D1997,Products!$A:$C,3,FALSE),"")</f>
        <v>Home</v>
      </c>
      <c r="M1997" t="str">
        <f>IFERROR(VLOOKUP(C1997,Customers!$A:$E,5,FALSE),"")</f>
        <v>Retail</v>
      </c>
      <c r="N1997">
        <f>IFERROR(VLOOKUP(C1997,Customers!$A:$E,3,FALSE),"")</f>
        <v>49</v>
      </c>
      <c r="O1997" s="33" t="str">
        <f>IFERROR(VLOOKUP(E1997,Sales_Reps!$A:$C,3,FALSE),"")</f>
        <v>South</v>
      </c>
      <c r="P1997" s="33">
        <f>IFERROR(VLOOKUP(D1997,Products!$A:$D,4,FALSE),"")</f>
        <v>2135</v>
      </c>
      <c r="Q1997" s="33">
        <f t="shared" si="31"/>
        <v>0.42761394101876676</v>
      </c>
    </row>
    <row r="1998" spans="1:17" x14ac:dyDescent="0.3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  <c r="L1998" t="str">
        <f>IFERROR(VLOOKUP(D1998,Products!$A:$C,3,FALSE),"")</f>
        <v>Electronics</v>
      </c>
      <c r="M1998" t="str">
        <f>IFERROR(VLOOKUP(C1998,Customers!$A:$E,5,FALSE),"")</f>
        <v>SMB</v>
      </c>
      <c r="N1998">
        <f>IFERROR(VLOOKUP(C1998,Customers!$A:$E,3,FALSE),"")</f>
        <v>24</v>
      </c>
      <c r="O1998" s="33" t="str">
        <f>IFERROR(VLOOKUP(E1998,Sales_Reps!$A:$C,3,FALSE),"")</f>
        <v>East</v>
      </c>
      <c r="P1998" s="33">
        <f>IFERROR(VLOOKUP(D1998,Products!$A:$D,4,FALSE),"")</f>
        <v>2865</v>
      </c>
      <c r="Q1998" s="33">
        <f t="shared" si="31"/>
        <v>0.27833753148614609</v>
      </c>
    </row>
    <row r="1999" spans="1:17" x14ac:dyDescent="0.3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  <c r="L1999" t="str">
        <f>IFERROR(VLOOKUP(D1999,Products!$A:$C,3,FALSE),"")</f>
        <v>Grocery</v>
      </c>
      <c r="M1999" t="str">
        <f>IFERROR(VLOOKUP(C1999,Customers!$A:$E,5,FALSE),"")</f>
        <v>Corporate</v>
      </c>
      <c r="N1999">
        <f>IFERROR(VLOOKUP(C1999,Customers!$A:$E,3,FALSE),"")</f>
        <v>43</v>
      </c>
      <c r="O1999" s="33" t="str">
        <f>IFERROR(VLOOKUP(E1999,Sales_Reps!$A:$C,3,FALSE),"")</f>
        <v>South</v>
      </c>
      <c r="P1999" s="33">
        <f>IFERROR(VLOOKUP(D1999,Products!$A:$D,4,FALSE),"")</f>
        <v>1010</v>
      </c>
      <c r="Q1999" s="33">
        <f t="shared" si="31"/>
        <v>0.54298642533936647</v>
      </c>
    </row>
    <row r="2000" spans="1:17" x14ac:dyDescent="0.3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  <c r="L2000" t="str">
        <f>IFERROR(VLOOKUP(D2000,Products!$A:$C,3,FALSE),"")</f>
        <v>Sports</v>
      </c>
      <c r="M2000" t="str">
        <f>IFERROR(VLOOKUP(C2000,Customers!$A:$E,5,FALSE),"")</f>
        <v>Retail</v>
      </c>
      <c r="N2000">
        <f>IFERROR(VLOOKUP(C2000,Customers!$A:$E,3,FALSE),"")</f>
        <v>43</v>
      </c>
      <c r="O2000" s="33" t="str">
        <f>IFERROR(VLOOKUP(E2000,Sales_Reps!$A:$C,3,FALSE),"")</f>
        <v>North</v>
      </c>
      <c r="P2000" s="33">
        <f>IFERROR(VLOOKUP(D2000,Products!$A:$D,4,FALSE),"")</f>
        <v>2265</v>
      </c>
      <c r="Q2000" s="33">
        <f t="shared" si="31"/>
        <v>0.58133086876155271</v>
      </c>
    </row>
    <row r="2001" spans="1:17" x14ac:dyDescent="0.3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  <c r="L2001" t="str">
        <f>IFERROR(VLOOKUP(D2001,Products!$A:$C,3,FALSE),"")</f>
        <v>Home</v>
      </c>
      <c r="M2001" t="str">
        <f>IFERROR(VLOOKUP(C2001,Customers!$A:$E,5,FALSE),"")</f>
        <v>Retail</v>
      </c>
      <c r="N2001">
        <f>IFERROR(VLOOKUP(C2001,Customers!$A:$E,3,FALSE),"")</f>
        <v>49</v>
      </c>
      <c r="O2001" s="33" t="str">
        <f>IFERROR(VLOOKUP(E2001,Sales_Reps!$A:$C,3,FALSE),"")</f>
        <v>East</v>
      </c>
      <c r="P2001" s="33">
        <f>IFERROR(VLOOKUP(D2001,Products!$A:$D,4,FALSE),"")</f>
        <v>2459</v>
      </c>
      <c r="Q2001" s="33">
        <f t="shared" si="31"/>
        <v>0.51594488188976373</v>
      </c>
    </row>
    <row r="2002" spans="1:17" x14ac:dyDescent="0.3">
      <c r="N2002" t="str">
        <f>IFERROR(VLOOKUP(C2002,Customers!$A:$E,3,FALSE),"")</f>
        <v/>
      </c>
      <c r="P2002" s="33" t="str">
        <f>IFERROR(VLOOKUP(D2002,Products!$A:$D,4,FALSE),"")</f>
        <v/>
      </c>
    </row>
    <row r="2003" spans="1:17" x14ac:dyDescent="0.3">
      <c r="N2003" t="str">
        <f>IFERROR(VLOOKUP(C2003,Customers!$A:$E,3,FALSE),"")</f>
        <v/>
      </c>
      <c r="P2003" s="33" t="str">
        <f>IFERROR(VLOOKUP(D2003,Products!$A:$D,4,FALSE),"")</f>
        <v/>
      </c>
    </row>
    <row r="2004" spans="1:17" x14ac:dyDescent="0.3">
      <c r="N2004">
        <f>AVERAGEIF(Orders!$K$2:$K$2001,"Delhi",Orders!$Q$2:$Q$2001)</f>
        <v>0.4488087270396342</v>
      </c>
      <c r="P2004" s="33" t="str">
        <f>IFERROR(VLOOKUP(D2004,Products!$A:$D,4,FALSE),"")</f>
        <v/>
      </c>
    </row>
    <row r="2005" spans="1:17" x14ac:dyDescent="0.3">
      <c r="N2005" t="str">
        <f>IFERROR(VLOOKUP(C2005,Customers!$A:$E,3,FALSE),"")</f>
        <v/>
      </c>
      <c r="P2005" s="33" t="str">
        <f>IFERROR(VLOOKUP(D2005,Products!$A:$D,4,FALSE),"")</f>
        <v/>
      </c>
    </row>
    <row r="2006" spans="1:17" x14ac:dyDescent="0.3">
      <c r="P2006" s="33" t="str">
        <f>IFERROR(VLOOKUP(D2006,Products!$A:$D,4,FALSE),"")</f>
        <v/>
      </c>
    </row>
    <row r="2007" spans="1:17" x14ac:dyDescent="0.3">
      <c r="P2007" s="33" t="str">
        <f>IFERROR(VLOOKUP(D2007,Products!$A:$D,4,FALSE),"")</f>
        <v/>
      </c>
    </row>
    <row r="2008" spans="1:17" x14ac:dyDescent="0.3">
      <c r="P2008" s="33" t="str">
        <f>IFERROR(VLOOKUP(D2008,Products!$A:$D,4,FALSE),"")</f>
        <v/>
      </c>
    </row>
    <row r="2009" spans="1:17" x14ac:dyDescent="0.3">
      <c r="P2009" s="33" t="str">
        <f>IFERROR(VLOOKUP(D2009,Products!$A:$D,4,FALSE),"")</f>
        <v/>
      </c>
    </row>
    <row r="2010" spans="1:17" x14ac:dyDescent="0.3">
      <c r="P2010" s="33" t="str">
        <f>IFERROR(VLOOKUP(D2010,Products!$A:$D,4,FALSE),"")</f>
        <v/>
      </c>
    </row>
    <row r="2011" spans="1:17" x14ac:dyDescent="0.3">
      <c r="P2011" s="33" t="str">
        <f>IFERROR(VLOOKUP(D2011,Products!$A:$D,4,FALSE),"")</f>
        <v/>
      </c>
    </row>
    <row r="2012" spans="1:17" x14ac:dyDescent="0.3">
      <c r="P2012" s="33" t="str">
        <f>IFERROR(VLOOKUP(D2012,Products!$A:$D,4,FALSE),"")</f>
        <v/>
      </c>
    </row>
    <row r="2013" spans="1:17" x14ac:dyDescent="0.3">
      <c r="P2013" s="33" t="str">
        <f>IFERROR(VLOOKUP(D2013,Products!$A:$D,4,FALSE),"")</f>
        <v/>
      </c>
    </row>
    <row r="2014" spans="1:17" x14ac:dyDescent="0.3">
      <c r="P2014" s="33" t="str">
        <f>IFERROR(VLOOKUP(D2014,Products!$A:$D,4,FALSE),"")</f>
        <v/>
      </c>
    </row>
    <row r="2015" spans="1:17" x14ac:dyDescent="0.3">
      <c r="P2015" s="33" t="str">
        <f>IFERROR(VLOOKUP(D2015,Products!$A:$D,4,FALSE),"")</f>
        <v/>
      </c>
    </row>
    <row r="2016" spans="1:17" x14ac:dyDescent="0.3">
      <c r="P2016" s="33" t="str">
        <f>IFERROR(VLOOKUP(D2016,Products!$A:$D,4,FALSE),"")</f>
        <v/>
      </c>
    </row>
    <row r="2017" spans="16:16" x14ac:dyDescent="0.3">
      <c r="P2017" s="33" t="str">
        <f>IFERROR(VLOOKUP(D2017,Products!$A:$D,4,FALSE),"")</f>
        <v/>
      </c>
    </row>
    <row r="2018" spans="16:16" x14ac:dyDescent="0.3">
      <c r="P2018" s="33" t="str">
        <f>IFERROR(VLOOKUP(D2018,Products!$A:$D,4,FALSE),"")</f>
        <v/>
      </c>
    </row>
    <row r="2019" spans="16:16" x14ac:dyDescent="0.3">
      <c r="P2019" s="33" t="str">
        <f>IFERROR(VLOOKUP(D2019,Products!$A:$D,4,FALSE),"")</f>
        <v/>
      </c>
    </row>
    <row r="2020" spans="16:16" x14ac:dyDescent="0.3">
      <c r="P2020" s="33" t="str">
        <f>IFERROR(VLOOKUP(D2020,Products!$A:$D,4,FALSE),"")</f>
        <v/>
      </c>
    </row>
    <row r="2021" spans="16:16" x14ac:dyDescent="0.3">
      <c r="P2021" s="33" t="str">
        <f>IFERROR(VLOOKUP(D2021,Products!$A:$D,4,FALSE),"")</f>
        <v/>
      </c>
    </row>
    <row r="2022" spans="16:16" x14ac:dyDescent="0.3">
      <c r="P2022" s="33" t="str">
        <f>IFERROR(VLOOKUP(D2022,Products!$A:$D,4,FALSE),"")</f>
        <v/>
      </c>
    </row>
    <row r="2023" spans="16:16" x14ac:dyDescent="0.3">
      <c r="P2023" s="33" t="str">
        <f>IFERROR(VLOOKUP(D2023,Products!$A:$D,4,FALSE),"")</f>
        <v/>
      </c>
    </row>
    <row r="2024" spans="16:16" x14ac:dyDescent="0.3">
      <c r="P2024" s="33" t="str">
        <f>IFERROR(VLOOKUP(D2024,Products!$A:$D,4,FALSE),"")</f>
        <v/>
      </c>
    </row>
    <row r="2025" spans="16:16" x14ac:dyDescent="0.3">
      <c r="P2025" s="33" t="str">
        <f>IFERROR(VLOOKUP(D2025,Products!$A:$D,4,FALSE),"")</f>
        <v/>
      </c>
    </row>
    <row r="2026" spans="16:16" x14ac:dyDescent="0.3">
      <c r="P2026" s="33" t="str">
        <f>IFERROR(VLOOKUP(D2026,Products!$A:$D,4,FALSE),"")</f>
        <v/>
      </c>
    </row>
    <row r="2027" spans="16:16" x14ac:dyDescent="0.3">
      <c r="P2027" s="33" t="str">
        <f>IFERROR(VLOOKUP(D2027,Products!$A:$D,4,FALSE),"")</f>
        <v/>
      </c>
    </row>
    <row r="2028" spans="16:16" x14ac:dyDescent="0.3">
      <c r="P2028" s="33" t="str">
        <f>IFERROR(VLOOKUP(D2028,Products!$A:$D,4,FALSE),"")</f>
        <v/>
      </c>
    </row>
    <row r="2029" spans="16:16" x14ac:dyDescent="0.3">
      <c r="P2029" s="33" t="str">
        <f>IFERROR(VLOOKUP(D2029,Products!$A:$D,4,FALSE),"")</f>
        <v/>
      </c>
    </row>
    <row r="2030" spans="16:16" x14ac:dyDescent="0.3">
      <c r="P2030" s="33" t="str">
        <f>IFERROR(VLOOKUP(D2030,Products!$A:$D,4,FALSE),"")</f>
        <v/>
      </c>
    </row>
    <row r="2031" spans="16:16" x14ac:dyDescent="0.3">
      <c r="P2031" s="33" t="str">
        <f>IFERROR(VLOOKUP(D2031,Products!$A:$D,4,FALSE),"")</f>
        <v/>
      </c>
    </row>
    <row r="2032" spans="16:16" x14ac:dyDescent="0.3">
      <c r="P2032" s="33" t="str">
        <f>IFERROR(VLOOKUP(D2032,Products!$A:$D,4,FALSE),"")</f>
        <v/>
      </c>
    </row>
    <row r="2033" spans="16:16" x14ac:dyDescent="0.3">
      <c r="P2033" s="33" t="str">
        <f>IFERROR(VLOOKUP(D2033,Products!$A:$D,4,FALSE),"")</f>
        <v/>
      </c>
    </row>
    <row r="2034" spans="16:16" x14ac:dyDescent="0.3">
      <c r="P2034" s="33" t="str">
        <f>IFERROR(VLOOKUP(D2034,Products!$A:$D,4,FALSE),"")</f>
        <v/>
      </c>
    </row>
    <row r="2035" spans="16:16" x14ac:dyDescent="0.3">
      <c r="P2035" s="33" t="str">
        <f>IFERROR(VLOOKUP(D2035,Products!$A:$D,4,FALSE),"")</f>
        <v/>
      </c>
    </row>
    <row r="2036" spans="16:16" x14ac:dyDescent="0.3">
      <c r="P2036" s="33" t="str">
        <f>IFERROR(VLOOKUP(D2036,Products!$A:$D,4,FALSE),"")</f>
        <v/>
      </c>
    </row>
    <row r="2037" spans="16:16" x14ac:dyDescent="0.3">
      <c r="P2037" s="33" t="str">
        <f>IFERROR(VLOOKUP(D2037,Products!$A:$D,4,FALSE),"")</f>
        <v/>
      </c>
    </row>
    <row r="2038" spans="16:16" x14ac:dyDescent="0.3">
      <c r="P2038" s="33" t="str">
        <f>IFERROR(VLOOKUP(D2038,Products!$A:$D,4,FALSE),"")</f>
        <v/>
      </c>
    </row>
    <row r="2039" spans="16:16" x14ac:dyDescent="0.3">
      <c r="P2039" s="33" t="str">
        <f>IFERROR(VLOOKUP(D2039,Products!$A:$D,4,FALSE),"")</f>
        <v/>
      </c>
    </row>
    <row r="2040" spans="16:16" x14ac:dyDescent="0.3">
      <c r="P2040" s="33" t="str">
        <f>IFERROR(VLOOKUP(D2040,Products!$A:$D,4,FALSE),"")</f>
        <v/>
      </c>
    </row>
    <row r="2041" spans="16:16" x14ac:dyDescent="0.3">
      <c r="P2041" s="33" t="str">
        <f>IFERROR(VLOOKUP(D2041,Products!$A:$D,4,FALSE),"")</f>
        <v/>
      </c>
    </row>
    <row r="2042" spans="16:16" x14ac:dyDescent="0.3">
      <c r="P2042" s="33" t="str">
        <f>IFERROR(VLOOKUP(D2042,Products!$A:$D,4,FALSE),"")</f>
        <v/>
      </c>
    </row>
    <row r="2043" spans="16:16" x14ac:dyDescent="0.3">
      <c r="P2043" s="33" t="str">
        <f>IFERROR(VLOOKUP(D2043,Products!$A:$D,4,FALSE),"")</f>
        <v/>
      </c>
    </row>
    <row r="2044" spans="16:16" x14ac:dyDescent="0.3">
      <c r="P2044" s="33" t="str">
        <f>IFERROR(VLOOKUP(D2044,Products!$A:$D,4,FALSE),"")</f>
        <v/>
      </c>
    </row>
    <row r="2045" spans="16:16" x14ac:dyDescent="0.3">
      <c r="P2045" s="33" t="str">
        <f>IFERROR(VLOOKUP(D2045,Products!$A:$D,4,FALSE),"")</f>
        <v/>
      </c>
    </row>
    <row r="2046" spans="16:16" x14ac:dyDescent="0.3">
      <c r="P2046" s="33" t="str">
        <f>IFERROR(VLOOKUP(D2046,Products!$A:$D,4,FALSE),"")</f>
        <v/>
      </c>
    </row>
    <row r="2047" spans="16:16" x14ac:dyDescent="0.3">
      <c r="P2047" s="33" t="str">
        <f>IFERROR(VLOOKUP(D2047,Products!$A:$D,4,FALSE),"")</f>
        <v/>
      </c>
    </row>
    <row r="2048" spans="16:16" x14ac:dyDescent="0.3">
      <c r="P2048" s="33" t="str">
        <f>IFERROR(VLOOKUP(D2048,Products!$A:$D,4,FALSE),"")</f>
        <v/>
      </c>
    </row>
    <row r="2049" spans="16:16" x14ac:dyDescent="0.3">
      <c r="P2049" s="33" t="str">
        <f>IFERROR(VLOOKUP(D2049,Products!$A:$D,4,FALSE),"")</f>
        <v/>
      </c>
    </row>
    <row r="2050" spans="16:16" x14ac:dyDescent="0.3">
      <c r="P2050" s="33" t="str">
        <f>IFERROR(VLOOKUP(D2050,Products!$A:$D,4,FALSE),"")</f>
        <v/>
      </c>
    </row>
    <row r="2051" spans="16:16" x14ac:dyDescent="0.3">
      <c r="P2051" s="33" t="str">
        <f>IFERROR(VLOOKUP(D2051,Products!$A:$D,4,FALSE),"")</f>
        <v/>
      </c>
    </row>
    <row r="2052" spans="16:16" x14ac:dyDescent="0.3">
      <c r="P2052" s="33" t="str">
        <f>IFERROR(VLOOKUP(D2052,Products!$A:$D,4,FALSE),"")</f>
        <v/>
      </c>
    </row>
    <row r="2053" spans="16:16" x14ac:dyDescent="0.3">
      <c r="P2053" s="33" t="str">
        <f>IFERROR(VLOOKUP(D2053,Products!$A:$D,4,FALSE),"")</f>
        <v/>
      </c>
    </row>
    <row r="2054" spans="16:16" x14ac:dyDescent="0.3">
      <c r="P2054" s="33" t="str">
        <f>IFERROR(VLOOKUP(D2054,Products!$A:$D,4,FALSE),"")</f>
        <v/>
      </c>
    </row>
    <row r="2055" spans="16:16" x14ac:dyDescent="0.3">
      <c r="P2055" s="33" t="str">
        <f>IFERROR(VLOOKUP(D2055,Products!$A:$D,4,FALSE),"")</f>
        <v/>
      </c>
    </row>
    <row r="2056" spans="16:16" x14ac:dyDescent="0.3">
      <c r="P2056" s="33" t="str">
        <f>IFERROR(VLOOKUP(D2056,Products!$A:$D,4,FALSE),"")</f>
        <v/>
      </c>
    </row>
    <row r="2057" spans="16:16" x14ac:dyDescent="0.3">
      <c r="P2057" s="33" t="str">
        <f>IFERROR(VLOOKUP(D2057,Products!$A:$D,4,FALSE),"")</f>
        <v/>
      </c>
    </row>
    <row r="2058" spans="16:16" x14ac:dyDescent="0.3">
      <c r="P2058" s="33" t="str">
        <f>IFERROR(VLOOKUP(D2058,Products!$A:$D,4,FALSE),"")</f>
        <v/>
      </c>
    </row>
    <row r="2059" spans="16:16" x14ac:dyDescent="0.3">
      <c r="P2059" s="33" t="str">
        <f>IFERROR(VLOOKUP(D2059,Products!$A:$D,4,FALSE),"")</f>
        <v/>
      </c>
    </row>
    <row r="2060" spans="16:16" x14ac:dyDescent="0.3">
      <c r="P2060" s="33" t="str">
        <f>IFERROR(VLOOKUP(D2060,Products!$A:$D,4,FALSE),"")</f>
        <v/>
      </c>
    </row>
    <row r="2061" spans="16:16" x14ac:dyDescent="0.3">
      <c r="P2061" s="33" t="str">
        <f>IFERROR(VLOOKUP(D2061,Products!$A:$D,4,FALSE),"")</f>
        <v/>
      </c>
    </row>
    <row r="2062" spans="16:16" x14ac:dyDescent="0.3">
      <c r="P2062" s="33" t="str">
        <f>IFERROR(VLOOKUP(D2062,Products!$A:$D,4,FALSE),"")</f>
        <v/>
      </c>
    </row>
    <row r="2063" spans="16:16" x14ac:dyDescent="0.3">
      <c r="P2063" s="33" t="str">
        <f>IFERROR(VLOOKUP(D2063,Products!$A:$D,4,FALSE),"")</f>
        <v/>
      </c>
    </row>
    <row r="2064" spans="16:16" x14ac:dyDescent="0.3">
      <c r="P2064" s="33" t="str">
        <f>IFERROR(VLOOKUP(D2064,Products!$A:$D,4,FALSE),"")</f>
        <v/>
      </c>
    </row>
    <row r="2065" spans="16:16" x14ac:dyDescent="0.3">
      <c r="P2065" s="33" t="str">
        <f>IFERROR(VLOOKUP(D2065,Products!$A:$D,4,FALSE),"")</f>
        <v/>
      </c>
    </row>
    <row r="2066" spans="16:16" x14ac:dyDescent="0.3">
      <c r="P2066" s="33" t="str">
        <f>IFERROR(VLOOKUP(D2066,Products!$A:$D,4,FALSE),"")</f>
        <v/>
      </c>
    </row>
    <row r="2067" spans="16:16" x14ac:dyDescent="0.3">
      <c r="P2067" s="33" t="str">
        <f>IFERROR(VLOOKUP(D2067,Products!$A:$D,4,FALSE),"")</f>
        <v/>
      </c>
    </row>
    <row r="2068" spans="16:16" x14ac:dyDescent="0.3">
      <c r="P2068" s="33" t="str">
        <f>IFERROR(VLOOKUP(D2068,Products!$A:$D,4,FALSE),"")</f>
        <v/>
      </c>
    </row>
    <row r="2069" spans="16:16" x14ac:dyDescent="0.3">
      <c r="P2069" s="33" t="str">
        <f>IFERROR(VLOOKUP(D2069,Products!$A:$D,4,FALSE),"")</f>
        <v/>
      </c>
    </row>
    <row r="2070" spans="16:16" x14ac:dyDescent="0.3">
      <c r="P2070" s="33" t="str">
        <f>IFERROR(VLOOKUP(D2070,Products!$A:$D,4,FALSE),"")</f>
        <v/>
      </c>
    </row>
    <row r="2071" spans="16:16" x14ac:dyDescent="0.3">
      <c r="P2071" s="33" t="str">
        <f>IFERROR(VLOOKUP(D2071,Products!$A:$D,4,FALSE),"")</f>
        <v/>
      </c>
    </row>
    <row r="2072" spans="16:16" x14ac:dyDescent="0.3">
      <c r="P2072" s="33" t="str">
        <f>IFERROR(VLOOKUP(D2072,Products!$A:$D,4,FALSE),"")</f>
        <v/>
      </c>
    </row>
    <row r="2073" spans="16:16" x14ac:dyDescent="0.3">
      <c r="P2073" s="33" t="str">
        <f>IFERROR(VLOOKUP(D2073,Products!$A:$D,4,FALSE),"")</f>
        <v/>
      </c>
    </row>
    <row r="2074" spans="16:16" x14ac:dyDescent="0.3">
      <c r="P2074" s="33" t="str">
        <f>IFERROR(VLOOKUP(D2074,Products!$A:$D,4,FALSE),"")</f>
        <v/>
      </c>
    </row>
    <row r="2075" spans="16:16" x14ac:dyDescent="0.3">
      <c r="P2075" s="33" t="str">
        <f>IFERROR(VLOOKUP(D2075,Products!$A:$D,4,FALSE),"")</f>
        <v/>
      </c>
    </row>
    <row r="2076" spans="16:16" x14ac:dyDescent="0.3">
      <c r="P2076" s="33" t="str">
        <f>IFERROR(VLOOKUP(D2076,Products!$A:$D,4,FALSE),"")</f>
        <v/>
      </c>
    </row>
    <row r="2077" spans="16:16" x14ac:dyDescent="0.3">
      <c r="P2077" s="33" t="str">
        <f>IFERROR(VLOOKUP(D2077,Products!$A:$D,4,FALSE),"")</f>
        <v/>
      </c>
    </row>
    <row r="2078" spans="16:16" x14ac:dyDescent="0.3">
      <c r="P2078" s="33" t="str">
        <f>IFERROR(VLOOKUP(D2078,Products!$A:$D,4,FALSE),"")</f>
        <v/>
      </c>
    </row>
    <row r="2079" spans="16:16" x14ac:dyDescent="0.3">
      <c r="P2079" s="33" t="str">
        <f>IFERROR(VLOOKUP(D2079,Products!$A:$D,4,FALSE),"")</f>
        <v/>
      </c>
    </row>
    <row r="2080" spans="16:16" x14ac:dyDescent="0.3">
      <c r="P2080" s="33" t="str">
        <f>IFERROR(VLOOKUP(D2080,Products!$A:$D,4,FALSE),"")</f>
        <v/>
      </c>
    </row>
    <row r="2081" spans="16:16" x14ac:dyDescent="0.3">
      <c r="P2081" s="33" t="str">
        <f>IFERROR(VLOOKUP(D2081,Products!$A:$D,4,FALSE),"")</f>
        <v/>
      </c>
    </row>
    <row r="2082" spans="16:16" x14ac:dyDescent="0.3">
      <c r="P2082" s="33" t="str">
        <f>IFERROR(VLOOKUP(D2082,Products!$A:$D,4,FALSE),"")</f>
        <v/>
      </c>
    </row>
    <row r="2083" spans="16:16" x14ac:dyDescent="0.3">
      <c r="P2083" s="33" t="str">
        <f>IFERROR(VLOOKUP(D2083,Products!$A:$D,4,FALSE),"")</f>
        <v/>
      </c>
    </row>
    <row r="2084" spans="16:16" x14ac:dyDescent="0.3">
      <c r="P2084" s="33" t="str">
        <f>IFERROR(VLOOKUP(D2084,Products!$A:$D,4,FALSE),"")</f>
        <v/>
      </c>
    </row>
    <row r="2085" spans="16:16" x14ac:dyDescent="0.3">
      <c r="P2085" s="33" t="str">
        <f>IFERROR(VLOOKUP(D2085,Products!$A:$D,4,FALSE),"")</f>
        <v/>
      </c>
    </row>
    <row r="2086" spans="16:16" x14ac:dyDescent="0.3">
      <c r="P2086" s="33" t="str">
        <f>IFERROR(VLOOKUP(D2086,Products!$A:$D,4,FALSE),"")</f>
        <v/>
      </c>
    </row>
    <row r="2087" spans="16:16" x14ac:dyDescent="0.3">
      <c r="P2087" s="33" t="str">
        <f>IFERROR(VLOOKUP(D2087,Products!$A:$D,4,FALSE),"")</f>
        <v/>
      </c>
    </row>
    <row r="2088" spans="16:16" x14ac:dyDescent="0.3">
      <c r="P2088" s="33" t="str">
        <f>IFERROR(VLOOKUP(D2088,Products!$A:$D,4,FALSE),"")</f>
        <v/>
      </c>
    </row>
    <row r="2089" spans="16:16" x14ac:dyDescent="0.3">
      <c r="P2089" s="33" t="str">
        <f>IFERROR(VLOOKUP(D2089,Products!$A:$D,4,FALSE),"")</f>
        <v/>
      </c>
    </row>
    <row r="2090" spans="16:16" x14ac:dyDescent="0.3">
      <c r="P2090" s="33" t="str">
        <f>IFERROR(VLOOKUP(D2090,Products!$A:$D,4,FALSE),"")</f>
        <v/>
      </c>
    </row>
    <row r="2091" spans="16:16" x14ac:dyDescent="0.3">
      <c r="P2091" s="33" t="str">
        <f>IFERROR(VLOOKUP(D2091,Products!$A:$D,4,FALSE),"")</f>
        <v/>
      </c>
    </row>
    <row r="2092" spans="16:16" x14ac:dyDescent="0.3">
      <c r="P2092" s="33" t="str">
        <f>IFERROR(VLOOKUP(D2092,Products!$A:$D,4,FALSE),"")</f>
        <v/>
      </c>
    </row>
    <row r="2093" spans="16:16" x14ac:dyDescent="0.3">
      <c r="P2093" s="33" t="str">
        <f>IFERROR(VLOOKUP(D2093,Products!$A:$D,4,FALSE),"")</f>
        <v/>
      </c>
    </row>
    <row r="2094" spans="16:16" x14ac:dyDescent="0.3">
      <c r="P2094" s="33" t="str">
        <f>IFERROR(VLOOKUP(D2094,Products!$A:$D,4,FALSE),"")</f>
        <v/>
      </c>
    </row>
    <row r="2095" spans="16:16" x14ac:dyDescent="0.3">
      <c r="P2095" s="33" t="str">
        <f>IFERROR(VLOOKUP(D2095,Products!$A:$D,4,FALSE),"")</f>
        <v/>
      </c>
    </row>
    <row r="2096" spans="16:16" x14ac:dyDescent="0.3">
      <c r="P2096" s="33" t="str">
        <f>IFERROR(VLOOKUP(D2096,Products!$A:$D,4,FALSE),"")</f>
        <v/>
      </c>
    </row>
    <row r="2097" spans="16:16" x14ac:dyDescent="0.3">
      <c r="P2097" s="33" t="str">
        <f>IFERROR(VLOOKUP(D2097,Products!$A:$D,4,FALSE),"")</f>
        <v/>
      </c>
    </row>
    <row r="2098" spans="16:16" x14ac:dyDescent="0.3">
      <c r="P2098" s="33" t="str">
        <f>IFERROR(VLOOKUP(D2098,Products!$A:$D,4,FALSE),"")</f>
        <v/>
      </c>
    </row>
    <row r="2099" spans="16:16" x14ac:dyDescent="0.3">
      <c r="P2099" s="33" t="str">
        <f>IFERROR(VLOOKUP(D2099,Products!$A:$D,4,FALSE),"")</f>
        <v/>
      </c>
    </row>
    <row r="2100" spans="16:16" x14ac:dyDescent="0.3">
      <c r="P2100" s="33" t="str">
        <f>IFERROR(VLOOKUP(D2100,Products!$A:$D,4,FALSE),"")</f>
        <v/>
      </c>
    </row>
    <row r="2101" spans="16:16" x14ac:dyDescent="0.3">
      <c r="P2101" s="33" t="str">
        <f>IFERROR(VLOOKUP(D2101,Products!$A:$D,4,FALSE),"")</f>
        <v/>
      </c>
    </row>
    <row r="2102" spans="16:16" x14ac:dyDescent="0.3">
      <c r="P2102" s="33" t="str">
        <f>IFERROR(VLOOKUP(D2102,Products!$A:$D,4,FALSE),"")</f>
        <v/>
      </c>
    </row>
    <row r="2103" spans="16:16" x14ac:dyDescent="0.3">
      <c r="P2103" s="33" t="str">
        <f>IFERROR(VLOOKUP(D2103,Products!$A:$D,4,FALSE),"")</f>
        <v/>
      </c>
    </row>
    <row r="2104" spans="16:16" x14ac:dyDescent="0.3">
      <c r="P2104" s="33" t="str">
        <f>IFERROR(VLOOKUP(D2104,Products!$A:$D,4,FALSE),"")</f>
        <v/>
      </c>
    </row>
    <row r="2105" spans="16:16" x14ac:dyDescent="0.3">
      <c r="P2105" s="33" t="str">
        <f>IFERROR(VLOOKUP(D2105,Products!$A:$D,4,FALSE),"")</f>
        <v/>
      </c>
    </row>
    <row r="2106" spans="16:16" x14ac:dyDescent="0.3">
      <c r="P2106" s="33" t="str">
        <f>IFERROR(VLOOKUP(D2106,Products!$A:$D,4,FALSE),"")</f>
        <v/>
      </c>
    </row>
    <row r="2107" spans="16:16" x14ac:dyDescent="0.3">
      <c r="P2107" s="33" t="str">
        <f>IFERROR(VLOOKUP(D2107,Products!$A:$D,4,FALSE),"")</f>
        <v/>
      </c>
    </row>
    <row r="2108" spans="16:16" x14ac:dyDescent="0.3">
      <c r="P2108" s="33" t="str">
        <f>IFERROR(VLOOKUP(D2108,Products!$A:$D,4,FALSE),"")</f>
        <v/>
      </c>
    </row>
    <row r="2109" spans="16:16" x14ac:dyDescent="0.3">
      <c r="P2109" s="33" t="str">
        <f>IFERROR(VLOOKUP(D2109,Products!$A:$D,4,FALSE),"")</f>
        <v/>
      </c>
    </row>
    <row r="2110" spans="16:16" x14ac:dyDescent="0.3">
      <c r="P2110" s="33" t="str">
        <f>IFERROR(VLOOKUP(D2110,Products!$A:$D,4,FALSE),"")</f>
        <v/>
      </c>
    </row>
    <row r="2111" spans="16:16" x14ac:dyDescent="0.3">
      <c r="P2111" s="33" t="str">
        <f>IFERROR(VLOOKUP(D2111,Products!$A:$D,4,FALSE),"")</f>
        <v/>
      </c>
    </row>
    <row r="2112" spans="16:16" x14ac:dyDescent="0.3">
      <c r="P2112" s="33" t="str">
        <f>IFERROR(VLOOKUP(D2112,Products!$A:$D,4,FALSE),"")</f>
        <v/>
      </c>
    </row>
    <row r="2113" spans="16:16" x14ac:dyDescent="0.3">
      <c r="P2113" s="33" t="str">
        <f>IFERROR(VLOOKUP(D2113,Products!$A:$D,4,FALSE),"")</f>
        <v/>
      </c>
    </row>
    <row r="2114" spans="16:16" x14ac:dyDescent="0.3">
      <c r="P2114" s="33" t="str">
        <f>IFERROR(VLOOKUP(D2114,Products!$A:$D,4,FALSE),"")</f>
        <v/>
      </c>
    </row>
    <row r="2115" spans="16:16" x14ac:dyDescent="0.3">
      <c r="P2115" s="33" t="str">
        <f>IFERROR(VLOOKUP(D2115,Products!$A:$D,4,FALSE),"")</f>
        <v/>
      </c>
    </row>
    <row r="2116" spans="16:16" x14ac:dyDescent="0.3">
      <c r="P2116" s="33" t="str">
        <f>IFERROR(VLOOKUP(D2116,Products!$A:$D,4,FALSE),"")</f>
        <v/>
      </c>
    </row>
    <row r="2117" spans="16:16" x14ac:dyDescent="0.3">
      <c r="P2117" s="33" t="str">
        <f>IFERROR(VLOOKUP(D2117,Products!$A:$D,4,FALSE),"")</f>
        <v/>
      </c>
    </row>
    <row r="2118" spans="16:16" x14ac:dyDescent="0.3">
      <c r="P2118" s="33" t="str">
        <f>IFERROR(VLOOKUP(D2118,Products!$A:$D,4,FALSE),"")</f>
        <v/>
      </c>
    </row>
    <row r="2119" spans="16:16" x14ac:dyDescent="0.3">
      <c r="P2119" s="33" t="str">
        <f>IFERROR(VLOOKUP(D2119,Products!$A:$D,4,FALSE),"")</f>
        <v/>
      </c>
    </row>
    <row r="2120" spans="16:16" x14ac:dyDescent="0.3">
      <c r="P2120" s="33" t="str">
        <f>IFERROR(VLOOKUP(D2120,Products!$A:$D,4,FALSE),"")</f>
        <v/>
      </c>
    </row>
    <row r="2121" spans="16:16" x14ac:dyDescent="0.3">
      <c r="P2121" s="33" t="str">
        <f>IFERROR(VLOOKUP(D2121,Products!$A:$D,4,FALSE),"")</f>
        <v/>
      </c>
    </row>
    <row r="2122" spans="16:16" x14ac:dyDescent="0.3">
      <c r="P2122" s="33" t="str">
        <f>IFERROR(VLOOKUP(D2122,Products!$A:$D,4,FALSE),"")</f>
        <v/>
      </c>
    </row>
    <row r="2123" spans="16:16" x14ac:dyDescent="0.3">
      <c r="P2123" s="33" t="str">
        <f>IFERROR(VLOOKUP(D2123,Products!$A:$D,4,FALSE),"")</f>
        <v/>
      </c>
    </row>
    <row r="2124" spans="16:16" x14ac:dyDescent="0.3">
      <c r="P2124" s="33" t="str">
        <f>IFERROR(VLOOKUP(D2124,Products!$A:$D,4,FALSE),"")</f>
        <v/>
      </c>
    </row>
    <row r="2125" spans="16:16" x14ac:dyDescent="0.3">
      <c r="P2125" s="33" t="str">
        <f>IFERROR(VLOOKUP(D2125,Products!$A:$D,4,FALSE),"")</f>
        <v/>
      </c>
    </row>
    <row r="2126" spans="16:16" x14ac:dyDescent="0.3">
      <c r="P2126" s="33" t="str">
        <f>IFERROR(VLOOKUP(D2126,Products!$A:$D,4,FALSE),"")</f>
        <v/>
      </c>
    </row>
    <row r="2127" spans="16:16" x14ac:dyDescent="0.3">
      <c r="P2127" s="33" t="str">
        <f>IFERROR(VLOOKUP(D2127,Products!$A:$D,4,FALSE),"")</f>
        <v/>
      </c>
    </row>
    <row r="2128" spans="16:16" x14ac:dyDescent="0.3">
      <c r="P2128" s="33" t="str">
        <f>IFERROR(VLOOKUP(D2128,Products!$A:$D,4,FALSE),"")</f>
        <v/>
      </c>
    </row>
    <row r="2129" spans="16:16" x14ac:dyDescent="0.3">
      <c r="P2129" s="33" t="str">
        <f>IFERROR(VLOOKUP(D2129,Products!$A:$D,4,FALSE),"")</f>
        <v/>
      </c>
    </row>
    <row r="2130" spans="16:16" x14ac:dyDescent="0.3">
      <c r="P2130" s="33" t="str">
        <f>IFERROR(VLOOKUP(D2130,Products!$A:$D,4,FALSE),"")</f>
        <v/>
      </c>
    </row>
    <row r="2131" spans="16:16" x14ac:dyDescent="0.3">
      <c r="P2131" s="33" t="str">
        <f>IFERROR(VLOOKUP(D2131,Products!$A:$D,4,FALSE),"")</f>
        <v/>
      </c>
    </row>
    <row r="2132" spans="16:16" x14ac:dyDescent="0.3">
      <c r="P2132" s="33" t="str">
        <f>IFERROR(VLOOKUP(D2132,Products!$A:$D,4,FALSE),"")</f>
        <v/>
      </c>
    </row>
    <row r="2133" spans="16:16" x14ac:dyDescent="0.3">
      <c r="P2133" s="33" t="str">
        <f>IFERROR(VLOOKUP(D2133,Products!$A:$D,4,FALSE),"")</f>
        <v/>
      </c>
    </row>
    <row r="2134" spans="16:16" x14ac:dyDescent="0.3">
      <c r="P2134" s="33" t="str">
        <f>IFERROR(VLOOKUP(D2134,Products!$A:$D,4,FALSE),"")</f>
        <v/>
      </c>
    </row>
    <row r="2135" spans="16:16" x14ac:dyDescent="0.3">
      <c r="P2135" s="33" t="str">
        <f>IFERROR(VLOOKUP(D2135,Products!$A:$D,4,FALSE),"")</f>
        <v/>
      </c>
    </row>
    <row r="2136" spans="16:16" x14ac:dyDescent="0.3">
      <c r="P2136" s="33" t="str">
        <f>IFERROR(VLOOKUP(D2136,Products!$A:$D,4,FALSE),"")</f>
        <v/>
      </c>
    </row>
    <row r="2137" spans="16:16" x14ac:dyDescent="0.3">
      <c r="P2137" s="33" t="str">
        <f>IFERROR(VLOOKUP(D2137,Products!$A:$D,4,FALSE),"")</f>
        <v/>
      </c>
    </row>
    <row r="2138" spans="16:16" x14ac:dyDescent="0.3">
      <c r="P2138" s="33" t="str">
        <f>IFERROR(VLOOKUP(D2138,Products!$A:$D,4,FALSE),"")</f>
        <v/>
      </c>
    </row>
    <row r="2139" spans="16:16" x14ac:dyDescent="0.3">
      <c r="P2139" s="33" t="str">
        <f>IFERROR(VLOOKUP(D2139,Products!$A:$D,4,FALSE),"")</f>
        <v/>
      </c>
    </row>
    <row r="2140" spans="16:16" x14ac:dyDescent="0.3">
      <c r="P2140" s="33" t="str">
        <f>IFERROR(VLOOKUP(D2140,Products!$A:$D,4,FALSE),"")</f>
        <v/>
      </c>
    </row>
    <row r="2141" spans="16:16" x14ac:dyDescent="0.3">
      <c r="P2141" s="33" t="str">
        <f>IFERROR(VLOOKUP(D2141,Products!$A:$D,4,FALSE),"")</f>
        <v/>
      </c>
    </row>
    <row r="2142" spans="16:16" x14ac:dyDescent="0.3">
      <c r="P2142" s="33" t="str">
        <f>IFERROR(VLOOKUP(D2142,Products!$A:$D,4,FALSE),"")</f>
        <v/>
      </c>
    </row>
    <row r="2143" spans="16:16" x14ac:dyDescent="0.3">
      <c r="P2143" s="33" t="str">
        <f>IFERROR(VLOOKUP(D2143,Products!$A:$D,4,FALSE),"")</f>
        <v/>
      </c>
    </row>
    <row r="2144" spans="16:16" x14ac:dyDescent="0.3">
      <c r="P2144" s="33" t="str">
        <f>IFERROR(VLOOKUP(D2144,Products!$A:$D,4,FALSE),"")</f>
        <v/>
      </c>
    </row>
    <row r="2145" spans="16:16" x14ac:dyDescent="0.3">
      <c r="P2145" s="33" t="str">
        <f>IFERROR(VLOOKUP(D2145,Products!$A:$D,4,FALSE),"")</f>
        <v/>
      </c>
    </row>
    <row r="2146" spans="16:16" x14ac:dyDescent="0.3">
      <c r="P2146" s="33" t="str">
        <f>IFERROR(VLOOKUP(D2146,Products!$A:$D,4,FALSE),"")</f>
        <v/>
      </c>
    </row>
    <row r="2147" spans="16:16" x14ac:dyDescent="0.3">
      <c r="P2147" s="33" t="str">
        <f>IFERROR(VLOOKUP(D2147,Products!$A:$D,4,FALSE),"")</f>
        <v/>
      </c>
    </row>
    <row r="2148" spans="16:16" x14ac:dyDescent="0.3">
      <c r="P2148" s="33" t="str">
        <f>IFERROR(VLOOKUP(D2148,Products!$A:$D,4,FALSE),"")</f>
        <v/>
      </c>
    </row>
    <row r="2149" spans="16:16" x14ac:dyDescent="0.3">
      <c r="P2149" s="33" t="str">
        <f>IFERROR(VLOOKUP(D2149,Products!$A:$D,4,FALSE),"")</f>
        <v/>
      </c>
    </row>
    <row r="2150" spans="16:16" x14ac:dyDescent="0.3">
      <c r="P2150" s="33" t="str">
        <f>IFERROR(VLOOKUP(D2150,Products!$A:$D,4,FALSE),"")</f>
        <v/>
      </c>
    </row>
    <row r="2151" spans="16:16" x14ac:dyDescent="0.3">
      <c r="P2151" s="33" t="str">
        <f>IFERROR(VLOOKUP(D2151,Products!$A:$D,4,FALSE),"")</f>
        <v/>
      </c>
    </row>
    <row r="2152" spans="16:16" x14ac:dyDescent="0.3">
      <c r="P2152" s="33" t="str">
        <f>IFERROR(VLOOKUP(D2152,Products!$A:$D,4,FALSE),"")</f>
        <v/>
      </c>
    </row>
    <row r="2153" spans="16:16" x14ac:dyDescent="0.3">
      <c r="P2153" s="33" t="str">
        <f>IFERROR(VLOOKUP(D2153,Products!$A:$D,4,FALSE),"")</f>
        <v/>
      </c>
    </row>
    <row r="2154" spans="16:16" x14ac:dyDescent="0.3">
      <c r="P2154" s="33" t="str">
        <f>IFERROR(VLOOKUP(D2154,Products!$A:$D,4,FALSE),"")</f>
        <v/>
      </c>
    </row>
    <row r="2155" spans="16:16" x14ac:dyDescent="0.3">
      <c r="P2155" s="33" t="str">
        <f>IFERROR(VLOOKUP(D2155,Products!$A:$D,4,FALSE),"")</f>
        <v/>
      </c>
    </row>
    <row r="2156" spans="16:16" x14ac:dyDescent="0.3">
      <c r="P2156" s="33" t="str">
        <f>IFERROR(VLOOKUP(D2156,Products!$A:$D,4,FALSE),"")</f>
        <v/>
      </c>
    </row>
    <row r="2157" spans="16:16" x14ac:dyDescent="0.3">
      <c r="P2157" s="33" t="str">
        <f>IFERROR(VLOOKUP(D2157,Products!$A:$D,4,FALSE),"")</f>
        <v/>
      </c>
    </row>
    <row r="2158" spans="16:16" x14ac:dyDescent="0.3">
      <c r="P2158" s="33" t="str">
        <f>IFERROR(VLOOKUP(D2158,Products!$A:$D,4,FALSE),"")</f>
        <v/>
      </c>
    </row>
    <row r="2159" spans="16:16" x14ac:dyDescent="0.3">
      <c r="P2159" s="33" t="str">
        <f>IFERROR(VLOOKUP(D2159,Products!$A:$D,4,FALSE),"")</f>
        <v/>
      </c>
    </row>
    <row r="2160" spans="16:16" x14ac:dyDescent="0.3">
      <c r="P2160" s="33" t="str">
        <f>IFERROR(VLOOKUP(D2160,Products!$A:$D,4,FALSE),"")</f>
        <v/>
      </c>
    </row>
    <row r="2161" spans="16:16" x14ac:dyDescent="0.3">
      <c r="P2161" s="33" t="str">
        <f>IFERROR(VLOOKUP(D2161,Products!$A:$D,4,FALSE),"")</f>
        <v/>
      </c>
    </row>
    <row r="2162" spans="16:16" x14ac:dyDescent="0.3">
      <c r="P2162" s="33" t="str">
        <f>IFERROR(VLOOKUP(D2162,Products!$A:$D,4,FALSE),"")</f>
        <v/>
      </c>
    </row>
    <row r="2163" spans="16:16" x14ac:dyDescent="0.3">
      <c r="P2163" s="33" t="str">
        <f>IFERROR(VLOOKUP(D2163,Products!$A:$D,4,FALSE),"")</f>
        <v/>
      </c>
    </row>
    <row r="2164" spans="16:16" x14ac:dyDescent="0.3">
      <c r="P2164" s="33" t="str">
        <f>IFERROR(VLOOKUP(D2164,Products!$A:$D,4,FALSE),"")</f>
        <v/>
      </c>
    </row>
    <row r="2165" spans="16:16" x14ac:dyDescent="0.3">
      <c r="P2165" s="33" t="str">
        <f>IFERROR(VLOOKUP(D2165,Products!$A:$D,4,FALSE),"")</f>
        <v/>
      </c>
    </row>
    <row r="2166" spans="16:16" x14ac:dyDescent="0.3">
      <c r="P2166" s="33" t="str">
        <f>IFERROR(VLOOKUP(D2166,Products!$A:$D,4,FALSE),"")</f>
        <v/>
      </c>
    </row>
    <row r="2167" spans="16:16" x14ac:dyDescent="0.3">
      <c r="P2167" s="33" t="str">
        <f>IFERROR(VLOOKUP(D2167,Products!$A:$D,4,FALSE),"")</f>
        <v/>
      </c>
    </row>
    <row r="2168" spans="16:16" x14ac:dyDescent="0.3">
      <c r="P2168" s="33" t="str">
        <f>IFERROR(VLOOKUP(D2168,Products!$A:$D,4,FALSE),"")</f>
        <v/>
      </c>
    </row>
    <row r="2169" spans="16:16" x14ac:dyDescent="0.3">
      <c r="P2169" s="33" t="str">
        <f>IFERROR(VLOOKUP(D2169,Products!$A:$D,4,FALSE),"")</f>
        <v/>
      </c>
    </row>
    <row r="2170" spans="16:16" x14ac:dyDescent="0.3">
      <c r="P2170" s="33" t="str">
        <f>IFERROR(VLOOKUP(D2170,Products!$A:$D,4,FALSE),"")</f>
        <v/>
      </c>
    </row>
    <row r="2171" spans="16:16" x14ac:dyDescent="0.3">
      <c r="P2171" s="33" t="str">
        <f>IFERROR(VLOOKUP(D2171,Products!$A:$D,4,FALSE),"")</f>
        <v/>
      </c>
    </row>
    <row r="2172" spans="16:16" x14ac:dyDescent="0.3">
      <c r="P2172" s="33" t="str">
        <f>IFERROR(VLOOKUP(D2172,Products!$A:$D,4,FALSE),"")</f>
        <v/>
      </c>
    </row>
    <row r="2173" spans="16:16" x14ac:dyDescent="0.3">
      <c r="P2173" s="33" t="str">
        <f>IFERROR(VLOOKUP(D2173,Products!$A:$D,4,FALSE),"")</f>
        <v/>
      </c>
    </row>
    <row r="2174" spans="16:16" x14ac:dyDescent="0.3">
      <c r="P2174" s="33" t="str">
        <f>IFERROR(VLOOKUP(D2174,Products!$A:$D,4,FALSE),"")</f>
        <v/>
      </c>
    </row>
    <row r="2175" spans="16:16" x14ac:dyDescent="0.3">
      <c r="P2175" s="33" t="str">
        <f>IFERROR(VLOOKUP(D2175,Products!$A:$D,4,FALSE),"")</f>
        <v/>
      </c>
    </row>
    <row r="2176" spans="16:16" x14ac:dyDescent="0.3">
      <c r="P2176" s="33" t="str">
        <f>IFERROR(VLOOKUP(D2176,Products!$A:$D,4,FALSE),"")</f>
        <v/>
      </c>
    </row>
    <row r="2177" spans="16:16" x14ac:dyDescent="0.3">
      <c r="P2177" s="33" t="str">
        <f>IFERROR(VLOOKUP(D2177,Products!$A:$D,4,FALSE),"")</f>
        <v/>
      </c>
    </row>
    <row r="2178" spans="16:16" x14ac:dyDescent="0.3">
      <c r="P2178" s="33" t="str">
        <f>IFERROR(VLOOKUP(D2178,Products!$A:$D,4,FALSE),"")</f>
        <v/>
      </c>
    </row>
    <row r="2179" spans="16:16" x14ac:dyDescent="0.3">
      <c r="P2179" s="33" t="str">
        <f>IFERROR(VLOOKUP(D2179,Products!$A:$D,4,FALSE),"")</f>
        <v/>
      </c>
    </row>
    <row r="2180" spans="16:16" x14ac:dyDescent="0.3">
      <c r="P2180" s="33" t="str">
        <f>IFERROR(VLOOKUP(D2180,Products!$A:$D,4,FALSE),"")</f>
        <v/>
      </c>
    </row>
    <row r="2181" spans="16:16" x14ac:dyDescent="0.3">
      <c r="P2181" s="33" t="str">
        <f>IFERROR(VLOOKUP(D2181,Products!$A:$D,4,FALSE),"")</f>
        <v/>
      </c>
    </row>
    <row r="2182" spans="16:16" x14ac:dyDescent="0.3">
      <c r="P2182" s="33" t="str">
        <f>IFERROR(VLOOKUP(D2182,Products!$A:$D,4,FALSE),"")</f>
        <v/>
      </c>
    </row>
    <row r="2183" spans="16:16" x14ac:dyDescent="0.3">
      <c r="P2183" s="33" t="str">
        <f>IFERROR(VLOOKUP(D2183,Products!$A:$D,4,FALSE),"")</f>
        <v/>
      </c>
    </row>
    <row r="2184" spans="16:16" x14ac:dyDescent="0.3">
      <c r="P2184" s="33" t="str">
        <f>IFERROR(VLOOKUP(D2184,Products!$A:$D,4,FALSE),"")</f>
        <v/>
      </c>
    </row>
    <row r="2185" spans="16:16" x14ac:dyDescent="0.3">
      <c r="P2185" s="33" t="str">
        <f>IFERROR(VLOOKUP(D2185,Products!$A:$D,4,FALSE),"")</f>
        <v/>
      </c>
    </row>
    <row r="2186" spans="16:16" x14ac:dyDescent="0.3">
      <c r="P2186" s="33" t="str">
        <f>IFERROR(VLOOKUP(D2186,Products!$A:$D,4,FALSE),"")</f>
        <v/>
      </c>
    </row>
    <row r="2187" spans="16:16" x14ac:dyDescent="0.3">
      <c r="P2187" s="33" t="str">
        <f>IFERROR(VLOOKUP(D2187,Products!$A:$D,4,FALSE),"")</f>
        <v/>
      </c>
    </row>
    <row r="2188" spans="16:16" x14ac:dyDescent="0.3">
      <c r="P2188" s="33" t="str">
        <f>IFERROR(VLOOKUP(D2188,Products!$A:$D,4,FALSE),"")</f>
        <v/>
      </c>
    </row>
    <row r="2189" spans="16:16" x14ac:dyDescent="0.3">
      <c r="P2189" s="33" t="str">
        <f>IFERROR(VLOOKUP(D2189,Products!$A:$D,4,FALSE),"")</f>
        <v/>
      </c>
    </row>
    <row r="2190" spans="16:16" x14ac:dyDescent="0.3">
      <c r="P2190" s="33" t="str">
        <f>IFERROR(VLOOKUP(D2190,Products!$A:$D,4,FALSE),"")</f>
        <v/>
      </c>
    </row>
    <row r="2191" spans="16:16" x14ac:dyDescent="0.3">
      <c r="P2191" s="33" t="str">
        <f>IFERROR(VLOOKUP(D2191,Products!$A:$D,4,FALSE),"")</f>
        <v/>
      </c>
    </row>
    <row r="2192" spans="16:16" x14ac:dyDescent="0.3">
      <c r="P2192" s="33" t="str">
        <f>IFERROR(VLOOKUP(D2192,Products!$A:$D,4,FALSE),"")</f>
        <v/>
      </c>
    </row>
    <row r="2193" spans="16:16" x14ac:dyDescent="0.3">
      <c r="P2193" s="33" t="str">
        <f>IFERROR(VLOOKUP(D2193,Products!$A:$D,4,FALSE),"")</f>
        <v/>
      </c>
    </row>
    <row r="2194" spans="16:16" x14ac:dyDescent="0.3">
      <c r="P2194" s="33" t="str">
        <f>IFERROR(VLOOKUP(D2194,Products!$A:$D,4,FALSE),"")</f>
        <v/>
      </c>
    </row>
    <row r="2195" spans="16:16" x14ac:dyDescent="0.3">
      <c r="P2195" s="33" t="str">
        <f>IFERROR(VLOOKUP(D2195,Products!$A:$D,4,FALSE),"")</f>
        <v/>
      </c>
    </row>
    <row r="2196" spans="16:16" x14ac:dyDescent="0.3">
      <c r="P2196" s="33" t="str">
        <f>IFERROR(VLOOKUP(D2196,Products!$A:$D,4,FALSE),"")</f>
        <v/>
      </c>
    </row>
    <row r="2197" spans="16:16" x14ac:dyDescent="0.3">
      <c r="P2197" s="33" t="str">
        <f>IFERROR(VLOOKUP(D2197,Products!$A:$D,4,FALSE),"")</f>
        <v/>
      </c>
    </row>
    <row r="2198" spans="16:16" x14ac:dyDescent="0.3">
      <c r="P2198" s="33" t="str">
        <f>IFERROR(VLOOKUP(D2198,Products!$A:$D,4,FALSE),"")</f>
        <v/>
      </c>
    </row>
    <row r="2199" spans="16:16" x14ac:dyDescent="0.3">
      <c r="P2199" s="33" t="str">
        <f>IFERROR(VLOOKUP(D2199,Products!$A:$D,4,FALSE),"")</f>
        <v/>
      </c>
    </row>
    <row r="2200" spans="16:16" x14ac:dyDescent="0.3">
      <c r="P2200" s="33" t="str">
        <f>IFERROR(VLOOKUP(D2200,Products!$A:$D,4,FALSE),"")</f>
        <v/>
      </c>
    </row>
    <row r="2201" spans="16:16" x14ac:dyDescent="0.3">
      <c r="P2201" s="33" t="str">
        <f>IFERROR(VLOOKUP(D2201,Products!$A:$D,4,FALSE),"")</f>
        <v/>
      </c>
    </row>
    <row r="2202" spans="16:16" x14ac:dyDescent="0.3">
      <c r="P2202" s="33" t="str">
        <f>IFERROR(VLOOKUP(D2202,Products!$A:$D,4,FALSE),"")</f>
        <v/>
      </c>
    </row>
    <row r="2203" spans="16:16" x14ac:dyDescent="0.3">
      <c r="P2203" s="33" t="str">
        <f>IFERROR(VLOOKUP(D2203,Products!$A:$D,4,FALSE),"")</f>
        <v/>
      </c>
    </row>
    <row r="2204" spans="16:16" x14ac:dyDescent="0.3">
      <c r="P2204" s="33" t="str">
        <f>IFERROR(VLOOKUP(D2204,Products!$A:$D,4,FALSE),"")</f>
        <v/>
      </c>
    </row>
    <row r="2205" spans="16:16" x14ac:dyDescent="0.3">
      <c r="P2205" s="33" t="str">
        <f>IFERROR(VLOOKUP(D2205,Products!$A:$D,4,FALSE),"")</f>
        <v/>
      </c>
    </row>
    <row r="2206" spans="16:16" x14ac:dyDescent="0.3">
      <c r="P2206" s="33" t="str">
        <f>IFERROR(VLOOKUP(D2206,Products!$A:$D,4,FALSE),"")</f>
        <v/>
      </c>
    </row>
    <row r="2207" spans="16:16" x14ac:dyDescent="0.3">
      <c r="P2207" s="33" t="str">
        <f>IFERROR(VLOOKUP(D2207,Products!$A:$D,4,FALSE),"")</f>
        <v/>
      </c>
    </row>
    <row r="2208" spans="16:16" x14ac:dyDescent="0.3">
      <c r="P2208" s="33" t="str">
        <f>IFERROR(VLOOKUP(D2208,Products!$A:$D,4,FALSE),"")</f>
        <v/>
      </c>
    </row>
    <row r="2209" spans="16:16" x14ac:dyDescent="0.3">
      <c r="P2209" s="33" t="str">
        <f>IFERROR(VLOOKUP(D2209,Products!$A:$D,4,FALSE),"")</f>
        <v/>
      </c>
    </row>
    <row r="2210" spans="16:16" x14ac:dyDescent="0.3">
      <c r="P2210" s="33" t="str">
        <f>IFERROR(VLOOKUP(D2210,Products!$A:$D,4,FALSE),"")</f>
        <v/>
      </c>
    </row>
    <row r="2211" spans="16:16" x14ac:dyDescent="0.3">
      <c r="P2211" s="33" t="str">
        <f>IFERROR(VLOOKUP(D2211,Products!$A:$D,4,FALSE),"")</f>
        <v/>
      </c>
    </row>
    <row r="2212" spans="16:16" x14ac:dyDescent="0.3">
      <c r="P2212" s="33" t="str">
        <f>IFERROR(VLOOKUP(D2212,Products!$A:$D,4,FALSE),"")</f>
        <v/>
      </c>
    </row>
    <row r="2213" spans="16:16" x14ac:dyDescent="0.3">
      <c r="P2213" s="33" t="str">
        <f>IFERROR(VLOOKUP(D2213,Products!$A:$D,4,FALSE),"")</f>
        <v/>
      </c>
    </row>
    <row r="2214" spans="16:16" x14ac:dyDescent="0.3">
      <c r="P2214" s="33" t="str">
        <f>IFERROR(VLOOKUP(D2214,Products!$A:$D,4,FALSE),"")</f>
        <v/>
      </c>
    </row>
    <row r="2215" spans="16:16" x14ac:dyDescent="0.3">
      <c r="P2215" s="33" t="str">
        <f>IFERROR(VLOOKUP(D2215,Products!$A:$D,4,FALSE),"")</f>
        <v/>
      </c>
    </row>
    <row r="2216" spans="16:16" x14ac:dyDescent="0.3">
      <c r="P2216" s="33" t="str">
        <f>IFERROR(VLOOKUP(D2216,Products!$A:$D,4,FALSE),"")</f>
        <v/>
      </c>
    </row>
    <row r="2217" spans="16:16" x14ac:dyDescent="0.3">
      <c r="P2217" s="33" t="str">
        <f>IFERROR(VLOOKUP(D2217,Products!$A:$D,4,FALSE),"")</f>
        <v/>
      </c>
    </row>
    <row r="2218" spans="16:16" x14ac:dyDescent="0.3">
      <c r="P2218" s="33" t="str">
        <f>IFERROR(VLOOKUP(D2218,Products!$A:$D,4,FALSE),"")</f>
        <v/>
      </c>
    </row>
    <row r="2219" spans="16:16" x14ac:dyDescent="0.3">
      <c r="P2219" s="33" t="str">
        <f>IFERROR(VLOOKUP(D2219,Products!$A:$D,4,FALSE),"")</f>
        <v/>
      </c>
    </row>
    <row r="2220" spans="16:16" x14ac:dyDescent="0.3">
      <c r="P2220" s="33" t="str">
        <f>IFERROR(VLOOKUP(D2220,Products!$A:$D,4,FALSE),"")</f>
        <v/>
      </c>
    </row>
    <row r="2221" spans="16:16" x14ac:dyDescent="0.3">
      <c r="P2221" s="33" t="str">
        <f>IFERROR(VLOOKUP(D2221,Products!$A:$D,4,FALSE),"")</f>
        <v/>
      </c>
    </row>
    <row r="2222" spans="16:16" x14ac:dyDescent="0.3">
      <c r="P2222" s="33" t="str">
        <f>IFERROR(VLOOKUP(D2222,Products!$A:$D,4,FALSE),"")</f>
        <v/>
      </c>
    </row>
    <row r="2223" spans="16:16" x14ac:dyDescent="0.3">
      <c r="P2223" s="33" t="str">
        <f>IFERROR(VLOOKUP(D2223,Products!$A:$D,4,FALSE),"")</f>
        <v/>
      </c>
    </row>
    <row r="2224" spans="16:16" x14ac:dyDescent="0.3">
      <c r="P2224" s="33" t="str">
        <f>IFERROR(VLOOKUP(D2224,Products!$A:$D,4,FALSE),"")</f>
        <v/>
      </c>
    </row>
    <row r="2225" spans="16:16" x14ac:dyDescent="0.3">
      <c r="P2225" s="33" t="str">
        <f>IFERROR(VLOOKUP(D2225,Products!$A:$D,4,FALSE),"")</f>
        <v/>
      </c>
    </row>
    <row r="2226" spans="16:16" x14ac:dyDescent="0.3">
      <c r="P2226" s="33" t="str">
        <f>IFERROR(VLOOKUP(D2226,Products!$A:$D,4,FALSE),"")</f>
        <v/>
      </c>
    </row>
    <row r="2227" spans="16:16" x14ac:dyDescent="0.3">
      <c r="P2227" s="33" t="str">
        <f>IFERROR(VLOOKUP(D2227,Products!$A:$D,4,FALSE),"")</f>
        <v/>
      </c>
    </row>
    <row r="2228" spans="16:16" x14ac:dyDescent="0.3">
      <c r="P2228" s="33" t="str">
        <f>IFERROR(VLOOKUP(D2228,Products!$A:$D,4,FALSE),"")</f>
        <v/>
      </c>
    </row>
    <row r="2229" spans="16:16" x14ac:dyDescent="0.3">
      <c r="P2229" s="33" t="str">
        <f>IFERROR(VLOOKUP(D2229,Products!$A:$D,4,FALSE),"")</f>
        <v/>
      </c>
    </row>
    <row r="2230" spans="16:16" x14ac:dyDescent="0.3">
      <c r="P2230" s="33" t="str">
        <f>IFERROR(VLOOKUP(D2230,Products!$A:$D,4,FALSE),"")</f>
        <v/>
      </c>
    </row>
    <row r="2231" spans="16:16" x14ac:dyDescent="0.3">
      <c r="P2231" s="33" t="str">
        <f>IFERROR(VLOOKUP(D2231,Products!$A:$D,4,FALSE),"")</f>
        <v/>
      </c>
    </row>
    <row r="2232" spans="16:16" x14ac:dyDescent="0.3">
      <c r="P2232" s="33" t="str">
        <f>IFERROR(VLOOKUP(D2232,Products!$A:$D,4,FALSE),"")</f>
        <v/>
      </c>
    </row>
    <row r="2233" spans="16:16" x14ac:dyDescent="0.3">
      <c r="P2233" s="33" t="str">
        <f>IFERROR(VLOOKUP(D2233,Products!$A:$D,4,FALSE),"")</f>
        <v/>
      </c>
    </row>
    <row r="2234" spans="16:16" x14ac:dyDescent="0.3">
      <c r="P2234" s="33" t="str">
        <f>IFERROR(VLOOKUP(D2234,Products!$A:$D,4,FALSE),"")</f>
        <v/>
      </c>
    </row>
    <row r="2235" spans="16:16" x14ac:dyDescent="0.3">
      <c r="P2235" s="33" t="str">
        <f>IFERROR(VLOOKUP(D2235,Products!$A:$D,4,FALSE),"")</f>
        <v/>
      </c>
    </row>
    <row r="2236" spans="16:16" x14ac:dyDescent="0.3">
      <c r="P2236" s="33" t="str">
        <f>IFERROR(VLOOKUP(D2236,Products!$A:$D,4,FALSE),"")</f>
        <v/>
      </c>
    </row>
    <row r="2237" spans="16:16" x14ac:dyDescent="0.3">
      <c r="P2237" s="33" t="str">
        <f>IFERROR(VLOOKUP(D2237,Products!$A:$D,4,FALSE),"")</f>
        <v/>
      </c>
    </row>
    <row r="2238" spans="16:16" x14ac:dyDescent="0.3">
      <c r="P2238" s="33" t="str">
        <f>IFERROR(VLOOKUP(D2238,Products!$A:$D,4,FALSE),"")</f>
        <v/>
      </c>
    </row>
    <row r="2239" spans="16:16" x14ac:dyDescent="0.3">
      <c r="P2239" s="33" t="str">
        <f>IFERROR(VLOOKUP(D2239,Products!$A:$D,4,FALSE),"")</f>
        <v/>
      </c>
    </row>
    <row r="2240" spans="16:16" x14ac:dyDescent="0.3">
      <c r="P2240" s="33" t="str">
        <f>IFERROR(VLOOKUP(D2240,Products!$A:$D,4,FALSE),"")</f>
        <v/>
      </c>
    </row>
    <row r="2241" spans="16:16" x14ac:dyDescent="0.3">
      <c r="P2241" s="33" t="str">
        <f>IFERROR(VLOOKUP(D2241,Products!$A:$D,4,FALSE),"")</f>
        <v/>
      </c>
    </row>
    <row r="2242" spans="16:16" x14ac:dyDescent="0.3">
      <c r="P2242" s="33" t="str">
        <f>IFERROR(VLOOKUP(D2242,Products!$A:$D,4,FALSE),"")</f>
        <v/>
      </c>
    </row>
    <row r="2243" spans="16:16" x14ac:dyDescent="0.3">
      <c r="P2243" s="33" t="str">
        <f>IFERROR(VLOOKUP(D2243,Products!$A:$D,4,FALSE),"")</f>
        <v/>
      </c>
    </row>
    <row r="2244" spans="16:16" x14ac:dyDescent="0.3">
      <c r="P2244" s="33" t="str">
        <f>IFERROR(VLOOKUP(D2244,Products!$A:$D,4,FALSE),"")</f>
        <v/>
      </c>
    </row>
    <row r="2245" spans="16:16" x14ac:dyDescent="0.3">
      <c r="P2245" s="33" t="str">
        <f>IFERROR(VLOOKUP(D2245,Products!$A:$D,4,FALSE),"")</f>
        <v/>
      </c>
    </row>
    <row r="2246" spans="16:16" x14ac:dyDescent="0.3">
      <c r="P2246" s="33" t="str">
        <f>IFERROR(VLOOKUP(D2246,Products!$A:$D,4,FALSE),"")</f>
        <v/>
      </c>
    </row>
    <row r="2247" spans="16:16" x14ac:dyDescent="0.3">
      <c r="P2247" s="33" t="str">
        <f>IFERROR(VLOOKUP(D2247,Products!$A:$D,4,FALSE),"")</f>
        <v/>
      </c>
    </row>
    <row r="2248" spans="16:16" x14ac:dyDescent="0.3">
      <c r="P2248" s="33" t="str">
        <f>IFERROR(VLOOKUP(D2248,Products!$A:$D,4,FALSE),"")</f>
        <v/>
      </c>
    </row>
    <row r="2249" spans="16:16" x14ac:dyDescent="0.3">
      <c r="P2249" s="33" t="str">
        <f>IFERROR(VLOOKUP(D2249,Products!$A:$D,4,FALSE),"")</f>
        <v/>
      </c>
    </row>
    <row r="2250" spans="16:16" x14ac:dyDescent="0.3">
      <c r="P2250" s="33" t="str">
        <f>IFERROR(VLOOKUP(D2250,Products!$A:$D,4,FALSE),"")</f>
        <v/>
      </c>
    </row>
    <row r="2251" spans="16:16" x14ac:dyDescent="0.3">
      <c r="P2251" s="33" t="str">
        <f>IFERROR(VLOOKUP(D2251,Products!$A:$D,4,FALSE),"")</f>
        <v/>
      </c>
    </row>
    <row r="2252" spans="16:16" x14ac:dyDescent="0.3">
      <c r="P2252" s="33" t="str">
        <f>IFERROR(VLOOKUP(D2252,Products!$A:$D,4,FALSE),"")</f>
        <v/>
      </c>
    </row>
    <row r="2253" spans="16:16" x14ac:dyDescent="0.3">
      <c r="P2253" s="33" t="str">
        <f>IFERROR(VLOOKUP(D2253,Products!$A:$D,4,FALSE),"")</f>
        <v/>
      </c>
    </row>
    <row r="2254" spans="16:16" x14ac:dyDescent="0.3">
      <c r="P2254" s="33" t="str">
        <f>IFERROR(VLOOKUP(D2254,Products!$A:$D,4,FALSE),"")</f>
        <v/>
      </c>
    </row>
    <row r="2255" spans="16:16" x14ac:dyDescent="0.3">
      <c r="P2255" s="33" t="str">
        <f>IFERROR(VLOOKUP(D2255,Products!$A:$D,4,FALSE),"")</f>
        <v/>
      </c>
    </row>
    <row r="2256" spans="16:16" x14ac:dyDescent="0.3">
      <c r="P2256" s="33" t="str">
        <f>IFERROR(VLOOKUP(D2256,Products!$A:$D,4,FALSE),"")</f>
        <v/>
      </c>
    </row>
    <row r="2257" spans="16:16" x14ac:dyDescent="0.3">
      <c r="P2257" s="33" t="str">
        <f>IFERROR(VLOOKUP(D2257,Products!$A:$D,4,FALSE),"")</f>
        <v/>
      </c>
    </row>
    <row r="2258" spans="16:16" x14ac:dyDescent="0.3">
      <c r="P2258" s="33" t="str">
        <f>IFERROR(VLOOKUP(D2258,Products!$A:$D,4,FALSE),"")</f>
        <v/>
      </c>
    </row>
    <row r="2259" spans="16:16" x14ac:dyDescent="0.3">
      <c r="P2259" s="33" t="str">
        <f>IFERROR(VLOOKUP(D2259,Products!$A:$D,4,FALSE),"")</f>
        <v/>
      </c>
    </row>
    <row r="2260" spans="16:16" x14ac:dyDescent="0.3">
      <c r="P2260" s="33" t="str">
        <f>IFERROR(VLOOKUP(D2260,Products!$A:$D,4,FALSE),"")</f>
        <v/>
      </c>
    </row>
    <row r="2261" spans="16:16" x14ac:dyDescent="0.3">
      <c r="P2261" s="33" t="str">
        <f>IFERROR(VLOOKUP(D2261,Products!$A:$D,4,FALSE),"")</f>
        <v/>
      </c>
    </row>
    <row r="2262" spans="16:16" x14ac:dyDescent="0.3">
      <c r="P2262" s="33" t="str">
        <f>IFERROR(VLOOKUP(D2262,Products!$A:$D,4,FALSE),"")</f>
        <v/>
      </c>
    </row>
    <row r="2263" spans="16:16" x14ac:dyDescent="0.3">
      <c r="P2263" s="33" t="str">
        <f>IFERROR(VLOOKUP(D2263,Products!$A:$D,4,FALSE),"")</f>
        <v/>
      </c>
    </row>
    <row r="2264" spans="16:16" x14ac:dyDescent="0.3">
      <c r="P2264" s="33" t="str">
        <f>IFERROR(VLOOKUP(D2264,Products!$A:$D,4,FALSE),"")</f>
        <v/>
      </c>
    </row>
    <row r="2265" spans="16:16" x14ac:dyDescent="0.3">
      <c r="P2265" s="33" t="str">
        <f>IFERROR(VLOOKUP(D2265,Products!$A:$D,4,FALSE),"")</f>
        <v/>
      </c>
    </row>
    <row r="2266" spans="16:16" x14ac:dyDescent="0.3">
      <c r="P2266" s="33" t="str">
        <f>IFERROR(VLOOKUP(D2266,Products!$A:$D,4,FALSE),"")</f>
        <v/>
      </c>
    </row>
    <row r="2267" spans="16:16" x14ac:dyDescent="0.3">
      <c r="P2267" s="33" t="str">
        <f>IFERROR(VLOOKUP(D2267,Products!$A:$D,4,FALSE),"")</f>
        <v/>
      </c>
    </row>
    <row r="2268" spans="16:16" x14ac:dyDescent="0.3">
      <c r="P2268" s="33" t="str">
        <f>IFERROR(VLOOKUP(D2268,Products!$A:$D,4,FALSE),"")</f>
        <v/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J31"/>
  <sheetViews>
    <sheetView zoomScale="86" zoomScaleNormal="86" workbookViewId="0">
      <pane ySplit="1" topLeftCell="A2" activePane="bottomLeft" state="frozen"/>
      <selection pane="bottomLeft" activeCell="G1" sqref="G1"/>
    </sheetView>
  </sheetViews>
  <sheetFormatPr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  <col min="9" max="9" width="12.77734375" customWidth="1"/>
  </cols>
  <sheetData>
    <row r="1" spans="1:10" x14ac:dyDescent="0.3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  <c r="H1" t="s">
        <v>3028</v>
      </c>
      <c r="I1" t="s">
        <v>3029</v>
      </c>
      <c r="J1" t="s">
        <v>3043</v>
      </c>
    </row>
    <row r="2" spans="1:10" x14ac:dyDescent="0.3">
      <c r="A2" s="13" t="s">
        <v>215</v>
      </c>
      <c r="B2" s="13" t="s">
        <v>2854</v>
      </c>
      <c r="C2" s="13" t="s">
        <v>2855</v>
      </c>
      <c r="D2" s="14">
        <v>44207</v>
      </c>
      <c r="E2" s="13"/>
      <c r="H2" t="s">
        <v>215</v>
      </c>
      <c r="I2">
        <f>SUMIF(Orders!$E$2:$E$2001,H2,Orders!$I$2:$I$2001)</f>
        <v>789849.60000000009</v>
      </c>
      <c r="J2">
        <f>_xlfn.RANK.EQ(I2,$I$2:$I$31,0)</f>
        <v>23</v>
      </c>
    </row>
    <row r="3" spans="1:10" x14ac:dyDescent="0.3">
      <c r="A3" s="13" t="s">
        <v>297</v>
      </c>
      <c r="B3" s="13" t="s">
        <v>2856</v>
      </c>
      <c r="C3" s="13" t="s">
        <v>2855</v>
      </c>
      <c r="D3" s="14">
        <v>44028</v>
      </c>
      <c r="E3" s="13"/>
      <c r="H3" t="s">
        <v>297</v>
      </c>
      <c r="I3">
        <f>SUMIF(Orders!$E$2:$E$2001,H3,Orders!$I$2:$I$2001)</f>
        <v>980063.65999999968</v>
      </c>
      <c r="J3" s="33">
        <f t="shared" ref="J3:J31" si="0">_xlfn.RANK.EQ(I3,$I$2:$I$31,0)</f>
        <v>9</v>
      </c>
    </row>
    <row r="4" spans="1:10" x14ac:dyDescent="0.3">
      <c r="A4" s="13" t="s">
        <v>148</v>
      </c>
      <c r="B4" s="13" t="s">
        <v>2857</v>
      </c>
      <c r="C4" s="13" t="s">
        <v>2855</v>
      </c>
      <c r="D4" s="14">
        <v>43651</v>
      </c>
      <c r="E4" s="13"/>
      <c r="H4" t="s">
        <v>148</v>
      </c>
      <c r="I4">
        <f>SUMIF(Orders!$E$2:$E$2001,H4,Orders!$I$2:$I$2001)</f>
        <v>986692.91</v>
      </c>
      <c r="J4" s="33">
        <f t="shared" si="0"/>
        <v>7</v>
      </c>
    </row>
    <row r="5" spans="1:10" x14ac:dyDescent="0.3">
      <c r="A5" s="13" t="s">
        <v>139</v>
      </c>
      <c r="B5" s="13" t="s">
        <v>2858</v>
      </c>
      <c r="C5" s="13" t="s">
        <v>2855</v>
      </c>
      <c r="D5" s="14">
        <v>44907</v>
      </c>
      <c r="E5" s="13"/>
      <c r="H5" t="s">
        <v>139</v>
      </c>
      <c r="I5">
        <f>SUMIF(Orders!$E$2:$E$2001,H5,Orders!$I$2:$I$2001)</f>
        <v>589026.2899999998</v>
      </c>
      <c r="J5" s="33">
        <f t="shared" si="0"/>
        <v>29</v>
      </c>
    </row>
    <row r="6" spans="1:10" x14ac:dyDescent="0.3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  <c r="H6" t="s">
        <v>92</v>
      </c>
      <c r="I6">
        <f>SUMIF(Orders!$E$2:$E$2001,H6,Orders!$I$2:$I$2001)</f>
        <v>782445.33</v>
      </c>
      <c r="J6" s="33">
        <f t="shared" si="0"/>
        <v>24</v>
      </c>
    </row>
    <row r="7" spans="1:10" x14ac:dyDescent="0.3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  <c r="H7" t="s">
        <v>103</v>
      </c>
      <c r="I7">
        <f>SUMIF(Orders!$E$2:$E$2001,H7,Orders!$I$2:$I$2001)</f>
        <v>1138648.73</v>
      </c>
      <c r="J7" s="33">
        <f t="shared" si="0"/>
        <v>1</v>
      </c>
    </row>
    <row r="8" spans="1:10" x14ac:dyDescent="0.3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  <c r="H8" t="s">
        <v>86</v>
      </c>
      <c r="I8">
        <f>SUMIF(Orders!$E$2:$E$2001,H8,Orders!$I$2:$I$2001)</f>
        <v>855749.67999999982</v>
      </c>
      <c r="J8" s="33">
        <f t="shared" si="0"/>
        <v>19</v>
      </c>
    </row>
    <row r="9" spans="1:10" x14ac:dyDescent="0.3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  <c r="H9" t="s">
        <v>107</v>
      </c>
      <c r="I9">
        <f>SUMIF(Orders!$E$2:$E$2001,H9,Orders!$I$2:$I$2001)</f>
        <v>861553.33</v>
      </c>
      <c r="J9" s="33">
        <f t="shared" si="0"/>
        <v>18</v>
      </c>
    </row>
    <row r="10" spans="1:10" x14ac:dyDescent="0.3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  <c r="H10" t="s">
        <v>204</v>
      </c>
      <c r="I10">
        <f>SUMIF(Orders!$E$2:$E$2001,H10,Orders!$I$2:$I$2001)</f>
        <v>914554.71999999986</v>
      </c>
      <c r="J10" s="33">
        <f t="shared" si="0"/>
        <v>12</v>
      </c>
    </row>
    <row r="11" spans="1:10" x14ac:dyDescent="0.3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  <c r="H11" t="s">
        <v>132</v>
      </c>
      <c r="I11">
        <f>SUMIF(Orders!$E$2:$E$2001,H11,Orders!$I$2:$I$2001)</f>
        <v>880345.20000000007</v>
      </c>
      <c r="J11" s="33">
        <f t="shared" si="0"/>
        <v>17</v>
      </c>
    </row>
    <row r="12" spans="1:10" x14ac:dyDescent="0.3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  <c r="H12" t="s">
        <v>273</v>
      </c>
      <c r="I12">
        <f>SUMIF(Orders!$E$2:$E$2001,H12,Orders!$I$2:$I$2001)</f>
        <v>735207.75999999989</v>
      </c>
      <c r="J12" s="33">
        <f t="shared" si="0"/>
        <v>28</v>
      </c>
    </row>
    <row r="13" spans="1:10" x14ac:dyDescent="0.3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  <c r="H13" t="s">
        <v>325</v>
      </c>
      <c r="I13">
        <f>SUMIF(Orders!$E$2:$E$2001,H13,Orders!$I$2:$I$2001)</f>
        <v>901394.32000000007</v>
      </c>
      <c r="J13" s="33">
        <f t="shared" si="0"/>
        <v>14</v>
      </c>
    </row>
    <row r="14" spans="1:10" x14ac:dyDescent="0.3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  <c r="H14" t="s">
        <v>252</v>
      </c>
      <c r="I14">
        <f>SUMIF(Orders!$E$2:$E$2001,H14,Orders!$I$2:$I$2001)</f>
        <v>811524.37999999989</v>
      </c>
      <c r="J14" s="33">
        <f t="shared" si="0"/>
        <v>22</v>
      </c>
    </row>
    <row r="15" spans="1:10" x14ac:dyDescent="0.3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  <c r="H15" t="s">
        <v>98</v>
      </c>
      <c r="I15">
        <f>SUMIF(Orders!$E$2:$E$2001,H15,Orders!$I$2:$I$2001)</f>
        <v>995713.54000000015</v>
      </c>
      <c r="J15" s="33">
        <f t="shared" si="0"/>
        <v>6</v>
      </c>
    </row>
    <row r="16" spans="1:10" x14ac:dyDescent="0.3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  <c r="H16" t="s">
        <v>188</v>
      </c>
      <c r="I16">
        <f>SUMIF(Orders!$E$2:$E$2001,H16,Orders!$I$2:$I$2001)</f>
        <v>1091740.1799999997</v>
      </c>
      <c r="J16" s="33">
        <f t="shared" si="0"/>
        <v>3</v>
      </c>
    </row>
    <row r="17" spans="1:10" x14ac:dyDescent="0.3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  <c r="H17" t="s">
        <v>346</v>
      </c>
      <c r="I17">
        <f>SUMIF(Orders!$E$2:$E$2001,H17,Orders!$I$2:$I$2001)</f>
        <v>814563.7100000002</v>
      </c>
      <c r="J17" s="33">
        <f t="shared" si="0"/>
        <v>21</v>
      </c>
    </row>
    <row r="18" spans="1:10" x14ac:dyDescent="0.3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  <c r="H18" t="s">
        <v>238</v>
      </c>
      <c r="I18">
        <f>SUMIF(Orders!$E$2:$E$2001,H18,Orders!$I$2:$I$2001)</f>
        <v>780384.40999999992</v>
      </c>
      <c r="J18" s="33">
        <f t="shared" si="0"/>
        <v>25</v>
      </c>
    </row>
    <row r="19" spans="1:10" x14ac:dyDescent="0.3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  <c r="H19" t="s">
        <v>303</v>
      </c>
      <c r="I19">
        <f>SUMIF(Orders!$E$2:$E$2001,H19,Orders!$I$2:$I$2001)</f>
        <v>1112289.6400000001</v>
      </c>
      <c r="J19" s="33">
        <f t="shared" si="0"/>
        <v>2</v>
      </c>
    </row>
    <row r="20" spans="1:10" x14ac:dyDescent="0.3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  <c r="H20" t="s">
        <v>121</v>
      </c>
      <c r="I20">
        <f>SUMIF(Orders!$E$2:$E$2001,H20,Orders!$I$2:$I$2001)</f>
        <v>971183.52000000014</v>
      </c>
      <c r="J20" s="33">
        <f t="shared" si="0"/>
        <v>10</v>
      </c>
    </row>
    <row r="21" spans="1:10" x14ac:dyDescent="0.3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  <c r="H21" t="s">
        <v>192</v>
      </c>
      <c r="I21">
        <f>SUMIF(Orders!$E$2:$E$2001,H21,Orders!$I$2:$I$2001)</f>
        <v>906107.71000000008</v>
      </c>
      <c r="J21" s="33">
        <f t="shared" si="0"/>
        <v>13</v>
      </c>
    </row>
    <row r="22" spans="1:10" x14ac:dyDescent="0.3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  <c r="H22" t="s">
        <v>158</v>
      </c>
      <c r="I22">
        <f>SUMIF(Orders!$E$2:$E$2001,H22,Orders!$I$2:$I$2001)</f>
        <v>761507.17000000027</v>
      </c>
      <c r="J22" s="33">
        <f t="shared" si="0"/>
        <v>26</v>
      </c>
    </row>
    <row r="23" spans="1:10" x14ac:dyDescent="0.3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  <c r="H23" t="s">
        <v>285</v>
      </c>
      <c r="I23">
        <f>SUMIF(Orders!$E$2:$E$2001,H23,Orders!$I$2:$I$2001)</f>
        <v>1069570.5400000003</v>
      </c>
      <c r="J23" s="33">
        <f t="shared" si="0"/>
        <v>4</v>
      </c>
    </row>
    <row r="24" spans="1:10" x14ac:dyDescent="0.3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  <c r="H24" t="s">
        <v>154</v>
      </c>
      <c r="I24">
        <f>SUMIF(Orders!$E$2:$E$2001,H24,Orders!$I$2:$I$2001)</f>
        <v>983787.4800000001</v>
      </c>
      <c r="J24" s="33">
        <f t="shared" si="0"/>
        <v>8</v>
      </c>
    </row>
    <row r="25" spans="1:10" x14ac:dyDescent="0.3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  <c r="H25" t="s">
        <v>116</v>
      </c>
      <c r="I25">
        <f>SUMIF(Orders!$E$2:$E$2001,H25,Orders!$I$2:$I$2001)</f>
        <v>819558.58</v>
      </c>
      <c r="J25" s="33">
        <f t="shared" si="0"/>
        <v>20</v>
      </c>
    </row>
    <row r="26" spans="1:10" x14ac:dyDescent="0.3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  <c r="H26" t="s">
        <v>111</v>
      </c>
      <c r="I26">
        <f>SUMIF(Orders!$E$2:$E$2001,H26,Orders!$I$2:$I$2001)</f>
        <v>901298.89</v>
      </c>
      <c r="J26" s="33">
        <f t="shared" si="0"/>
        <v>15</v>
      </c>
    </row>
    <row r="27" spans="1:10" x14ac:dyDescent="0.3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  <c r="H27" t="s">
        <v>201</v>
      </c>
      <c r="I27">
        <f>SUMIF(Orders!$E$2:$E$2001,H27,Orders!$I$2:$I$2001)</f>
        <v>576305.08000000019</v>
      </c>
      <c r="J27" s="33">
        <f t="shared" si="0"/>
        <v>30</v>
      </c>
    </row>
    <row r="28" spans="1:10" x14ac:dyDescent="0.3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  <c r="H28" t="s">
        <v>343</v>
      </c>
      <c r="I28">
        <f>SUMIF(Orders!$E$2:$E$2001,H28,Orders!$I$2:$I$2001)</f>
        <v>917092.61999999965</v>
      </c>
      <c r="J28" s="33">
        <f t="shared" si="0"/>
        <v>11</v>
      </c>
    </row>
    <row r="29" spans="1:10" x14ac:dyDescent="0.3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  <c r="H29" t="s">
        <v>128</v>
      </c>
      <c r="I29">
        <f>SUMIF(Orders!$E$2:$E$2001,H29,Orders!$I$2:$I$2001)</f>
        <v>880468.05</v>
      </c>
      <c r="J29" s="33">
        <f t="shared" si="0"/>
        <v>16</v>
      </c>
    </row>
    <row r="30" spans="1:10" x14ac:dyDescent="0.3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  <c r="H30" t="s">
        <v>229</v>
      </c>
      <c r="I30">
        <f>SUMIF(Orders!$E$2:$E$2001,H30,Orders!$I$2:$I$2001)</f>
        <v>1016696.8000000002</v>
      </c>
      <c r="J30" s="33">
        <f t="shared" si="0"/>
        <v>5</v>
      </c>
    </row>
    <row r="31" spans="1:10" x14ac:dyDescent="0.3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  <c r="H31" t="s">
        <v>170</v>
      </c>
      <c r="I31">
        <f>SUMIF(Orders!$E$2:$E$2001,H31,Orders!$I$2:$I$2001)</f>
        <v>747624.36999999988</v>
      </c>
      <c r="J31" s="33">
        <f t="shared" si="0"/>
        <v>27</v>
      </c>
    </row>
  </sheetData>
  <phoneticPr fontId="16" type="noConversion"/>
  <pageMargins left="0.75" right="0.75" top="1" bottom="1" header="0.5" footer="0.5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3" width="8" customWidth="1"/>
  </cols>
  <sheetData>
    <row r="1" spans="1:13" x14ac:dyDescent="0.3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21"/>
  <sheetViews>
    <sheetView workbookViewId="0">
      <pane ySplit="4" topLeftCell="A7" activePane="bottomLeft" state="frozen"/>
      <selection pane="bottomLeft" activeCell="E12" sqref="E12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4" t="s">
        <v>3021</v>
      </c>
      <c r="B1" s="43"/>
      <c r="C1" s="43"/>
      <c r="D1" s="43"/>
      <c r="E1" s="43"/>
      <c r="F1" s="43"/>
    </row>
    <row r="2" spans="1:6" x14ac:dyDescent="0.3">
      <c r="A2" s="42" t="s">
        <v>2898</v>
      </c>
      <c r="B2" s="43"/>
      <c r="C2" s="43"/>
      <c r="D2" s="43"/>
      <c r="E2" s="43"/>
      <c r="F2" s="43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2904</v>
      </c>
      <c r="B5" s="28" t="s">
        <v>2905</v>
      </c>
      <c r="C5" s="29">
        <v>3</v>
      </c>
      <c r="D5" s="30" t="s">
        <v>2906</v>
      </c>
      <c r="E5" s="31" t="str">
        <f>VLOOKUP("ORD-00234",Orders!A:K,3,FALSE)</f>
        <v>CUST-0173</v>
      </c>
      <c r="F5" s="32" t="s">
        <v>2907</v>
      </c>
    </row>
    <row r="6" spans="1:6" ht="42" customHeight="1" x14ac:dyDescent="0.3">
      <c r="A6" s="27" t="s">
        <v>2908</v>
      </c>
      <c r="B6" s="28" t="s">
        <v>2909</v>
      </c>
      <c r="C6" s="29">
        <v>3</v>
      </c>
      <c r="D6" s="30" t="s">
        <v>2910</v>
      </c>
      <c r="E6" s="31" t="str">
        <f>VLOOKUP(VLOOKUP("ORD-00456",Orders!A:K,4,FALSE),Products!A:F,2,FALSE)</f>
        <v>Dumbbells 5kg</v>
      </c>
      <c r="F6" s="32" t="s">
        <v>2911</v>
      </c>
    </row>
    <row r="7" spans="1:6" ht="42" customHeight="1" x14ac:dyDescent="0.3">
      <c r="A7" s="27" t="s">
        <v>2912</v>
      </c>
      <c r="B7" s="28" t="s">
        <v>2913</v>
      </c>
      <c r="C7" s="29">
        <v>3</v>
      </c>
      <c r="D7" s="30" t="s">
        <v>3015</v>
      </c>
      <c r="E7" s="31" t="str">
        <f>INDEX(Sales_Reps!B:B,MATCH(VLOOKUP("ORD-00987",Orders!A:K,5,FALSE),Sales_Reps!A:A,0))</f>
        <v>Nisha Menon</v>
      </c>
      <c r="F7" s="32" t="s">
        <v>2911</v>
      </c>
    </row>
    <row r="8" spans="1:6" ht="42" customHeight="1" x14ac:dyDescent="0.3">
      <c r="A8" s="27" t="s">
        <v>2914</v>
      </c>
      <c r="B8" s="28" t="s">
        <v>2915</v>
      </c>
      <c r="C8" s="29">
        <v>4</v>
      </c>
      <c r="D8" s="30" t="s">
        <v>2916</v>
      </c>
      <c r="E8" s="31">
        <f>INDEX(Targets!A:M,MATCH("R012",Targets!A:A,0),MATCH("Mar-24",Targets!1:1,0))</f>
        <v>321255</v>
      </c>
      <c r="F8" s="32" t="s">
        <v>2917</v>
      </c>
    </row>
    <row r="9" spans="1:6" ht="42" customHeight="1" x14ac:dyDescent="0.3">
      <c r="A9" s="27" t="s">
        <v>2918</v>
      </c>
      <c r="B9" s="28" t="s">
        <v>2919</v>
      </c>
      <c r="C9" s="29">
        <v>4</v>
      </c>
      <c r="D9" s="30" t="s">
        <v>2920</v>
      </c>
      <c r="E9" s="31" t="str">
        <f>VLOOKUP(VLOOKUP("ORD-01500",Orders!A:K,4,FALSE),Products!A:F,3,FALSE)</f>
        <v>Electronics</v>
      </c>
      <c r="F9" s="32" t="s">
        <v>2911</v>
      </c>
    </row>
    <row r="10" spans="1:6" ht="42" customHeight="1" x14ac:dyDescent="0.3">
      <c r="A10" s="27" t="s">
        <v>2921</v>
      </c>
      <c r="B10" s="28" t="s">
        <v>2922</v>
      </c>
      <c r="C10" s="29">
        <v>3</v>
      </c>
      <c r="D10" s="30" t="s">
        <v>2923</v>
      </c>
      <c r="E10" s="31" t="str">
        <f>VLOOKUP(VLOOKUP("ORD-00789",Orders!A:K,8,FALSE),B18:C21,2,TRUE)</f>
        <v>Bronze</v>
      </c>
      <c r="F10" s="32" t="s">
        <v>2911</v>
      </c>
    </row>
    <row r="11" spans="1:6" ht="42" customHeight="1" x14ac:dyDescent="0.3">
      <c r="A11" s="27" t="s">
        <v>2924</v>
      </c>
      <c r="B11" s="28" t="s">
        <v>3016</v>
      </c>
      <c r="C11" s="29">
        <v>3</v>
      </c>
      <c r="D11" s="30" t="s">
        <v>2925</v>
      </c>
      <c r="E11" s="31" t="str">
        <f>VLOOKUP(VLOOKUP("ORD-01234",Orders!A:K,5,FALSE),Sales_Reps!A:C,2,FALSE)&amp;" ("&amp;VLOOKUP(VLOOKUP("ORD-01234",Orders!A:K,5,FALSE),Sales_Reps!A:C,3,FALSE)&amp;")"</f>
        <v>Sanjay Kapoor (South)</v>
      </c>
      <c r="F11" s="32" t="s">
        <v>2911</v>
      </c>
    </row>
    <row r="12" spans="1:6" ht="42" customHeight="1" x14ac:dyDescent="0.3">
      <c r="A12" s="27" t="s">
        <v>2926</v>
      </c>
      <c r="B12" s="28" t="s">
        <v>3017</v>
      </c>
      <c r="C12" s="29">
        <v>2</v>
      </c>
      <c r="D12" s="30" t="s">
        <v>2927</v>
      </c>
      <c r="E12" s="31" t="str">
        <f>VLOOKUP(VLOOKUP("R017",Sales_Reps!A:E,5,FALSE),Sales_Reps!A:B,2,FALSE)</f>
        <v>Amit Singh</v>
      </c>
      <c r="F12" s="32" t="s">
        <v>2911</v>
      </c>
    </row>
    <row r="15" spans="1:6" x14ac:dyDescent="0.3">
      <c r="B15" s="22" t="s">
        <v>2928</v>
      </c>
    </row>
    <row r="17" spans="2:3" x14ac:dyDescent="0.3">
      <c r="B17" s="23" t="s">
        <v>2929</v>
      </c>
      <c r="C17" s="23" t="s">
        <v>2930</v>
      </c>
    </row>
    <row r="18" spans="2:3" x14ac:dyDescent="0.3">
      <c r="B18" s="24">
        <v>0</v>
      </c>
      <c r="C18" s="24" t="s">
        <v>2931</v>
      </c>
    </row>
    <row r="19" spans="2:3" x14ac:dyDescent="0.3">
      <c r="B19" s="24">
        <v>5</v>
      </c>
      <c r="C19" s="24" t="s">
        <v>2932</v>
      </c>
    </row>
    <row r="20" spans="2:3" x14ac:dyDescent="0.3">
      <c r="B20" s="24">
        <v>15</v>
      </c>
      <c r="C20" s="24" t="s">
        <v>2933</v>
      </c>
    </row>
    <row r="21" spans="2:3" x14ac:dyDescent="0.3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5" sqref="E5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4" t="s">
        <v>3022</v>
      </c>
      <c r="B1" s="43"/>
      <c r="C1" s="43"/>
      <c r="D1" s="43"/>
      <c r="E1" s="43"/>
      <c r="F1" s="43"/>
    </row>
    <row r="2" spans="1:6" x14ac:dyDescent="0.3">
      <c r="A2" s="42" t="s">
        <v>2935</v>
      </c>
      <c r="B2" s="43"/>
      <c r="C2" s="43"/>
      <c r="D2" s="43"/>
      <c r="E2" s="43"/>
      <c r="F2" s="43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2936</v>
      </c>
      <c r="B5" s="28" t="s">
        <v>2937</v>
      </c>
      <c r="C5" s="29">
        <v>3</v>
      </c>
      <c r="D5" s="30" t="s">
        <v>3019</v>
      </c>
      <c r="E5" s="31" cm="1">
        <f t="array" ref="E5">SUMPRODUCT((COUNTIF(Orders!A2:A2001,Orders!A2:A2001)&gt;1)/COUNTIF(Orders!A2:A2001,Orders!A2:A2001))</f>
        <v>20</v>
      </c>
      <c r="F5" s="32" t="s">
        <v>2917</v>
      </c>
    </row>
    <row r="6" spans="1:6" ht="42" customHeight="1" x14ac:dyDescent="0.3">
      <c r="A6" s="27" t="s">
        <v>2938</v>
      </c>
      <c r="B6" s="28" t="s">
        <v>2939</v>
      </c>
      <c r="C6" s="29">
        <v>3</v>
      </c>
      <c r="D6" s="30" t="s">
        <v>2940</v>
      </c>
      <c r="E6" s="31" cm="1">
        <f t="array" ref="E6">SUMPRODUCT(--(LEN(Customers!B2:B301)&lt;&gt;LEN(TRIM(Customers!B2:B301))))</f>
        <v>15</v>
      </c>
      <c r="F6" s="32" t="s">
        <v>2917</v>
      </c>
    </row>
    <row r="7" spans="1:6" ht="42" customHeight="1" x14ac:dyDescent="0.3">
      <c r="A7" s="27" t="s">
        <v>2941</v>
      </c>
      <c r="B7" s="28" t="s">
        <v>2942</v>
      </c>
      <c r="C7" s="29">
        <v>3</v>
      </c>
      <c r="D7" s="30" t="s">
        <v>2943</v>
      </c>
      <c r="E7" s="31" cm="1">
        <f t="array" ref="E7">COUNTA(_xlfn.UNIQUE(UPPER(Customers!D2:D301)))</f>
        <v>6</v>
      </c>
      <c r="F7" s="32" t="s">
        <v>2917</v>
      </c>
    </row>
    <row r="8" spans="1:6" ht="42" customHeight="1" x14ac:dyDescent="0.3">
      <c r="A8" s="27" t="s">
        <v>2944</v>
      </c>
      <c r="B8" s="28" t="s">
        <v>2945</v>
      </c>
      <c r="C8" s="29">
        <v>4</v>
      </c>
      <c r="D8" s="30" t="s">
        <v>2946</v>
      </c>
      <c r="E8" s="31" cm="1">
        <f t="array" ref="E8">SUMPRODUCT(--ISNA(MATCH(Orders!C2:C2001,Customers!A2:A301,0)))</f>
        <v>30</v>
      </c>
      <c r="F8" s="32" t="s">
        <v>2917</v>
      </c>
    </row>
    <row r="9" spans="1:6" ht="42" customHeight="1" x14ac:dyDescent="0.3">
      <c r="A9" s="27" t="s">
        <v>2947</v>
      </c>
      <c r="B9" s="28" t="s">
        <v>2948</v>
      </c>
      <c r="C9" s="29">
        <v>3</v>
      </c>
      <c r="D9" s="30" t="s">
        <v>2949</v>
      </c>
      <c r="E9" s="31" cm="1">
        <f t="array" ref="E9">SUM(--(_xlfn.XLOOKUP(Orders!D2:D2001,Products!A2:A61,Products!F2:F61)=FALSE))</f>
        <v>174</v>
      </c>
      <c r="F9" s="32" t="s">
        <v>2917</v>
      </c>
    </row>
    <row r="10" spans="1:6" ht="42" customHeight="1" x14ac:dyDescent="0.3">
      <c r="A10" s="27" t="s">
        <v>2950</v>
      </c>
      <c r="B10" s="28" t="s">
        <v>3018</v>
      </c>
      <c r="C10" s="29">
        <v>4</v>
      </c>
      <c r="D10" s="30" t="s">
        <v>2951</v>
      </c>
      <c r="E10" s="31">
        <f>COUNTIFS(Orders!J2:J2001,"Cancelled",Orders!H2:H2001,"&gt;20")</f>
        <v>58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5" t="s">
        <v>3023</v>
      </c>
      <c r="B1" s="40"/>
      <c r="C1" s="40"/>
      <c r="D1" s="40"/>
      <c r="E1" s="40"/>
      <c r="F1" s="40"/>
    </row>
    <row r="2" spans="1:6" x14ac:dyDescent="0.3">
      <c r="A2" s="42" t="s">
        <v>2952</v>
      </c>
      <c r="B2" s="43"/>
      <c r="C2" s="43"/>
      <c r="D2" s="43"/>
      <c r="E2" s="43"/>
      <c r="F2" s="43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">
      <c r="A5" s="27" t="s">
        <v>2953</v>
      </c>
      <c r="B5" s="28" t="s">
        <v>2954</v>
      </c>
      <c r="C5" s="29">
        <v>4</v>
      </c>
      <c r="D5" s="30" t="s">
        <v>2955</v>
      </c>
      <c r="E5" s="31">
        <f>SUMIFS(Orders!$I$2:$I$2001,Orders!$B$2:$B$2001,"&gt;="&amp;DATE(2024,7,1),Orders!$B$2:$B$2001,"&lt;"&amp;DATE(2024,10,1),Orders!$K$2:$K$2001,"Mumbai")</f>
        <v>1217239.0099999998</v>
      </c>
      <c r="F5" s="32" t="s">
        <v>2956</v>
      </c>
    </row>
    <row r="6" spans="1:6" ht="42" customHeight="1" x14ac:dyDescent="0.3">
      <c r="A6" s="27" t="s">
        <v>2957</v>
      </c>
      <c r="B6" s="28" t="s">
        <v>2958</v>
      </c>
      <c r="C6" s="29">
        <v>3</v>
      </c>
      <c r="D6" s="30" t="s">
        <v>2959</v>
      </c>
      <c r="E6" s="31">
        <f>COUNTIFS(Orders!$H$2:$H$2001,"&gt;15",Orders!$J$2:$J$2001,"Completed")</f>
        <v>723</v>
      </c>
      <c r="F6" s="32" t="s">
        <v>2917</v>
      </c>
    </row>
    <row r="7" spans="1:6" ht="42" customHeight="1" x14ac:dyDescent="0.3">
      <c r="A7" s="27" t="s">
        <v>2960</v>
      </c>
      <c r="B7" s="28" t="s">
        <v>3020</v>
      </c>
      <c r="C7" s="29">
        <v>5</v>
      </c>
      <c r="D7" s="30" t="s">
        <v>2961</v>
      </c>
      <c r="E7" s="31">
        <f>AVERAGEIFS(Orders!$I$2:$I$2001,Orders!$L$2:$L$2001,"Electronics",Orders!$M$2:$M$2001,"Corporate")</f>
        <v>13981.401558441557</v>
      </c>
      <c r="F7" s="32" t="s">
        <v>2956</v>
      </c>
    </row>
    <row r="8" spans="1:6" ht="42" customHeight="1" x14ac:dyDescent="0.3">
      <c r="A8" s="27" t="s">
        <v>2962</v>
      </c>
      <c r="B8" s="28" t="s">
        <v>2963</v>
      </c>
      <c r="C8" s="29">
        <v>4</v>
      </c>
      <c r="D8" s="30" t="s">
        <v>2964</v>
      </c>
      <c r="E8" s="31">
        <f>LARGE(Sales_Reps!$I$2:$I$31,1)+LARGE(Sales_Reps!$I$2:$I$31,2)+LARGE(Sales_Reps!$I$2:$I$31,3)</f>
        <v>3342678.55</v>
      </c>
      <c r="F8" s="32" t="s">
        <v>2956</v>
      </c>
    </row>
    <row r="9" spans="1:6" ht="42" customHeight="1" x14ac:dyDescent="0.3">
      <c r="A9" s="27" t="s">
        <v>2965</v>
      </c>
      <c r="B9" s="28" t="s">
        <v>2966</v>
      </c>
      <c r="C9" s="29">
        <v>5</v>
      </c>
      <c r="D9" s="30" t="s">
        <v>2967</v>
      </c>
      <c r="E9" s="31" t="str">
        <f>_xlfn.LET(_xlpm.actual,SUMIFS(Orders!$I$2:$I$2001,Orders!$E$2:$E$2001,"R015",Orders!$B$2:$B$2001,"&gt;="&amp;DATE(2024,11,1),Orders!$B$2:$B$2001,"&lt;"&amp;DATE(2024,12,1)),_xlpm.target,_xlfn.XLOOKUP("R015",Targets!$A:$A,Targets!$L:$L),_xlpm.ratio,_xlpm.actual/_xlpm.target,IF(_xlpm.ratio&lt;80%,"Below",IF(_xlpm.ratio&lt;=120%,"On Track","Exceeds")))</f>
        <v>Below</v>
      </c>
      <c r="F9" s="32" t="s">
        <v>2911</v>
      </c>
    </row>
    <row r="10" spans="1:6" ht="42" customHeight="1" x14ac:dyDescent="0.3">
      <c r="A10" s="27" t="s">
        <v>2968</v>
      </c>
      <c r="B10" s="28" t="s">
        <v>2969</v>
      </c>
      <c r="C10" s="29">
        <v>4</v>
      </c>
      <c r="D10" s="30" t="s">
        <v>2970</v>
      </c>
      <c r="E10" s="31">
        <f>SUMIFS(Orders!$I$2:$I$2001,Orders!$M$2:$M$2001,"Corporate",Orders!$N$2:$N$2001,"&gt;=30",Orders!$N$2:$N$2001,"&lt;=40")</f>
        <v>982568.40000000014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5" t="s">
        <v>3024</v>
      </c>
      <c r="B1" s="40"/>
      <c r="C1" s="40"/>
      <c r="D1" s="40"/>
      <c r="E1" s="40"/>
      <c r="F1" s="40"/>
    </row>
    <row r="2" spans="1:6" x14ac:dyDescent="0.3">
      <c r="A2" s="46" t="s">
        <v>2971</v>
      </c>
      <c r="B2" s="40"/>
      <c r="C2" s="40"/>
      <c r="D2" s="40"/>
      <c r="E2" s="40"/>
      <c r="F2" s="40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2972</v>
      </c>
      <c r="B5" s="17" t="s">
        <v>2973</v>
      </c>
      <c r="C5" s="18">
        <v>4</v>
      </c>
      <c r="D5" s="19" t="s">
        <v>2974</v>
      </c>
      <c r="E5" s="20">
        <v>1314107.3899999999</v>
      </c>
      <c r="F5" s="21" t="s">
        <v>2956</v>
      </c>
    </row>
    <row r="6" spans="1:6" ht="42" customHeight="1" x14ac:dyDescent="0.3">
      <c r="A6" s="16" t="s">
        <v>2975</v>
      </c>
      <c r="B6" s="17" t="s">
        <v>2976</v>
      </c>
      <c r="C6" s="18">
        <v>4</v>
      </c>
      <c r="D6" s="19" t="s">
        <v>2977</v>
      </c>
      <c r="E6" s="20">
        <v>216421.52</v>
      </c>
      <c r="F6" s="21" t="s">
        <v>2956</v>
      </c>
    </row>
    <row r="7" spans="1:6" ht="42" customHeight="1" x14ac:dyDescent="0.3">
      <c r="A7" s="16" t="s">
        <v>2978</v>
      </c>
      <c r="B7" s="17" t="s">
        <v>2979</v>
      </c>
      <c r="C7" s="18">
        <v>4</v>
      </c>
      <c r="D7" s="19" t="s">
        <v>2980</v>
      </c>
      <c r="E7" s="38">
        <v>0.14019999999999999</v>
      </c>
      <c r="F7" s="21" t="s">
        <v>2981</v>
      </c>
    </row>
    <row r="8" spans="1:6" ht="42" customHeight="1" x14ac:dyDescent="0.3">
      <c r="A8" s="16" t="s">
        <v>2982</v>
      </c>
      <c r="B8" s="17" t="s">
        <v>2983</v>
      </c>
      <c r="C8" s="18">
        <v>4</v>
      </c>
      <c r="D8" s="19" t="s">
        <v>2984</v>
      </c>
      <c r="E8" s="20">
        <f>SUMIFS(Orders!$I$2:$I$2001,Orders!$B$2:$B$2001,"&gt;="&amp;DATE(2024,10,1),Orders!$B$2:$B$2001,"&lt;"&amp;DATE(2025,1,1))</f>
        <v>6459442.9800000004</v>
      </c>
      <c r="F8" s="21" t="s">
        <v>2956</v>
      </c>
    </row>
    <row r="9" spans="1:6" ht="42" customHeight="1" x14ac:dyDescent="0.3">
      <c r="A9" s="16" t="s">
        <v>2985</v>
      </c>
      <c r="B9" s="17" t="s">
        <v>2986</v>
      </c>
      <c r="C9" s="18">
        <v>4</v>
      </c>
      <c r="D9" s="19" t="s">
        <v>2987</v>
      </c>
      <c r="E9" s="38">
        <v>0.44879999999999998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D15" sqref="D15"/>
    </sheetView>
  </sheetViews>
  <sheetFormatPr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5" t="s">
        <v>3025</v>
      </c>
      <c r="B1" s="40"/>
      <c r="C1" s="40"/>
      <c r="D1" s="40"/>
      <c r="E1" s="40"/>
      <c r="F1" s="40"/>
    </row>
    <row r="2" spans="1:6" x14ac:dyDescent="0.3">
      <c r="A2" s="46" t="s">
        <v>2988</v>
      </c>
      <c r="B2" s="40"/>
      <c r="C2" s="40"/>
      <c r="D2" s="40"/>
      <c r="E2" s="40"/>
      <c r="F2" s="40"/>
    </row>
    <row r="4" spans="1:6" ht="24" customHeight="1" x14ac:dyDescent="0.3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">
      <c r="A5" s="16" t="s">
        <v>2989</v>
      </c>
      <c r="B5" s="17" t="s">
        <v>2990</v>
      </c>
      <c r="C5" s="18">
        <v>2</v>
      </c>
      <c r="D5" s="19" t="s">
        <v>2991</v>
      </c>
      <c r="E5" s="20" t="s">
        <v>3044</v>
      </c>
      <c r="F5" s="21" t="s">
        <v>2911</v>
      </c>
    </row>
    <row r="6" spans="1:6" ht="42" customHeight="1" x14ac:dyDescent="0.3">
      <c r="A6" s="16" t="s">
        <v>2992</v>
      </c>
      <c r="B6" s="17" t="s">
        <v>2993</v>
      </c>
      <c r="C6" s="18">
        <v>2</v>
      </c>
      <c r="D6" s="19" t="s">
        <v>2994</v>
      </c>
      <c r="E6" s="20">
        <f>SUMIFS(Orders!$I$2:$I$2001,Orders!$B$2:$B$2001,"&gt;="&amp;DATE(2024,1,1),Orders!$B$2:$B$2001,"&lt;"&amp;DATE(2024,9,1))</f>
        <v>18050689.600000005</v>
      </c>
      <c r="F6" s="21" t="s">
        <v>2956</v>
      </c>
    </row>
    <row r="7" spans="1:6" ht="42" customHeight="1" x14ac:dyDescent="0.3">
      <c r="A7" s="16" t="s">
        <v>2995</v>
      </c>
      <c r="B7" s="17" t="s">
        <v>2996</v>
      </c>
      <c r="C7" s="18">
        <v>3</v>
      </c>
      <c r="D7" s="19" t="s">
        <v>2997</v>
      </c>
      <c r="E7" s="20" t="str">
        <f>VLOOKUP("PROD-003",Products!$A:$D,2,FALSE)</f>
        <v>Smart Watch</v>
      </c>
      <c r="F7" s="21" t="s">
        <v>2911</v>
      </c>
    </row>
    <row r="8" spans="1:6" ht="42" customHeight="1" x14ac:dyDescent="0.3">
      <c r="A8" s="16" t="s">
        <v>2998</v>
      </c>
      <c r="B8" s="17" t="s">
        <v>2999</v>
      </c>
      <c r="C8" s="18">
        <v>2</v>
      </c>
      <c r="D8" s="19" t="s">
        <v>3000</v>
      </c>
      <c r="E8" s="20" t="str">
        <f>"Neha Desai"&amp;" | "&amp;"Shalini Patel"&amp;" | "&amp;"Deepak Shah"&amp;" | "&amp;"Nisha Menon"&amp;" | "&amp;"Arun Iyer"</f>
        <v>Neha Desai | Shalini Patel | Deepak Shah | Nisha Menon | Arun Iyer</v>
      </c>
      <c r="F8" s="21" t="s">
        <v>2911</v>
      </c>
    </row>
    <row r="9" spans="1:6" ht="42" customHeight="1" x14ac:dyDescent="0.3">
      <c r="A9" s="16" t="s">
        <v>3001</v>
      </c>
      <c r="B9" s="17" t="s">
        <v>3002</v>
      </c>
      <c r="C9" s="18">
        <v>1</v>
      </c>
      <c r="D9" s="19" t="s">
        <v>3003</v>
      </c>
      <c r="E9" s="20">
        <f>_xlfn.AGGREGATE(14,6,Orders!$I$2:$I$2001/((Orders!$K$2:$K$2001="Bengaluru")*(Orders!$L$2:$L$2001="Grocery")),1)</f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10</vt:i4>
      </vt:variant>
    </vt:vector>
  </HeadingPairs>
  <TitlesOfParts>
    <vt:vector size="24" baseType="lpstr">
      <vt:lpstr>README</vt:lpstr>
      <vt:lpstr>Sheet1</vt:lpstr>
      <vt:lpstr>Sheet3</vt:lpstr>
      <vt:lpstr>Sheet5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2026-08-08T11:39:42Z</dcterms:created>
  <dcterms:modified xsi:type="dcterms:W3CDTF">2026-09-03T06:34:55Z</dcterms:modified>
</cp:coreProperties>
</file>